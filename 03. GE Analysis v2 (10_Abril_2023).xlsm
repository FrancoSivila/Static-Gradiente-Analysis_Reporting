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964f54cd7ab4a99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G:\Franco Ing\VBA files FF\Static Gradient v2\"/>
    </mc:Choice>
  </mc:AlternateContent>
  <xr:revisionPtr revIDLastSave="0" documentId="13_ncr:1_{E6F50A90-B7F2-4196-BB91-6E1984509F62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F.R.I.D.A.Y." sheetId="1" r:id="rId1"/>
    <sheet name="MG Data" sheetId="3" r:id="rId2"/>
    <sheet name="Survey" sheetId="2" r:id="rId3"/>
    <sheet name="GE Analysis" sheetId="4" r:id="rId4"/>
    <sheet name="Hide_Contacts" sheetId="5" state="hidden" r:id="rId5"/>
  </sheets>
  <functionGroups builtInGroupCount="19"/>
  <definedNames>
    <definedName name="_xlnm._FilterDatabase" localSheetId="0" hidden="1">'F.R.I.D.A.Y.'!$G$10:$G$1000</definedName>
    <definedName name="_xlnm._FilterDatabase" localSheetId="2" hidden="1">Survey!#REF!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3" i="5" l="1"/>
  <c r="AK4" i="5"/>
  <c r="AA3" i="5" l="1"/>
  <c r="AA4" i="5"/>
  <c r="AA7" i="5"/>
  <c r="AA8" i="5"/>
  <c r="AA11" i="5"/>
  <c r="AD12" i="5" s="1"/>
  <c r="AH11" i="5" s="1"/>
  <c r="AR3" i="5" s="1"/>
  <c r="AA12" i="5"/>
  <c r="Z4" i="5"/>
  <c r="Z7" i="5"/>
  <c r="Z8" i="5"/>
  <c r="Z11" i="5"/>
  <c r="Z12" i="5"/>
  <c r="Z3" i="5"/>
  <c r="AP4" i="5"/>
  <c r="AP3" i="5"/>
  <c r="U8" i="4"/>
  <c r="U12" i="4"/>
  <c r="AD7" i="5" l="1"/>
  <c r="AF7" i="5" s="1"/>
  <c r="AO4" i="5" s="1"/>
  <c r="AO7" i="5" s="1" a="1"/>
  <c r="AO8" i="5" s="1"/>
  <c r="AD8" i="5"/>
  <c r="AH7" i="5" s="1"/>
  <c r="AR4" i="5" s="1"/>
  <c r="AD3" i="5"/>
  <c r="AF3" i="5" s="1"/>
  <c r="AJ4" i="5" s="1"/>
  <c r="AD4" i="5"/>
  <c r="AH3" i="5" s="1"/>
  <c r="AM4" i="5" s="1"/>
  <c r="AD11" i="5"/>
  <c r="AF11" i="5" s="1"/>
  <c r="AO3" i="5" s="1"/>
  <c r="U4" i="4"/>
  <c r="F11" i="4"/>
  <c r="F12" i="4"/>
  <c r="G12" i="4"/>
  <c r="F13" i="4"/>
  <c r="G13" i="4"/>
  <c r="F14" i="4"/>
  <c r="G14" i="4"/>
  <c r="E11" i="4"/>
  <c r="E12" i="4"/>
  <c r="E13" i="4"/>
  <c r="E14" i="4"/>
  <c r="E15" i="4"/>
  <c r="E10" i="4"/>
  <c r="C11" i="4"/>
  <c r="C12" i="4"/>
  <c r="C13" i="4"/>
  <c r="C14" i="4"/>
  <c r="C15" i="4"/>
  <c r="C10" i="4"/>
  <c r="AH11" i="3"/>
  <c r="G11" i="4" s="1"/>
  <c r="AH12" i="3"/>
  <c r="AH13" i="3"/>
  <c r="AH14" i="3"/>
  <c r="AH15" i="3"/>
  <c r="G15" i="4" s="1"/>
  <c r="AH10" i="3"/>
  <c r="G10" i="4" s="1"/>
  <c r="AG15" i="3"/>
  <c r="F15" i="4" s="1"/>
  <c r="AG11" i="3"/>
  <c r="AG12" i="3"/>
  <c r="AG13" i="3"/>
  <c r="AG14" i="3"/>
  <c r="AG10" i="3"/>
  <c r="F10" i="4" s="1"/>
  <c r="AJ3" i="5" l="1"/>
  <c r="AJ7" i="5" s="1" a="1"/>
  <c r="AJ8" i="5" s="1"/>
  <c r="AM3" i="5"/>
  <c r="AO7" i="5"/>
  <c r="AP8" i="5"/>
  <c r="AP7" i="5"/>
  <c r="AO11" i="5" l="1" a="1"/>
  <c r="AO11" i="5" s="1"/>
  <c r="AQ19" i="5" s="1"/>
  <c r="AJ7" i="5"/>
  <c r="AK8" i="5"/>
  <c r="AK7" i="5"/>
  <c r="AO12" i="5" l="1"/>
  <c r="AP15" i="5" s="1"/>
  <c r="V15" i="4" s="1"/>
  <c r="AJ11" i="5" a="1"/>
  <c r="AJ11" i="5" s="1"/>
  <c r="AL19" i="5" s="1"/>
  <c r="AL20" i="5" s="1"/>
  <c r="AQ20" i="5"/>
  <c r="V16" i="4"/>
  <c r="AP16" i="5" l="1"/>
  <c r="AP20" i="5" s="1"/>
  <c r="V20" i="4"/>
  <c r="AJ12" i="5"/>
  <c r="AK15" i="5" s="1"/>
  <c r="V19" i="4" s="1"/>
  <c r="N10" i="2"/>
  <c r="D10" i="4" s="1"/>
  <c r="N11" i="2"/>
  <c r="D11" i="4" s="1"/>
  <c r="H11" i="4" s="1"/>
  <c r="AK16" i="5" l="1"/>
  <c r="AK20" i="5" s="1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J1528" i="3"/>
  <c r="J1529" i="3"/>
  <c r="J1530" i="3"/>
  <c r="J1531" i="3"/>
  <c r="J1532" i="3"/>
  <c r="J1533" i="3"/>
  <c r="J1534" i="3"/>
  <c r="J1535" i="3"/>
  <c r="J1536" i="3"/>
  <c r="J1537" i="3"/>
  <c r="J1538" i="3"/>
  <c r="J1539" i="3"/>
  <c r="J1540" i="3"/>
  <c r="J1541" i="3"/>
  <c r="J1542" i="3"/>
  <c r="J1543" i="3"/>
  <c r="J1544" i="3"/>
  <c r="J1545" i="3"/>
  <c r="J1546" i="3"/>
  <c r="J1547" i="3"/>
  <c r="J1548" i="3"/>
  <c r="J1549" i="3"/>
  <c r="J1550" i="3"/>
  <c r="J1551" i="3"/>
  <c r="J1552" i="3"/>
  <c r="J1553" i="3"/>
  <c r="J1554" i="3"/>
  <c r="J1555" i="3"/>
  <c r="J1556" i="3"/>
  <c r="J1557" i="3"/>
  <c r="J1558" i="3"/>
  <c r="J1559" i="3"/>
  <c r="J1560" i="3"/>
  <c r="J1561" i="3"/>
  <c r="J1562" i="3"/>
  <c r="J1563" i="3"/>
  <c r="J1564" i="3"/>
  <c r="J1565" i="3"/>
  <c r="J1566" i="3"/>
  <c r="J1567" i="3"/>
  <c r="J1568" i="3"/>
  <c r="J1569" i="3"/>
  <c r="J1570" i="3"/>
  <c r="J1571" i="3"/>
  <c r="J1572" i="3"/>
  <c r="J1573" i="3"/>
  <c r="J1574" i="3"/>
  <c r="J1575" i="3"/>
  <c r="J1576" i="3"/>
  <c r="J1577" i="3"/>
  <c r="J1578" i="3"/>
  <c r="J1579" i="3"/>
  <c r="J1580" i="3"/>
  <c r="J1581" i="3"/>
  <c r="J1582" i="3"/>
  <c r="J1583" i="3"/>
  <c r="J1584" i="3"/>
  <c r="J1585" i="3"/>
  <c r="J1586" i="3"/>
  <c r="J1587" i="3"/>
  <c r="J1588" i="3"/>
  <c r="J1589" i="3"/>
  <c r="J1590" i="3"/>
  <c r="J1591" i="3"/>
  <c r="J1592" i="3"/>
  <c r="J1593" i="3"/>
  <c r="J1594" i="3"/>
  <c r="J1595" i="3"/>
  <c r="J1596" i="3"/>
  <c r="J1597" i="3"/>
  <c r="J1598" i="3"/>
  <c r="J1599" i="3"/>
  <c r="J1600" i="3"/>
  <c r="J1601" i="3"/>
  <c r="J1602" i="3"/>
  <c r="J1603" i="3"/>
  <c r="J1604" i="3"/>
  <c r="J1605" i="3"/>
  <c r="J1606" i="3"/>
  <c r="J1607" i="3"/>
  <c r="J1608" i="3"/>
  <c r="J1609" i="3"/>
  <c r="J1610" i="3"/>
  <c r="J1611" i="3"/>
  <c r="J1612" i="3"/>
  <c r="J1613" i="3"/>
  <c r="J1614" i="3"/>
  <c r="J1615" i="3"/>
  <c r="J1616" i="3"/>
  <c r="J1617" i="3"/>
  <c r="J1618" i="3"/>
  <c r="J1619" i="3"/>
  <c r="J1620" i="3"/>
  <c r="J1621" i="3"/>
  <c r="J1622" i="3"/>
  <c r="J1623" i="3"/>
  <c r="J1624" i="3"/>
  <c r="J1625" i="3"/>
  <c r="J1626" i="3"/>
  <c r="J1627" i="3"/>
  <c r="J1628" i="3"/>
  <c r="J1629" i="3"/>
  <c r="J1630" i="3"/>
  <c r="J1631" i="3"/>
  <c r="J1632" i="3"/>
  <c r="J1633" i="3"/>
  <c r="J1634" i="3"/>
  <c r="J1635" i="3"/>
  <c r="J1636" i="3"/>
  <c r="J1637" i="3"/>
  <c r="J1638" i="3"/>
  <c r="J1639" i="3"/>
  <c r="J1640" i="3"/>
  <c r="J1641" i="3"/>
  <c r="J1642" i="3"/>
  <c r="J1643" i="3"/>
  <c r="J1644" i="3"/>
  <c r="J1645" i="3"/>
  <c r="J1646" i="3"/>
  <c r="J1647" i="3"/>
  <c r="J1648" i="3"/>
  <c r="J1649" i="3"/>
  <c r="J1650" i="3"/>
  <c r="J1651" i="3"/>
  <c r="J1652" i="3"/>
  <c r="J1653" i="3"/>
  <c r="J1654" i="3"/>
  <c r="J1655" i="3"/>
  <c r="J1656" i="3"/>
  <c r="J1657" i="3"/>
  <c r="J1658" i="3"/>
  <c r="J1659" i="3"/>
  <c r="J1660" i="3"/>
  <c r="J1661" i="3"/>
  <c r="J1662" i="3"/>
  <c r="J1663" i="3"/>
  <c r="J1664" i="3"/>
  <c r="J1665" i="3"/>
  <c r="J1666" i="3"/>
  <c r="J1667" i="3"/>
  <c r="J1668" i="3"/>
  <c r="J1669" i="3"/>
  <c r="J1670" i="3"/>
  <c r="J1671" i="3"/>
  <c r="J1672" i="3"/>
  <c r="J1673" i="3"/>
  <c r="J1674" i="3"/>
  <c r="J1675" i="3"/>
  <c r="J1676" i="3"/>
  <c r="J1677" i="3"/>
  <c r="J1678" i="3"/>
  <c r="J1679" i="3"/>
  <c r="J1680" i="3"/>
  <c r="J1681" i="3"/>
  <c r="J1682" i="3"/>
  <c r="J1683" i="3"/>
  <c r="J1684" i="3"/>
  <c r="J1685" i="3"/>
  <c r="J1686" i="3"/>
  <c r="J1687" i="3"/>
  <c r="J1688" i="3"/>
  <c r="J1689" i="3"/>
  <c r="J1690" i="3"/>
  <c r="J1691" i="3"/>
  <c r="J1692" i="3"/>
  <c r="J1693" i="3"/>
  <c r="J1694" i="3"/>
  <c r="J1695" i="3"/>
  <c r="J1696" i="3"/>
  <c r="J1697" i="3"/>
  <c r="J1698" i="3"/>
  <c r="J1699" i="3"/>
  <c r="J1700" i="3"/>
  <c r="J1701" i="3"/>
  <c r="J1702" i="3"/>
  <c r="J1703" i="3"/>
  <c r="J1704" i="3"/>
  <c r="J1705" i="3"/>
  <c r="J1706" i="3"/>
  <c r="J1707" i="3"/>
  <c r="J1708" i="3"/>
  <c r="J1709" i="3"/>
  <c r="J1710" i="3"/>
  <c r="J1711" i="3"/>
  <c r="J1712" i="3"/>
  <c r="J1713" i="3"/>
  <c r="J1714" i="3"/>
  <c r="J1715" i="3"/>
  <c r="J1716" i="3"/>
  <c r="J1717" i="3"/>
  <c r="J1718" i="3"/>
  <c r="J1719" i="3"/>
  <c r="J1720" i="3"/>
  <c r="J1721" i="3"/>
  <c r="J1722" i="3"/>
  <c r="J1723" i="3"/>
  <c r="J1724" i="3"/>
  <c r="J1725" i="3"/>
  <c r="J1726" i="3"/>
  <c r="J1727" i="3"/>
  <c r="J1728" i="3"/>
  <c r="J1729" i="3"/>
  <c r="J1730" i="3"/>
  <c r="J1731" i="3"/>
  <c r="J1732" i="3"/>
  <c r="J1733" i="3"/>
  <c r="J1734" i="3"/>
  <c r="J1735" i="3"/>
  <c r="J1736" i="3"/>
  <c r="J1737" i="3"/>
  <c r="J1738" i="3"/>
  <c r="J1739" i="3"/>
  <c r="J1740" i="3"/>
  <c r="J1741" i="3"/>
  <c r="J1742" i="3"/>
  <c r="J1743" i="3"/>
  <c r="J1744" i="3"/>
  <c r="J1745" i="3"/>
  <c r="J1746" i="3"/>
  <c r="J1747" i="3"/>
  <c r="J1748" i="3"/>
  <c r="J1749" i="3"/>
  <c r="J1750" i="3"/>
  <c r="J1751" i="3"/>
  <c r="J1752" i="3"/>
  <c r="J1753" i="3"/>
  <c r="J1754" i="3"/>
  <c r="J1755" i="3"/>
  <c r="J1756" i="3"/>
  <c r="J1757" i="3"/>
  <c r="J1758" i="3"/>
  <c r="J1759" i="3"/>
  <c r="J1760" i="3"/>
  <c r="J1761" i="3"/>
  <c r="J1762" i="3"/>
  <c r="J1763" i="3"/>
  <c r="J1764" i="3"/>
  <c r="J1765" i="3"/>
  <c r="J1766" i="3"/>
  <c r="J1767" i="3"/>
  <c r="J1768" i="3"/>
  <c r="J1769" i="3"/>
  <c r="J1770" i="3"/>
  <c r="J1771" i="3"/>
  <c r="J1772" i="3"/>
  <c r="J1773" i="3"/>
  <c r="J1774" i="3"/>
  <c r="J1775" i="3"/>
  <c r="J1776" i="3"/>
  <c r="J1777" i="3"/>
  <c r="J1778" i="3"/>
  <c r="J1779" i="3"/>
  <c r="J1780" i="3"/>
  <c r="J1781" i="3"/>
  <c r="J1782" i="3"/>
  <c r="J1783" i="3"/>
  <c r="J1784" i="3"/>
  <c r="J1785" i="3"/>
  <c r="J1786" i="3"/>
  <c r="J1787" i="3"/>
  <c r="J1788" i="3"/>
  <c r="J1789" i="3"/>
  <c r="J1790" i="3"/>
  <c r="J1791" i="3"/>
  <c r="J1792" i="3"/>
  <c r="J1793" i="3"/>
  <c r="J1794" i="3"/>
  <c r="J1795" i="3"/>
  <c r="J1796" i="3"/>
  <c r="J1797" i="3"/>
  <c r="J1798" i="3"/>
  <c r="J1799" i="3"/>
  <c r="J1800" i="3"/>
  <c r="J1801" i="3"/>
  <c r="J1802" i="3"/>
  <c r="J1803" i="3"/>
  <c r="J1804" i="3"/>
  <c r="J1805" i="3"/>
  <c r="J1806" i="3"/>
  <c r="J1807" i="3"/>
  <c r="J1808" i="3"/>
  <c r="J1809" i="3"/>
  <c r="J1810" i="3"/>
  <c r="J1811" i="3"/>
  <c r="J1812" i="3"/>
  <c r="J1813" i="3"/>
  <c r="J1814" i="3"/>
  <c r="J1815" i="3"/>
  <c r="J1816" i="3"/>
  <c r="J1817" i="3"/>
  <c r="J1818" i="3"/>
  <c r="J1819" i="3"/>
  <c r="J1820" i="3"/>
  <c r="J1821" i="3"/>
  <c r="J1822" i="3"/>
  <c r="J1823" i="3"/>
  <c r="J1824" i="3"/>
  <c r="J1825" i="3"/>
  <c r="J1826" i="3"/>
  <c r="J1827" i="3"/>
  <c r="J1828" i="3"/>
  <c r="J1829" i="3"/>
  <c r="J1830" i="3"/>
  <c r="J1831" i="3"/>
  <c r="J1832" i="3"/>
  <c r="J1833" i="3"/>
  <c r="J1834" i="3"/>
  <c r="J1835" i="3"/>
  <c r="J1836" i="3"/>
  <c r="J1837" i="3"/>
  <c r="J1838" i="3"/>
  <c r="J1839" i="3"/>
  <c r="J1840" i="3"/>
  <c r="J1841" i="3"/>
  <c r="J1842" i="3"/>
  <c r="J1843" i="3"/>
  <c r="J1844" i="3"/>
  <c r="J1845" i="3"/>
  <c r="J1846" i="3"/>
  <c r="J1847" i="3"/>
  <c r="J1848" i="3"/>
  <c r="J1849" i="3"/>
  <c r="J1850" i="3"/>
  <c r="J1851" i="3"/>
  <c r="J1852" i="3"/>
  <c r="J1853" i="3"/>
  <c r="J1854" i="3"/>
  <c r="J1855" i="3"/>
  <c r="J1856" i="3"/>
  <c r="J1857" i="3"/>
  <c r="J1858" i="3"/>
  <c r="J1859" i="3"/>
  <c r="J1860" i="3"/>
  <c r="J1861" i="3"/>
  <c r="J1862" i="3"/>
  <c r="J1863" i="3"/>
  <c r="J1864" i="3"/>
  <c r="J1865" i="3"/>
  <c r="J1866" i="3"/>
  <c r="J1867" i="3"/>
  <c r="J1868" i="3"/>
  <c r="J1869" i="3"/>
  <c r="J1870" i="3"/>
  <c r="J1871" i="3"/>
  <c r="J1872" i="3"/>
  <c r="J1873" i="3"/>
  <c r="J1874" i="3"/>
  <c r="J1875" i="3"/>
  <c r="J1876" i="3"/>
  <c r="J1877" i="3"/>
  <c r="J1878" i="3"/>
  <c r="J1879" i="3"/>
  <c r="J1880" i="3"/>
  <c r="J1881" i="3"/>
  <c r="J1882" i="3"/>
  <c r="J1883" i="3"/>
  <c r="J1884" i="3"/>
  <c r="J1885" i="3"/>
  <c r="J1886" i="3"/>
  <c r="J1887" i="3"/>
  <c r="J1888" i="3"/>
  <c r="J1889" i="3"/>
  <c r="J1890" i="3"/>
  <c r="J1891" i="3"/>
  <c r="J1892" i="3"/>
  <c r="J1893" i="3"/>
  <c r="J1894" i="3"/>
  <c r="J1895" i="3"/>
  <c r="J1896" i="3"/>
  <c r="J1897" i="3"/>
  <c r="J1898" i="3"/>
  <c r="J1899" i="3"/>
  <c r="J1900" i="3"/>
  <c r="J1901" i="3"/>
  <c r="J1902" i="3"/>
  <c r="J1903" i="3"/>
  <c r="J1904" i="3"/>
  <c r="J1905" i="3"/>
  <c r="J1906" i="3"/>
  <c r="J1907" i="3"/>
  <c r="J1908" i="3"/>
  <c r="J1909" i="3"/>
  <c r="J1910" i="3"/>
  <c r="J1911" i="3"/>
  <c r="J1912" i="3"/>
  <c r="J1913" i="3"/>
  <c r="J1914" i="3"/>
  <c r="J1915" i="3"/>
  <c r="J1916" i="3"/>
  <c r="J1917" i="3"/>
  <c r="J1918" i="3"/>
  <c r="J1919" i="3"/>
  <c r="J1920" i="3"/>
  <c r="J1921" i="3"/>
  <c r="J1922" i="3"/>
  <c r="J1923" i="3"/>
  <c r="J1924" i="3"/>
  <c r="J1925" i="3"/>
  <c r="J1926" i="3"/>
  <c r="J1927" i="3"/>
  <c r="J1928" i="3"/>
  <c r="J1929" i="3"/>
  <c r="J1930" i="3"/>
  <c r="J1931" i="3"/>
  <c r="J1932" i="3"/>
  <c r="J1933" i="3"/>
  <c r="J1934" i="3"/>
  <c r="J1935" i="3"/>
  <c r="J1936" i="3"/>
  <c r="J1937" i="3"/>
  <c r="J1938" i="3"/>
  <c r="J1939" i="3"/>
  <c r="J1940" i="3"/>
  <c r="J1941" i="3"/>
  <c r="J1942" i="3"/>
  <c r="J1943" i="3"/>
  <c r="J1944" i="3"/>
  <c r="J1945" i="3"/>
  <c r="J1946" i="3"/>
  <c r="J1947" i="3"/>
  <c r="J1948" i="3"/>
  <c r="J1949" i="3"/>
  <c r="J1950" i="3"/>
  <c r="J1951" i="3"/>
  <c r="J1952" i="3"/>
  <c r="J1953" i="3"/>
  <c r="J1954" i="3"/>
  <c r="J1955" i="3"/>
  <c r="J1956" i="3"/>
  <c r="J1957" i="3"/>
  <c r="J1958" i="3"/>
  <c r="J1959" i="3"/>
  <c r="J1960" i="3"/>
  <c r="J1961" i="3"/>
  <c r="J1962" i="3"/>
  <c r="J1963" i="3"/>
  <c r="J1964" i="3"/>
  <c r="J1965" i="3"/>
  <c r="J1966" i="3"/>
  <c r="J1967" i="3"/>
  <c r="J1968" i="3"/>
  <c r="J1969" i="3"/>
  <c r="J1970" i="3"/>
  <c r="J1971" i="3"/>
  <c r="J1972" i="3"/>
  <c r="J1973" i="3"/>
  <c r="J1974" i="3"/>
  <c r="J1975" i="3"/>
  <c r="J1976" i="3"/>
  <c r="J1977" i="3"/>
  <c r="J1978" i="3"/>
  <c r="J1979" i="3"/>
  <c r="J1980" i="3"/>
  <c r="J1981" i="3"/>
  <c r="J1982" i="3"/>
  <c r="J1983" i="3"/>
  <c r="J1984" i="3"/>
  <c r="J1985" i="3"/>
  <c r="J1986" i="3"/>
  <c r="J1987" i="3"/>
  <c r="J1988" i="3"/>
  <c r="J1989" i="3"/>
  <c r="J1990" i="3"/>
  <c r="J1991" i="3"/>
  <c r="J1992" i="3"/>
  <c r="J1993" i="3"/>
  <c r="J1994" i="3"/>
  <c r="J1995" i="3"/>
  <c r="J1996" i="3"/>
  <c r="J1997" i="3"/>
  <c r="J1998" i="3"/>
  <c r="J1999" i="3"/>
  <c r="J2000" i="3"/>
  <c r="J2001" i="3"/>
  <c r="J2002" i="3"/>
  <c r="J2003" i="3"/>
  <c r="J2004" i="3"/>
  <c r="J2005" i="3"/>
  <c r="J2006" i="3"/>
  <c r="J2007" i="3"/>
  <c r="J2008" i="3"/>
  <c r="J2009" i="3"/>
  <c r="J2010" i="3"/>
  <c r="J2011" i="3"/>
  <c r="J2012" i="3"/>
  <c r="J2013" i="3"/>
  <c r="J2014" i="3"/>
  <c r="J2015" i="3"/>
  <c r="J2016" i="3"/>
  <c r="J2017" i="3"/>
  <c r="J2018" i="3"/>
  <c r="J2019" i="3"/>
  <c r="J2020" i="3"/>
  <c r="J2021" i="3"/>
  <c r="J2022" i="3"/>
  <c r="J2023" i="3"/>
  <c r="J2024" i="3"/>
  <c r="J2025" i="3"/>
  <c r="J2026" i="3"/>
  <c r="J2027" i="3"/>
  <c r="J2028" i="3"/>
  <c r="J2029" i="3"/>
  <c r="J2030" i="3"/>
  <c r="J2031" i="3"/>
  <c r="J2032" i="3"/>
  <c r="J2033" i="3"/>
  <c r="J2034" i="3"/>
  <c r="J2035" i="3"/>
  <c r="J2036" i="3"/>
  <c r="J2037" i="3"/>
  <c r="J2038" i="3"/>
  <c r="J2039" i="3"/>
  <c r="J2040" i="3"/>
  <c r="J2041" i="3"/>
  <c r="J2042" i="3"/>
  <c r="J2043" i="3"/>
  <c r="J2044" i="3"/>
  <c r="J2045" i="3"/>
  <c r="J2046" i="3"/>
  <c r="J2047" i="3"/>
  <c r="J2048" i="3"/>
  <c r="J2049" i="3"/>
  <c r="J2050" i="3"/>
  <c r="J2051" i="3"/>
  <c r="J2052" i="3"/>
  <c r="J2053" i="3"/>
  <c r="J2054" i="3"/>
  <c r="J2055" i="3"/>
  <c r="J2056" i="3"/>
  <c r="J2057" i="3"/>
  <c r="J2058" i="3"/>
  <c r="J2059" i="3"/>
  <c r="J2060" i="3"/>
  <c r="J2061" i="3"/>
  <c r="J2062" i="3"/>
  <c r="J2063" i="3"/>
  <c r="J2064" i="3"/>
  <c r="J2065" i="3"/>
  <c r="J2066" i="3"/>
  <c r="J2067" i="3"/>
  <c r="J2068" i="3"/>
  <c r="J2069" i="3"/>
  <c r="J2070" i="3"/>
  <c r="J2071" i="3"/>
  <c r="J2072" i="3"/>
  <c r="J2073" i="3"/>
  <c r="J2074" i="3"/>
  <c r="J2075" i="3"/>
  <c r="J2076" i="3"/>
  <c r="J2077" i="3"/>
  <c r="J2078" i="3"/>
  <c r="J2079" i="3"/>
  <c r="J2080" i="3"/>
  <c r="J2081" i="3"/>
  <c r="J2082" i="3"/>
  <c r="J2083" i="3"/>
  <c r="J2084" i="3"/>
  <c r="J2085" i="3"/>
  <c r="J2086" i="3"/>
  <c r="J2087" i="3"/>
  <c r="J2088" i="3"/>
  <c r="J2089" i="3"/>
  <c r="J2090" i="3"/>
  <c r="J2091" i="3"/>
  <c r="J2092" i="3"/>
  <c r="J2093" i="3"/>
  <c r="J2094" i="3"/>
  <c r="J2095" i="3"/>
  <c r="J2096" i="3"/>
  <c r="J2097" i="3"/>
  <c r="J2098" i="3"/>
  <c r="J2099" i="3"/>
  <c r="J2100" i="3"/>
  <c r="J2101" i="3"/>
  <c r="J2102" i="3"/>
  <c r="J2103" i="3"/>
  <c r="J2104" i="3"/>
  <c r="J2105" i="3"/>
  <c r="J2106" i="3"/>
  <c r="J2107" i="3"/>
  <c r="J2108" i="3"/>
  <c r="J2109" i="3"/>
  <c r="J2110" i="3"/>
  <c r="J2111" i="3"/>
  <c r="J2112" i="3"/>
  <c r="J2113" i="3"/>
  <c r="J2114" i="3"/>
  <c r="J2115" i="3"/>
  <c r="J2116" i="3"/>
  <c r="J2117" i="3"/>
  <c r="J2118" i="3"/>
  <c r="J2119" i="3"/>
  <c r="J2120" i="3"/>
  <c r="J2121" i="3"/>
  <c r="J2122" i="3"/>
  <c r="J2123" i="3"/>
  <c r="J2124" i="3"/>
  <c r="J2125" i="3"/>
  <c r="J2126" i="3"/>
  <c r="J2127" i="3"/>
  <c r="J2128" i="3"/>
  <c r="J2129" i="3"/>
  <c r="J2130" i="3"/>
  <c r="J2131" i="3"/>
  <c r="J2132" i="3"/>
  <c r="J2133" i="3"/>
  <c r="J2134" i="3"/>
  <c r="J2135" i="3"/>
  <c r="J2136" i="3"/>
  <c r="J2137" i="3"/>
  <c r="J2138" i="3"/>
  <c r="J2139" i="3"/>
  <c r="J2140" i="3"/>
  <c r="J2141" i="3"/>
  <c r="J2142" i="3"/>
  <c r="J2143" i="3"/>
  <c r="J2144" i="3"/>
  <c r="J2145" i="3"/>
  <c r="J2146" i="3"/>
  <c r="J2147" i="3"/>
  <c r="J2148" i="3"/>
  <c r="J2149" i="3"/>
  <c r="J2150" i="3"/>
  <c r="J10" i="3"/>
  <c r="H7" i="3"/>
  <c r="G7" i="3"/>
  <c r="F7" i="3"/>
  <c r="H6" i="3"/>
  <c r="G6" i="3"/>
  <c r="F6" i="3"/>
  <c r="C6" i="3"/>
  <c r="D6" i="3"/>
  <c r="C7" i="3"/>
  <c r="D7" i="3"/>
  <c r="B7" i="3"/>
  <c r="B6" i="3"/>
  <c r="N12" i="2"/>
  <c r="D12" i="4" s="1"/>
  <c r="H12" i="4" s="1"/>
  <c r="N13" i="2"/>
  <c r="D13" i="4" s="1"/>
  <c r="N14" i="2"/>
  <c r="D14" i="4" s="1"/>
  <c r="H14" i="4" s="1"/>
  <c r="N15" i="2"/>
  <c r="D15" i="4" s="1"/>
  <c r="H15" i="4" s="1"/>
  <c r="J6" i="3" l="1"/>
  <c r="H13" i="4"/>
  <c r="J7" i="3"/>
  <c r="F6" i="1"/>
  <c r="F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E10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Tipo de Producción: Productor Primario
Estado: Activo
*  Field: EL DORADO
*  Well: DRD-1001
*  Completion: DRD-1001:X
</t>
        </r>
      </text>
    </comment>
    <comment ref="E11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Tipo de Producción: Productor de Gas
Estado: Cerrado Temporal
*  Field: EL DORADO
*  Well: DRD-1002
*  Completion: DRD-1002:X
</t>
        </r>
      </text>
    </comment>
    <comment ref="E12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Tipo de Producción: Productor Primario
Estado: Activo
*  Field: EL DORADO
*  Well: DRD-1005
*  Completion: DRD-1005:T
</t>
        </r>
      </text>
    </comment>
    <comment ref="E13" authorId="0" shapeId="0" xr:uid="{00000000-0006-0000-0000-000004000000}">
      <text>
        <r>
          <rPr>
            <sz val="9"/>
            <color indexed="81"/>
            <rFont val="Tahoma"/>
            <family val="2"/>
          </rPr>
          <t xml:space="preserve">Tipo de Producción: Productor Primario
Estado: Activo
*  Field: EL DORADO
*  Well: DRD-2
*  Completion: FLA-02:XDgnc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T2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Franco Sivila:</t>
        </r>
        <r>
          <rPr>
            <sz val="9"/>
            <color indexed="81"/>
            <rFont val="Tahoma"/>
            <family val="2"/>
          </rPr>
          <t xml:space="preserve">
Para visualizar los gradientes en chart click en el Check Box requerido.
Para modificar las gradiente de forma dinámica en el Chart, Click en el boton "Activar Análisis". Seleccionar punto y mover mouse.</t>
        </r>
      </text>
    </comment>
  </commentList>
</comments>
</file>

<file path=xl/sharedStrings.xml><?xml version="1.0" encoding="utf-8"?>
<sst xmlns="http://schemas.openxmlformats.org/spreadsheetml/2006/main" count="365" uniqueCount="179">
  <si>
    <t>Date Range to Import Data</t>
  </si>
  <si>
    <t>Current Selection</t>
  </si>
  <si>
    <t>Start Date</t>
  </si>
  <si>
    <t>:</t>
  </si>
  <si>
    <t>Field</t>
  </si>
  <si>
    <t>JUNIN</t>
  </si>
  <si>
    <t>End Date</t>
  </si>
  <si>
    <t>Reservoir</t>
  </si>
  <si>
    <t>Well</t>
  </si>
  <si>
    <t>Completion</t>
  </si>
  <si>
    <t>Active Wells</t>
  </si>
  <si>
    <t>Status</t>
  </si>
  <si>
    <t>Activo</t>
  </si>
  <si>
    <t>Closed Wells</t>
  </si>
  <si>
    <t>Production Type</t>
  </si>
  <si>
    <t>Productor Primario</t>
  </si>
  <si>
    <t>Fields</t>
  </si>
  <si>
    <t>Well Data</t>
  </si>
  <si>
    <t>AGUARAGUE CENTRO</t>
  </si>
  <si>
    <t>Well Name</t>
  </si>
  <si>
    <t>AQUIO</t>
  </si>
  <si>
    <t>BUENA VISTA</t>
  </si>
  <si>
    <t>Country</t>
  </si>
  <si>
    <t>Bolivia</t>
  </si>
  <si>
    <t>BULO BULO</t>
  </si>
  <si>
    <t>Depart.</t>
  </si>
  <si>
    <t>Santa Cruz</t>
  </si>
  <si>
    <t>CAIGUA</t>
  </si>
  <si>
    <t>Province</t>
  </si>
  <si>
    <t>CAMATINDI</t>
  </si>
  <si>
    <t>X Surface</t>
  </si>
  <si>
    <t>m</t>
  </si>
  <si>
    <t>CARRASCO</t>
  </si>
  <si>
    <t>Y Surface</t>
  </si>
  <si>
    <t>CARRASCO ESTE</t>
  </si>
  <si>
    <t>Z Surface (Zt)</t>
  </si>
  <si>
    <t>CARRASCO FW</t>
  </si>
  <si>
    <t>Z RT</t>
  </si>
  <si>
    <t>COLORADO</t>
  </si>
  <si>
    <t>Total Depth (MD)</t>
  </si>
  <si>
    <t>COLORADO SUR</t>
  </si>
  <si>
    <t>Total Depth (TVD)</t>
  </si>
  <si>
    <t>EL DORADO</t>
  </si>
  <si>
    <t>TVDSS</t>
  </si>
  <si>
    <t>EL DORADO OESTE</t>
  </si>
  <si>
    <t>Well Type</t>
  </si>
  <si>
    <t>EL DORADO SUR</t>
  </si>
  <si>
    <t>Start Drilling</t>
  </si>
  <si>
    <t>HUMBERTO SUAREZ ROCA</t>
  </si>
  <si>
    <t>End Drilling</t>
  </si>
  <si>
    <t>INCAHUASI</t>
  </si>
  <si>
    <t>Start Completion</t>
  </si>
  <si>
    <t>ITACARAY</t>
  </si>
  <si>
    <t>End Completion</t>
  </si>
  <si>
    <t>ITAU</t>
  </si>
  <si>
    <t>No. Sidetrack</t>
  </si>
  <si>
    <t>Cost</t>
  </si>
  <si>
    <t>MM USD</t>
  </si>
  <si>
    <t>JUNIN ESTE</t>
  </si>
  <si>
    <t>KANATA</t>
  </si>
  <si>
    <t>KANATA NORTE</t>
  </si>
  <si>
    <t>Completion Data</t>
  </si>
  <si>
    <t>KATARI</t>
  </si>
  <si>
    <t>Completion Name</t>
  </si>
  <si>
    <t>LOS CUSIS</t>
  </si>
  <si>
    <t>Reservoir Name</t>
  </si>
  <si>
    <t>LOS MONOS</t>
  </si>
  <si>
    <t>Formation Name</t>
  </si>
  <si>
    <t>MONTECRISTO</t>
  </si>
  <si>
    <t>Fluid Type</t>
  </si>
  <si>
    <t>Gas-condensate</t>
  </si>
  <si>
    <t>ÑUPUCO</t>
  </si>
  <si>
    <t>X (Top)</t>
  </si>
  <si>
    <t>PALOMETAS NW</t>
  </si>
  <si>
    <t>Y (Top)</t>
  </si>
  <si>
    <t>PATUJUSAL</t>
  </si>
  <si>
    <t>Z MD (Top)</t>
  </si>
  <si>
    <t>PATUJUSAL OESTE</t>
  </si>
  <si>
    <t>Z TVD (Top)</t>
  </si>
  <si>
    <t>PERCHELES</t>
  </si>
  <si>
    <t>Tubing ID</t>
  </si>
  <si>
    <t>in</t>
  </si>
  <si>
    <t>SAN IGNACIO</t>
  </si>
  <si>
    <t>Completion Type</t>
  </si>
  <si>
    <t>SAN MIGUEL</t>
  </si>
  <si>
    <t>Sand Control</t>
  </si>
  <si>
    <t>SI</t>
  </si>
  <si>
    <t>SAN ROQUE</t>
  </si>
  <si>
    <t>Perforations</t>
  </si>
  <si>
    <t>Top</t>
  </si>
  <si>
    <t>Base</t>
  </si>
  <si>
    <t>SANTA ROSA</t>
  </si>
  <si>
    <t>SANTA ROSA OESTE</t>
  </si>
  <si>
    <t>VIBORA</t>
  </si>
  <si>
    <t>VINTAGE</t>
  </si>
  <si>
    <t>VUELTA GRANDE</t>
  </si>
  <si>
    <t>DB Local PC</t>
  </si>
  <si>
    <t>Guanacos</t>
  </si>
  <si>
    <t>FLA-02:XDgnc</t>
  </si>
  <si>
    <t>DRD-2</t>
  </si>
  <si>
    <t>El Dorado</t>
  </si>
  <si>
    <t>Cordillera</t>
  </si>
  <si>
    <t>Iquiri</t>
  </si>
  <si>
    <t>Appraisal</t>
  </si>
  <si>
    <t>26 01 2019</t>
  </si>
  <si>
    <t>18 05 2019</t>
  </si>
  <si>
    <t>10 06 2019</t>
  </si>
  <si>
    <t>Gravel Pack Open Hole</t>
  </si>
  <si>
    <t>JNE-1001D</t>
  </si>
  <si>
    <t>JNE-1004D</t>
  </si>
  <si>
    <t>JNE-X1000</t>
  </si>
  <si>
    <t>JNE-1002D</t>
  </si>
  <si>
    <t>JNE-1003D</t>
  </si>
  <si>
    <t>MD</t>
  </si>
  <si>
    <t>TVD</t>
  </si>
  <si>
    <t>X</t>
  </si>
  <si>
    <t>Y</t>
  </si>
  <si>
    <t>GE Stations</t>
  </si>
  <si>
    <t>Time</t>
  </si>
  <si>
    <t>Pressure</t>
  </si>
  <si>
    <t>Temp.</t>
  </si>
  <si>
    <t>hr</t>
  </si>
  <si>
    <t>psia</t>
  </si>
  <si>
    <t>ºF</t>
  </si>
  <si>
    <t>MG 1</t>
  </si>
  <si>
    <t>MG 2</t>
  </si>
  <si>
    <t>X min</t>
  </si>
  <si>
    <t>X Max</t>
  </si>
  <si>
    <t>Charts Axis</t>
  </si>
  <si>
    <t>Min.:</t>
  </si>
  <si>
    <t>Max.:</t>
  </si>
  <si>
    <t>DRD-1001:X</t>
  </si>
  <si>
    <t>DRD-1001</t>
  </si>
  <si>
    <t>DRD-1002:X</t>
  </si>
  <si>
    <t>DRD-1002</t>
  </si>
  <si>
    <t>Cerrado Temporal</t>
  </si>
  <si>
    <t>Productor de Gas</t>
  </si>
  <si>
    <t>DRD-1005:T</t>
  </si>
  <si>
    <t>DRD-1005</t>
  </si>
  <si>
    <t>Diferencia ABS</t>
  </si>
  <si>
    <t>Station</t>
  </si>
  <si>
    <t>#</t>
  </si>
  <si>
    <t>Selected Well: JNE-1003D</t>
  </si>
  <si>
    <t>Presión</t>
  </si>
  <si>
    <t>Point A</t>
  </si>
  <si>
    <t>psi/ft</t>
  </si>
  <si>
    <t>Point B</t>
  </si>
  <si>
    <t>psi</t>
  </si>
  <si>
    <t>Gas</t>
  </si>
  <si>
    <t>Oil</t>
  </si>
  <si>
    <t>Water</t>
  </si>
  <si>
    <t>Gradient 1</t>
  </si>
  <si>
    <t>Gradient 2</t>
  </si>
  <si>
    <t>Gradient 3</t>
  </si>
  <si>
    <t>Gas-Oil Contact</t>
  </si>
  <si>
    <t>A =</t>
  </si>
  <si>
    <t>B =</t>
  </si>
  <si>
    <t>slope</t>
  </si>
  <si>
    <t>Y-Intercept</t>
  </si>
  <si>
    <r>
      <t>A</t>
    </r>
    <r>
      <rPr>
        <vertAlign val="superscript"/>
        <sz val="8"/>
        <color theme="1"/>
        <rFont val="Calibri"/>
        <family val="2"/>
        <scheme val="minor"/>
      </rPr>
      <t>-1</t>
    </r>
  </si>
  <si>
    <t xml:space="preserve">X = </t>
  </si>
  <si>
    <t>Depth</t>
  </si>
  <si>
    <t>Contact 1</t>
  </si>
  <si>
    <t>G1 y G2</t>
  </si>
  <si>
    <t>G2 y G3</t>
  </si>
  <si>
    <t>Contact 2</t>
  </si>
  <si>
    <t>Contacto Gradiente 1 y Gradiente 2</t>
  </si>
  <si>
    <t>PG</t>
  </si>
  <si>
    <t>Gradientes</t>
  </si>
  <si>
    <t>Tipo de</t>
  </si>
  <si>
    <t>Fluido</t>
  </si>
  <si>
    <t>Gradientes determinados</t>
  </si>
  <si>
    <t>Contactos</t>
  </si>
  <si>
    <t>Profundidad</t>
  </si>
  <si>
    <t>PPT Template Location</t>
  </si>
  <si>
    <t>Folder Name</t>
  </si>
  <si>
    <t>File Name</t>
  </si>
  <si>
    <t>X:\01 RD TOOLS\_VISION\_PPT_Templates</t>
  </si>
  <si>
    <t>Template_Gradiente_Estatico.pptx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</si>
</sst>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d\ \-\ \ mmm\ \-\ yyyy"/>
    <numFmt numFmtId="165" formatCode="dd\ \-\ mmm\ \-\ yyyy"/>
    <numFmt numFmtId="166" formatCode="_(* #,##0.00_);_(* \(#,##0.00\);_(* &quot;-&quot;??_);_(@_)"/>
    <numFmt numFmtId="167" formatCode="#,##0.000"/>
    <numFmt numFmtId="168" formatCode="0.00;\-0.0"/>
    <numFmt numFmtId="169" formatCode="#,##0.0"/>
    <numFmt numFmtId="170" formatCode="0.0000;\-0.0000;&quot;--&quot;"/>
    <numFmt numFmtId="171" formatCode="0.0;\-0.0;&quot;--&quot;"/>
    <numFmt numFmtId="172" formatCode="0.00;\-0.00;&quot;--&quot;"/>
    <numFmt numFmtId="173" formatCode="0.0\ &quot;m.&quot;;\-0.00;&quot;--&quot;"/>
    <numFmt numFmtId="174" formatCode="0.0\ &quot; psi&quot;;\-0.00;&quot;--&quot;"/>
  </numFmts>
  <fonts count="18" x14ac:knownFonts="1"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0000FF"/>
      <name val="Calibri"/>
      <family val="2"/>
      <scheme val="minor"/>
    </font>
    <font>
      <sz val="9"/>
      <color rgb="FF0000FF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rgb="FF01000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sz val="9"/>
      <color rgb="FFFF0000"/>
      <name val="Calibri"/>
      <family val="2"/>
      <scheme val="minor"/>
    </font>
    <font>
      <sz val="8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name val="Arial"/>
      <family val="2"/>
    </font>
    <font>
      <sz val="24"/>
      <color theme="1"/>
      <name val="Calibri"/>
      <family val="2"/>
      <scheme val="minor"/>
    </font>
    <font>
      <vertAlign val="superscript"/>
      <sz val="8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14993743705557422"/>
      </right>
      <top style="thin">
        <color indexed="64"/>
      </top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indexed="64"/>
      </top>
      <bottom/>
      <diagonal/>
    </border>
    <border>
      <left/>
      <right style="thin">
        <color theme="0" tint="-0.34998626667073579"/>
      </right>
      <top style="thin">
        <color indexed="64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indexed="64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0" fontId="5" fillId="0" borderId="0"/>
    <xf numFmtId="0" fontId="13" fillId="0" borderId="0"/>
  </cellStyleXfs>
  <cellXfs count="241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3" fillId="0" borderId="4" xfId="0" applyFont="1" applyBorder="1"/>
    <xf numFmtId="0" fontId="0" fillId="0" borderId="5" xfId="0" applyBorder="1"/>
    <xf numFmtId="164" fontId="0" fillId="0" borderId="5" xfId="0" applyNumberFormat="1" applyBorder="1" applyAlignment="1">
      <alignment horizontal="left"/>
    </xf>
    <xf numFmtId="0" fontId="0" fillId="0" borderId="6" xfId="0" applyBorder="1"/>
    <xf numFmtId="0" fontId="4" fillId="0" borderId="4" xfId="0" applyFont="1" applyBorder="1"/>
    <xf numFmtId="0" fontId="3" fillId="0" borderId="9" xfId="0" applyFont="1" applyBorder="1"/>
    <xf numFmtId="0" fontId="0" fillId="0" borderId="10" xfId="0" applyBorder="1"/>
    <xf numFmtId="164" fontId="0" fillId="0" borderId="10" xfId="0" applyNumberFormat="1" applyBorder="1" applyAlignment="1">
      <alignment horizontal="left"/>
    </xf>
    <xf numFmtId="0" fontId="0" fillId="0" borderId="11" xfId="0" applyBorder="1"/>
    <xf numFmtId="0" fontId="4" fillId="0" borderId="12" xfId="0" applyFont="1" applyBorder="1"/>
    <xf numFmtId="0" fontId="0" fillId="0" borderId="13" xfId="0" applyBorder="1"/>
    <xf numFmtId="3" fontId="0" fillId="0" borderId="0" xfId="0" applyNumberFormat="1" applyAlignment="1">
      <alignment horizontal="right"/>
    </xf>
    <xf numFmtId="14" fontId="0" fillId="0" borderId="0" xfId="0" applyNumberFormat="1"/>
    <xf numFmtId="0" fontId="3" fillId="0" borderId="7" xfId="0" applyFont="1" applyBorder="1"/>
    <xf numFmtId="0" fontId="0" fillId="0" borderId="5" xfId="0" applyBorder="1" applyAlignment="1">
      <alignment horizontal="left"/>
    </xf>
    <xf numFmtId="0" fontId="0" fillId="0" borderId="8" xfId="0" applyBorder="1"/>
    <xf numFmtId="0" fontId="3" fillId="0" borderId="14" xfId="0" applyFont="1" applyBorder="1"/>
    <xf numFmtId="0" fontId="0" fillId="0" borderId="15" xfId="0" applyBorder="1"/>
    <xf numFmtId="0" fontId="0" fillId="0" borderId="15" xfId="0" applyBorder="1" applyAlignment="1">
      <alignment horizontal="left"/>
    </xf>
    <xf numFmtId="0" fontId="0" fillId="0" borderId="16" xfId="0" applyBorder="1"/>
    <xf numFmtId="0" fontId="4" fillId="0" borderId="9" xfId="0" applyFont="1" applyBorder="1"/>
    <xf numFmtId="0" fontId="2" fillId="3" borderId="3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 indent="1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0" borderId="4" xfId="0" applyFont="1" applyBorder="1"/>
    <xf numFmtId="0" fontId="6" fillId="0" borderId="5" xfId="0" applyFont="1" applyBorder="1"/>
    <xf numFmtId="0" fontId="6" fillId="0" borderId="5" xfId="0" applyFont="1" applyBorder="1" applyAlignment="1">
      <alignment horizontal="left" indent="1"/>
    </xf>
    <xf numFmtId="0" fontId="6" fillId="0" borderId="6" xfId="0" applyFont="1" applyBorder="1"/>
    <xf numFmtId="0" fontId="7" fillId="0" borderId="0" xfId="0" applyFont="1" applyAlignment="1">
      <alignment horizontal="right"/>
    </xf>
    <xf numFmtId="0" fontId="5" fillId="2" borderId="0" xfId="0" applyFont="1" applyFill="1" applyAlignment="1">
      <alignment horizontal="left"/>
    </xf>
    <xf numFmtId="0" fontId="5" fillId="2" borderId="0" xfId="0" applyFont="1" applyFill="1" applyAlignment="1">
      <alignment horizontal="center"/>
    </xf>
    <xf numFmtId="0" fontId="6" fillId="0" borderId="12" xfId="0" applyFont="1" applyBorder="1"/>
    <xf numFmtId="0" fontId="6" fillId="0" borderId="0" xfId="0" applyFont="1"/>
    <xf numFmtId="0" fontId="6" fillId="0" borderId="0" xfId="0" applyFont="1" applyAlignment="1">
      <alignment horizontal="left" indent="1"/>
    </xf>
    <xf numFmtId="0" fontId="6" fillId="0" borderId="13" xfId="0" applyFont="1" applyBorder="1"/>
    <xf numFmtId="0" fontId="0" fillId="0" borderId="0" xfId="0" applyAlignment="1">
      <alignment horizontal="left"/>
    </xf>
    <xf numFmtId="4" fontId="0" fillId="0" borderId="0" xfId="0" applyNumberFormat="1" applyAlignment="1">
      <alignment horizontal="right"/>
    </xf>
    <xf numFmtId="165" fontId="0" fillId="0" borderId="0" xfId="0" applyNumberFormat="1" applyAlignment="1">
      <alignment horizontal="left"/>
    </xf>
    <xf numFmtId="4" fontId="0" fillId="0" borderId="10" xfId="0" applyNumberForma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right"/>
    </xf>
    <xf numFmtId="0" fontId="2" fillId="2" borderId="2" xfId="0" applyFont="1" applyFill="1" applyBorder="1" applyAlignment="1">
      <alignment horizontal="right"/>
    </xf>
    <xf numFmtId="0" fontId="2" fillId="2" borderId="3" xfId="0" applyFont="1" applyFill="1" applyBorder="1" applyAlignment="1">
      <alignment horizontal="right"/>
    </xf>
    <xf numFmtId="0" fontId="0" fillId="0" borderId="4" xfId="0" applyBorder="1"/>
    <xf numFmtId="166" fontId="0" fillId="0" borderId="5" xfId="1" applyFont="1" applyBorder="1" applyAlignment="1">
      <alignment horizontal="right"/>
    </xf>
    <xf numFmtId="166" fontId="0" fillId="0" borderId="6" xfId="1" applyFont="1" applyBorder="1" applyAlignment="1">
      <alignment horizontal="right"/>
    </xf>
    <xf numFmtId="0" fontId="0" fillId="0" borderId="12" xfId="0" applyBorder="1"/>
    <xf numFmtId="166" fontId="0" fillId="0" borderId="0" xfId="1" applyFont="1" applyBorder="1" applyAlignment="1">
      <alignment horizontal="right"/>
    </xf>
    <xf numFmtId="166" fontId="0" fillId="0" borderId="13" xfId="1" applyFont="1" applyBorder="1" applyAlignment="1">
      <alignment horizontal="right"/>
    </xf>
    <xf numFmtId="0" fontId="0" fillId="0" borderId="9" xfId="0" applyBorder="1"/>
    <xf numFmtId="166" fontId="0" fillId="0" borderId="10" xfId="1" applyFont="1" applyBorder="1" applyAlignment="1">
      <alignment horizontal="right"/>
    </xf>
    <xf numFmtId="166" fontId="0" fillId="0" borderId="11" xfId="1" applyFont="1" applyBorder="1" applyAlignment="1">
      <alignment horizontal="right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8" fillId="2" borderId="0" xfId="0" applyFont="1" applyFill="1" applyAlignment="1">
      <alignment horizontal="left"/>
    </xf>
    <xf numFmtId="0" fontId="2" fillId="3" borderId="1" xfId="0" applyFont="1" applyFill="1" applyBorder="1"/>
    <xf numFmtId="0" fontId="2" fillId="2" borderId="19" xfId="0" applyFont="1" applyFill="1" applyBorder="1" applyAlignment="1">
      <alignment horizontal="left" indent="1"/>
    </xf>
    <xf numFmtId="0" fontId="6" fillId="0" borderId="20" xfId="0" applyFont="1" applyBorder="1" applyAlignment="1">
      <alignment horizontal="left" indent="1"/>
    </xf>
    <xf numFmtId="0" fontId="6" fillId="0" borderId="21" xfId="0" applyFont="1" applyBorder="1" applyAlignment="1">
      <alignment horizontal="left" indent="1"/>
    </xf>
    <xf numFmtId="0" fontId="6" fillId="0" borderId="22" xfId="0" applyFont="1" applyBorder="1" applyAlignment="1">
      <alignment horizontal="left" indent="1"/>
    </xf>
    <xf numFmtId="0" fontId="5" fillId="0" borderId="23" xfId="0" applyFont="1" applyBorder="1" applyAlignment="1">
      <alignment horizontal="left"/>
    </xf>
    <xf numFmtId="0" fontId="5" fillId="0" borderId="24" xfId="0" applyFont="1" applyBorder="1" applyAlignment="1">
      <alignment horizontal="center"/>
    </xf>
    <xf numFmtId="0" fontId="5" fillId="2" borderId="25" xfId="0" applyFont="1" applyFill="1" applyBorder="1" applyAlignment="1">
      <alignment horizontal="left"/>
    </xf>
    <xf numFmtId="0" fontId="5" fillId="2" borderId="26" xfId="0" applyFont="1" applyFill="1" applyBorder="1" applyAlignment="1">
      <alignment horizontal="center"/>
    </xf>
    <xf numFmtId="0" fontId="5" fillId="0" borderId="25" xfId="0" applyFont="1" applyBorder="1" applyAlignment="1">
      <alignment horizontal="left"/>
    </xf>
    <xf numFmtId="0" fontId="5" fillId="0" borderId="26" xfId="0" applyFont="1" applyBorder="1" applyAlignment="1">
      <alignment horizontal="center"/>
    </xf>
    <xf numFmtId="0" fontId="8" fillId="2" borderId="25" xfId="0" applyFont="1" applyFill="1" applyBorder="1" applyAlignment="1">
      <alignment horizontal="left"/>
    </xf>
    <xf numFmtId="0" fontId="5" fillId="2" borderId="27" xfId="0" applyFont="1" applyFill="1" applyBorder="1" applyAlignment="1">
      <alignment horizontal="left"/>
    </xf>
    <xf numFmtId="0" fontId="5" fillId="2" borderId="28" xfId="0" applyFont="1" applyFill="1" applyBorder="1" applyAlignment="1">
      <alignment horizontal="center"/>
    </xf>
    <xf numFmtId="0" fontId="0" fillId="0" borderId="0" xfId="0" applyAlignment="1">
      <alignment horizontal="right" indent="1"/>
    </xf>
    <xf numFmtId="0" fontId="2" fillId="4" borderId="1" xfId="0" applyFont="1" applyFill="1" applyBorder="1" applyAlignment="1">
      <alignment horizontal="right" indent="1"/>
    </xf>
    <xf numFmtId="0" fontId="2" fillId="4" borderId="2" xfId="0" applyFont="1" applyFill="1" applyBorder="1" applyAlignment="1">
      <alignment horizontal="right" indent="1"/>
    </xf>
    <xf numFmtId="0" fontId="2" fillId="4" borderId="3" xfId="0" applyFont="1" applyFill="1" applyBorder="1" applyAlignment="1">
      <alignment horizontal="right" indent="1"/>
    </xf>
    <xf numFmtId="0" fontId="10" fillId="0" borderId="0" xfId="0" applyFont="1" applyAlignment="1">
      <alignment horizontal="right"/>
    </xf>
    <xf numFmtId="0" fontId="10" fillId="0" borderId="0" xfId="0" applyFont="1"/>
    <xf numFmtId="0" fontId="2" fillId="0" borderId="7" xfId="0" applyFont="1" applyBorder="1"/>
    <xf numFmtId="0" fontId="2" fillId="0" borderId="14" xfId="0" applyFont="1" applyBorder="1"/>
    <xf numFmtId="167" fontId="0" fillId="0" borderId="5" xfId="0" applyNumberFormat="1" applyBorder="1"/>
    <xf numFmtId="167" fontId="0" fillId="0" borderId="0" xfId="0" applyNumberFormat="1"/>
    <xf numFmtId="167" fontId="2" fillId="0" borderId="0" xfId="0" applyNumberFormat="1" applyFont="1"/>
    <xf numFmtId="167" fontId="2" fillId="0" borderId="29" xfId="0" applyNumberFormat="1" applyFont="1" applyBorder="1" applyAlignment="1">
      <alignment horizontal="right" indent="1"/>
    </xf>
    <xf numFmtId="167" fontId="0" fillId="0" borderId="0" xfId="1" applyNumberFormat="1" applyFont="1"/>
    <xf numFmtId="167" fontId="0" fillId="0" borderId="0" xfId="1" applyNumberFormat="1" applyFont="1" applyAlignment="1">
      <alignment horizontal="right" indent="1"/>
    </xf>
    <xf numFmtId="0" fontId="2" fillId="3" borderId="32" xfId="0" applyFont="1" applyFill="1" applyBorder="1"/>
    <xf numFmtId="167" fontId="0" fillId="3" borderId="7" xfId="0" applyNumberFormat="1" applyFill="1" applyBorder="1"/>
    <xf numFmtId="167" fontId="0" fillId="3" borderId="5" xfId="0" applyNumberFormat="1" applyFill="1" applyBorder="1"/>
    <xf numFmtId="167" fontId="0" fillId="3" borderId="8" xfId="0" applyNumberFormat="1" applyFill="1" applyBorder="1"/>
    <xf numFmtId="0" fontId="2" fillId="3" borderId="33" xfId="0" applyFont="1" applyFill="1" applyBorder="1"/>
    <xf numFmtId="167" fontId="0" fillId="3" borderId="14" xfId="0" applyNumberFormat="1" applyFill="1" applyBorder="1"/>
    <xf numFmtId="167" fontId="0" fillId="3" borderId="15" xfId="0" applyNumberFormat="1" applyFill="1" applyBorder="1"/>
    <xf numFmtId="167" fontId="0" fillId="3" borderId="16" xfId="0" applyNumberFormat="1" applyFill="1" applyBorder="1"/>
    <xf numFmtId="167" fontId="0" fillId="3" borderId="29" xfId="0" applyNumberFormat="1" applyFill="1" applyBorder="1" applyAlignment="1">
      <alignment horizontal="right" indent="1"/>
    </xf>
    <xf numFmtId="167" fontId="0" fillId="3" borderId="30" xfId="0" applyNumberFormat="1" applyFill="1" applyBorder="1" applyAlignment="1">
      <alignment horizontal="right" indent="1"/>
    </xf>
    <xf numFmtId="167" fontId="2" fillId="0" borderId="7" xfId="0" applyNumberFormat="1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167" fontId="2" fillId="0" borderId="8" xfId="0" applyNumberFormat="1" applyFont="1" applyBorder="1" applyAlignment="1">
      <alignment horizontal="right"/>
    </xf>
    <xf numFmtId="167" fontId="0" fillId="0" borderId="0" xfId="0" applyNumberFormat="1" applyAlignment="1">
      <alignment horizontal="right"/>
    </xf>
    <xf numFmtId="0" fontId="2" fillId="2" borderId="19" xfId="0" applyFont="1" applyFill="1" applyBorder="1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right" indent="1"/>
    </xf>
    <xf numFmtId="168" fontId="0" fillId="0" borderId="0" xfId="0" applyNumberFormat="1" applyAlignment="1">
      <alignment horizontal="right"/>
    </xf>
    <xf numFmtId="168" fontId="0" fillId="0" borderId="0" xfId="0" applyNumberFormat="1" applyAlignment="1">
      <alignment horizontal="right" indent="1"/>
    </xf>
    <xf numFmtId="0" fontId="0" fillId="0" borderId="25" xfId="0" applyBorder="1"/>
    <xf numFmtId="0" fontId="0" fillId="0" borderId="27" xfId="0" applyBorder="1"/>
    <xf numFmtId="167" fontId="0" fillId="0" borderId="23" xfId="0" applyNumberFormat="1" applyBorder="1"/>
    <xf numFmtId="167" fontId="0" fillId="0" borderId="25" xfId="0" applyNumberFormat="1" applyBorder="1"/>
    <xf numFmtId="167" fontId="0" fillId="0" borderId="27" xfId="0" applyNumberFormat="1" applyBorder="1"/>
    <xf numFmtId="4" fontId="0" fillId="0" borderId="5" xfId="0" applyNumberFormat="1" applyBorder="1"/>
    <xf numFmtId="4" fontId="0" fillId="0" borderId="24" xfId="0" applyNumberFormat="1" applyBorder="1"/>
    <xf numFmtId="4" fontId="0" fillId="0" borderId="26" xfId="0" applyNumberFormat="1" applyBorder="1"/>
    <xf numFmtId="4" fontId="0" fillId="0" borderId="34" xfId="0" applyNumberFormat="1" applyBorder="1"/>
    <xf numFmtId="4" fontId="0" fillId="0" borderId="28" xfId="0" applyNumberFormat="1" applyBorder="1"/>
    <xf numFmtId="167" fontId="0" fillId="0" borderId="14" xfId="0" applyNumberFormat="1" applyBorder="1" applyAlignment="1">
      <alignment horizontal="right"/>
    </xf>
    <xf numFmtId="167" fontId="0" fillId="0" borderId="15" xfId="0" applyNumberFormat="1" applyBorder="1" applyAlignment="1">
      <alignment horizontal="right"/>
    </xf>
    <xf numFmtId="167" fontId="11" fillId="0" borderId="16" xfId="0" applyNumberFormat="1" applyFont="1" applyBorder="1" applyAlignment="1">
      <alignment horizontal="right"/>
    </xf>
    <xf numFmtId="167" fontId="11" fillId="0" borderId="0" xfId="0" applyNumberFormat="1" applyFont="1"/>
    <xf numFmtId="167" fontId="0" fillId="0" borderId="31" xfId="0" applyNumberFormat="1" applyBorder="1" applyAlignment="1">
      <alignment horizontal="right" indent="1"/>
    </xf>
    <xf numFmtId="167" fontId="2" fillId="2" borderId="7" xfId="0" applyNumberFormat="1" applyFont="1" applyFill="1" applyBorder="1" applyAlignment="1">
      <alignment horizontal="right"/>
    </xf>
    <xf numFmtId="167" fontId="2" fillId="2" borderId="5" xfId="0" applyNumberFormat="1" applyFont="1" applyFill="1" applyBorder="1" applyAlignment="1">
      <alignment horizontal="right"/>
    </xf>
    <xf numFmtId="167" fontId="2" fillId="2" borderId="8" xfId="0" applyNumberFormat="1" applyFont="1" applyFill="1" applyBorder="1" applyAlignment="1">
      <alignment horizontal="right"/>
    </xf>
    <xf numFmtId="167" fontId="0" fillId="2" borderId="14" xfId="0" applyNumberFormat="1" applyFill="1" applyBorder="1" applyAlignment="1">
      <alignment horizontal="right"/>
    </xf>
    <xf numFmtId="167" fontId="0" fillId="2" borderId="15" xfId="0" applyNumberFormat="1" applyFill="1" applyBorder="1" applyAlignment="1">
      <alignment horizontal="right"/>
    </xf>
    <xf numFmtId="167" fontId="11" fillId="2" borderId="16" xfId="0" applyNumberFormat="1" applyFont="1" applyFill="1" applyBorder="1" applyAlignment="1">
      <alignment horizontal="right"/>
    </xf>
    <xf numFmtId="0" fontId="12" fillId="0" borderId="0" xfId="0" applyFont="1" applyAlignment="1">
      <alignment horizontal="left"/>
    </xf>
    <xf numFmtId="0" fontId="0" fillId="0" borderId="14" xfId="0" applyBorder="1" applyAlignment="1">
      <alignment horizontal="center"/>
    </xf>
    <xf numFmtId="4" fontId="0" fillId="0" borderId="15" xfId="0" applyNumberFormat="1" applyBorder="1" applyAlignment="1">
      <alignment horizontal="right" indent="1"/>
    </xf>
    <xf numFmtId="4" fontId="0" fillId="0" borderId="16" xfId="0" applyNumberFormat="1" applyBorder="1" applyAlignment="1">
      <alignment horizontal="right" indent="1"/>
    </xf>
    <xf numFmtId="0" fontId="0" fillId="0" borderId="7" xfId="0" applyBorder="1" applyAlignment="1">
      <alignment horizontal="center"/>
    </xf>
    <xf numFmtId="0" fontId="2" fillId="0" borderId="7" xfId="0" applyFont="1" applyBorder="1" applyAlignment="1">
      <alignment horizontal="center"/>
    </xf>
    <xf numFmtId="4" fontId="2" fillId="0" borderId="5" xfId="0" applyNumberFormat="1" applyFont="1" applyBorder="1" applyAlignment="1">
      <alignment horizontal="right" indent="1"/>
    </xf>
    <xf numFmtId="4" fontId="2" fillId="0" borderId="8" xfId="0" applyNumberFormat="1" applyFont="1" applyBorder="1" applyAlignment="1">
      <alignment horizontal="right" indent="1"/>
    </xf>
    <xf numFmtId="3" fontId="0" fillId="0" borderId="23" xfId="0" applyNumberFormat="1" applyBorder="1" applyAlignment="1">
      <alignment horizontal="center"/>
    </xf>
    <xf numFmtId="3" fontId="0" fillId="0" borderId="25" xfId="0" applyNumberFormat="1" applyBorder="1" applyAlignment="1">
      <alignment horizontal="center"/>
    </xf>
    <xf numFmtId="3" fontId="0" fillId="0" borderId="27" xfId="0" applyNumberFormat="1" applyBorder="1" applyAlignment="1">
      <alignment horizontal="center"/>
    </xf>
    <xf numFmtId="167" fontId="2" fillId="2" borderId="7" xfId="0" applyNumberFormat="1" applyFont="1" applyFill="1" applyBorder="1" applyAlignment="1">
      <alignment horizontal="center"/>
    </xf>
    <xf numFmtId="167" fontId="0" fillId="2" borderId="14" xfId="0" applyNumberFormat="1" applyFill="1" applyBorder="1" applyAlignment="1">
      <alignment horizontal="center"/>
    </xf>
    <xf numFmtId="169" fontId="0" fillId="0" borderId="0" xfId="0" applyNumberFormat="1" applyAlignment="1">
      <alignment horizontal="right" indent="1"/>
    </xf>
    <xf numFmtId="169" fontId="0" fillId="0" borderId="0" xfId="0" applyNumberFormat="1"/>
    <xf numFmtId="0" fontId="0" fillId="0" borderId="23" xfId="0" applyBorder="1" applyAlignment="1">
      <alignment horizontal="center"/>
    </xf>
    <xf numFmtId="169" fontId="0" fillId="0" borderId="5" xfId="0" applyNumberFormat="1" applyBorder="1" applyAlignment="1">
      <alignment horizontal="right" indent="1"/>
    </xf>
    <xf numFmtId="0" fontId="0" fillId="0" borderId="25" xfId="0" applyBorder="1" applyAlignment="1">
      <alignment horizontal="center"/>
    </xf>
    <xf numFmtId="169" fontId="0" fillId="0" borderId="34" xfId="0" applyNumberFormat="1" applyBorder="1"/>
    <xf numFmtId="167" fontId="0" fillId="0" borderId="34" xfId="0" applyNumberFormat="1" applyBorder="1"/>
    <xf numFmtId="0" fontId="5" fillId="0" borderId="7" xfId="2" applyBorder="1"/>
    <xf numFmtId="0" fontId="5" fillId="0" borderId="8" xfId="2" applyBorder="1"/>
    <xf numFmtId="0" fontId="5" fillId="0" borderId="0" xfId="2"/>
    <xf numFmtId="0" fontId="8" fillId="0" borderId="0" xfId="2" applyFont="1"/>
    <xf numFmtId="0" fontId="5" fillId="0" borderId="35" xfId="2" applyBorder="1"/>
    <xf numFmtId="0" fontId="5" fillId="0" borderId="36" xfId="2" applyBorder="1"/>
    <xf numFmtId="0" fontId="13" fillId="0" borderId="37" xfId="3" applyBorder="1"/>
    <xf numFmtId="0" fontId="13" fillId="0" borderId="38" xfId="3" applyBorder="1" applyAlignment="1">
      <alignment horizontal="center"/>
    </xf>
    <xf numFmtId="0" fontId="13" fillId="0" borderId="39" xfId="3" applyBorder="1" applyAlignment="1">
      <alignment horizontal="center"/>
    </xf>
    <xf numFmtId="0" fontId="5" fillId="0" borderId="16" xfId="2" applyBorder="1"/>
    <xf numFmtId="0" fontId="13" fillId="0" borderId="40" xfId="3" applyBorder="1"/>
    <xf numFmtId="0" fontId="13" fillId="0" borderId="41" xfId="3" applyBorder="1" applyAlignment="1">
      <alignment horizontal="center"/>
    </xf>
    <xf numFmtId="0" fontId="13" fillId="0" borderId="42" xfId="3" applyBorder="1" applyAlignment="1">
      <alignment horizontal="center"/>
    </xf>
    <xf numFmtId="0" fontId="5" fillId="0" borderId="5" xfId="2" applyBorder="1"/>
    <xf numFmtId="0" fontId="5" fillId="0" borderId="15" xfId="2" applyBorder="1"/>
    <xf numFmtId="0" fontId="2" fillId="0" borderId="20" xfId="2" applyFont="1" applyBorder="1" applyAlignment="1">
      <alignment horizontal="center"/>
    </xf>
    <xf numFmtId="170" fontId="1" fillId="0" borderId="43" xfId="2" applyNumberFormat="1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8" xfId="2" applyFont="1" applyBorder="1" applyAlignment="1">
      <alignment horizontal="center"/>
    </xf>
    <xf numFmtId="0" fontId="1" fillId="0" borderId="36" xfId="2" applyFont="1" applyBorder="1" applyAlignment="1">
      <alignment horizontal="center"/>
    </xf>
    <xf numFmtId="0" fontId="1" fillId="0" borderId="16" xfId="2" applyFont="1" applyBorder="1" applyAlignment="1">
      <alignment horizontal="center"/>
    </xf>
    <xf numFmtId="0" fontId="1" fillId="0" borderId="5" xfId="2" applyFont="1" applyBorder="1" applyAlignment="1">
      <alignment horizontal="left" indent="1"/>
    </xf>
    <xf numFmtId="0" fontId="1" fillId="0" borderId="0" xfId="2" applyFont="1" applyAlignment="1">
      <alignment horizontal="left" indent="1"/>
    </xf>
    <xf numFmtId="0" fontId="1" fillId="0" borderId="15" xfId="2" applyFont="1" applyBorder="1" applyAlignment="1">
      <alignment horizontal="left" indent="1"/>
    </xf>
    <xf numFmtId="0" fontId="1" fillId="0" borderId="0" xfId="0" applyFont="1" applyAlignment="1">
      <alignment horizontal="left" indent="1"/>
    </xf>
    <xf numFmtId="171" fontId="5" fillId="0" borderId="0" xfId="2" applyNumberFormat="1"/>
    <xf numFmtId="171" fontId="5" fillId="0" borderId="35" xfId="2" applyNumberFormat="1" applyBorder="1"/>
    <xf numFmtId="171" fontId="5" fillId="0" borderId="36" xfId="2" applyNumberFormat="1" applyBorder="1"/>
    <xf numFmtId="172" fontId="5" fillId="0" borderId="35" xfId="2" applyNumberFormat="1" applyBorder="1"/>
    <xf numFmtId="172" fontId="5" fillId="0" borderId="14" xfId="2" applyNumberFormat="1" applyBorder="1"/>
    <xf numFmtId="173" fontId="13" fillId="0" borderId="38" xfId="3" applyNumberFormat="1" applyBorder="1" applyAlignment="1">
      <alignment horizontal="center"/>
    </xf>
    <xf numFmtId="172" fontId="13" fillId="0" borderId="39" xfId="3" applyNumberFormat="1" applyBorder="1" applyAlignment="1">
      <alignment horizontal="center"/>
    </xf>
    <xf numFmtId="173" fontId="13" fillId="0" borderId="41" xfId="3" applyNumberFormat="1" applyBorder="1" applyAlignment="1">
      <alignment horizontal="center"/>
    </xf>
    <xf numFmtId="172" fontId="13" fillId="0" borderId="38" xfId="3" applyNumberFormat="1" applyBorder="1" applyAlignment="1">
      <alignment horizontal="center"/>
    </xf>
    <xf numFmtId="174" fontId="13" fillId="0" borderId="39" xfId="3" applyNumberFormat="1" applyBorder="1" applyAlignment="1">
      <alignment horizontal="center"/>
    </xf>
    <xf numFmtId="172" fontId="13" fillId="0" borderId="41" xfId="3" applyNumberFormat="1" applyBorder="1" applyAlignment="1">
      <alignment horizontal="center"/>
    </xf>
    <xf numFmtId="174" fontId="13" fillId="0" borderId="42" xfId="3" applyNumberForma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1" fillId="0" borderId="35" xfId="2" applyFont="1" applyBorder="1" applyAlignment="1">
      <alignment horizontal="left"/>
    </xf>
    <xf numFmtId="170" fontId="1" fillId="0" borderId="14" xfId="2" applyNumberFormat="1" applyFont="1" applyBorder="1" applyAlignment="1">
      <alignment horizontal="left"/>
    </xf>
    <xf numFmtId="169" fontId="0" fillId="0" borderId="15" xfId="0" applyNumberFormat="1" applyBorder="1"/>
    <xf numFmtId="0" fontId="0" fillId="0" borderId="16" xfId="2" applyFont="1" applyBorder="1" applyAlignment="1">
      <alignment horizontal="center"/>
    </xf>
    <xf numFmtId="0" fontId="0" fillId="0" borderId="36" xfId="2" applyFont="1" applyBorder="1" applyAlignment="1">
      <alignment horizontal="center"/>
    </xf>
    <xf numFmtId="0" fontId="2" fillId="2" borderId="7" xfId="2" applyFont="1" applyFill="1" applyBorder="1" applyAlignment="1">
      <alignment horizontal="center"/>
    </xf>
    <xf numFmtId="0" fontId="16" fillId="2" borderId="5" xfId="0" applyFont="1" applyFill="1" applyBorder="1"/>
    <xf numFmtId="0" fontId="1" fillId="2" borderId="8" xfId="2" applyFont="1" applyFill="1" applyBorder="1" applyAlignment="1">
      <alignment horizontal="center"/>
    </xf>
    <xf numFmtId="0" fontId="2" fillId="2" borderId="0" xfId="0" applyFont="1" applyFill="1" applyAlignment="1">
      <alignment horizontal="right" indent="1"/>
    </xf>
    <xf numFmtId="0" fontId="0" fillId="2" borderId="0" xfId="0" applyFill="1"/>
    <xf numFmtId="167" fontId="2" fillId="2" borderId="8" xfId="0" applyNumberFormat="1" applyFont="1" applyFill="1" applyBorder="1" applyAlignment="1">
      <alignment horizontal="right" indent="1"/>
    </xf>
    <xf numFmtId="167" fontId="11" fillId="2" borderId="16" xfId="0" applyNumberFormat="1" applyFont="1" applyFill="1" applyBorder="1" applyAlignment="1">
      <alignment horizontal="right" indent="1"/>
    </xf>
    <xf numFmtId="4" fontId="0" fillId="0" borderId="24" xfId="0" applyNumberFormat="1" applyBorder="1" applyAlignment="1">
      <alignment horizontal="right" indent="1"/>
    </xf>
    <xf numFmtId="167" fontId="0" fillId="0" borderId="26" xfId="0" applyNumberFormat="1" applyBorder="1" applyAlignment="1">
      <alignment horizontal="right" indent="1"/>
    </xf>
    <xf numFmtId="4" fontId="0" fillId="0" borderId="26" xfId="0" applyNumberFormat="1" applyBorder="1" applyAlignment="1">
      <alignment horizontal="right" indent="1"/>
    </xf>
    <xf numFmtId="4" fontId="0" fillId="0" borderId="28" xfId="0" applyNumberFormat="1" applyBorder="1" applyAlignment="1">
      <alignment horizontal="right" indent="1"/>
    </xf>
    <xf numFmtId="0" fontId="0" fillId="0" borderId="8" xfId="0" applyBorder="1" applyAlignment="1">
      <alignment horizontal="center"/>
    </xf>
    <xf numFmtId="0" fontId="0" fillId="0" borderId="16" xfId="0" applyBorder="1" applyAlignment="1">
      <alignment horizontal="center"/>
    </xf>
    <xf numFmtId="0" fontId="3" fillId="0" borderId="0" xfId="0" applyFont="1"/>
    <xf numFmtId="169" fontId="0" fillId="0" borderId="8" xfId="0" applyNumberFormat="1" applyBorder="1" applyAlignment="1">
      <alignment horizontal="right" indent="1"/>
    </xf>
    <xf numFmtId="169" fontId="0" fillId="0" borderId="15" xfId="0" applyNumberFormat="1" applyBorder="1" applyAlignment="1">
      <alignment horizontal="right" indent="1"/>
    </xf>
    <xf numFmtId="169" fontId="0" fillId="0" borderId="16" xfId="0" applyNumberFormat="1" applyBorder="1" applyAlignment="1">
      <alignment horizontal="right" indent="1"/>
    </xf>
    <xf numFmtId="0" fontId="0" fillId="2" borderId="7" xfId="0" applyFill="1" applyBorder="1" applyAlignment="1">
      <alignment horizontal="center"/>
    </xf>
    <xf numFmtId="0" fontId="2" fillId="2" borderId="5" xfId="0" applyFont="1" applyFill="1" applyBorder="1" applyAlignment="1">
      <alignment horizontal="right" indent="1"/>
    </xf>
    <xf numFmtId="0" fontId="2" fillId="2" borderId="8" xfId="0" applyFont="1" applyFill="1" applyBorder="1" applyAlignment="1">
      <alignment horizontal="right" indent="1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right" indent="1"/>
    </xf>
    <xf numFmtId="0" fontId="0" fillId="2" borderId="16" xfId="0" applyFill="1" applyBorder="1" applyAlignment="1">
      <alignment horizontal="right" indent="1"/>
    </xf>
    <xf numFmtId="0" fontId="2" fillId="2" borderId="8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167" fontId="0" fillId="0" borderId="5" xfId="0" applyNumberFormat="1" applyBorder="1" applyAlignment="1">
      <alignment horizontal="right" indent="1"/>
    </xf>
    <xf numFmtId="0" fontId="0" fillId="0" borderId="35" xfId="0" applyBorder="1" applyAlignment="1">
      <alignment horizontal="center"/>
    </xf>
    <xf numFmtId="167" fontId="0" fillId="0" borderId="0" xfId="0" applyNumberFormat="1" applyAlignment="1">
      <alignment horizontal="right" indent="1"/>
    </xf>
    <xf numFmtId="0" fontId="0" fillId="0" borderId="36" xfId="0" applyBorder="1" applyAlignment="1">
      <alignment horizontal="center"/>
    </xf>
    <xf numFmtId="167" fontId="0" fillId="0" borderId="15" xfId="0" applyNumberFormat="1" applyBorder="1" applyAlignment="1">
      <alignment horizontal="right" indent="1"/>
    </xf>
    <xf numFmtId="0" fontId="12" fillId="2" borderId="1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0" fontId="14" fillId="0" borderId="7" xfId="0" applyFont="1" applyBorder="1" applyAlignment="1">
      <alignment horizontal="center" vertical="center"/>
    </xf>
    <xf numFmtId="0" fontId="14" fillId="0" borderId="35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" fillId="0" borderId="0" xfId="0" applyFont="1"/>
    <xf numFmtId="0" fontId="0" fillId="2" borderId="5" xfId="0" applyFill="1" applyBorder="1"/>
    <xf numFmtId="0" fontId="0" fillId="2" borderId="8" xfId="0" applyFill="1" applyBorder="1"/>
    <xf numFmtId="0" fontId="0" fillId="2" borderId="15" xfId="0" applyFill="1" applyBorder="1"/>
    <xf numFmtId="0" fontId="0" fillId="2" borderId="16" xfId="0" applyFill="1" applyBorder="1"/>
    <xf numFmtId="0" fontId="3" fillId="2" borderId="7" xfId="0" applyFont="1" applyFill="1" applyBorder="1"/>
    <xf numFmtId="0" fontId="3" fillId="2" borderId="14" xfId="0" applyFont="1" applyFill="1" applyBorder="1"/>
  </cellXfs>
  <cellStyles count="4">
    <cellStyle name="Comma" xfId="1" builtinId="3"/>
    <cellStyle name="Normal" xfId="0" builtinId="0"/>
    <cellStyle name="Normal 10" xfId="2" xr:uid="{00000000-0005-0000-0000-000002000000}"/>
    <cellStyle name="Normal 184" xfId="3" xr:uid="{00000000-0005-0000-0000-00000300000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BO" b="1">
                <a:solidFill>
                  <a:schemeClr val="tx1"/>
                </a:solidFill>
              </a:rPr>
              <a:t>MG 1</a:t>
            </a:r>
          </a:p>
        </c:rich>
      </c:tx>
      <c:layout>
        <c:manualLayout>
          <c:xMode val="edge"/>
          <c:yMode val="edge"/>
          <c:x val="3.2906511686039246E-2"/>
          <c:y val="1.21028744326777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21686132201160821"/>
          <c:y val="0.11972666038104458"/>
          <c:w val="0.7120590595539863"/>
          <c:h val="0.85654086928454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'MG Data'!$B$5:$D$5</c:f>
              <c:strCache>
                <c:ptCount val="1"/>
                <c:pt idx="0">
                  <c:v>MG 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'MG Data'!$C$10:$C$2153</c:f>
              <c:numCache>
                <c:formatCode>#,##0.000</c:formatCode>
                <c:ptCount val="2144"/>
                <c:pt idx="0">
                  <c:v>13.7906</c:v>
                </c:pt>
                <c:pt idx="1">
                  <c:v>13.7896</c:v>
                </c:pt>
                <c:pt idx="2">
                  <c:v>13.7913</c:v>
                </c:pt>
                <c:pt idx="3">
                  <c:v>13.7873</c:v>
                </c:pt>
                <c:pt idx="4">
                  <c:v>13.802</c:v>
                </c:pt>
                <c:pt idx="5">
                  <c:v>13.8483</c:v>
                </c:pt>
                <c:pt idx="6">
                  <c:v>13.7921</c:v>
                </c:pt>
                <c:pt idx="7">
                  <c:v>13.755100000000001</c:v>
                </c:pt>
                <c:pt idx="8">
                  <c:v>13.789899999999999</c:v>
                </c:pt>
                <c:pt idx="9">
                  <c:v>13.768000000000001</c:v>
                </c:pt>
                <c:pt idx="10">
                  <c:v>13.7721</c:v>
                </c:pt>
                <c:pt idx="11">
                  <c:v>13.7766</c:v>
                </c:pt>
                <c:pt idx="12">
                  <c:v>13.775600000000001</c:v>
                </c:pt>
                <c:pt idx="13">
                  <c:v>13.8163</c:v>
                </c:pt>
                <c:pt idx="14">
                  <c:v>13.8314</c:v>
                </c:pt>
                <c:pt idx="15">
                  <c:v>13.8005</c:v>
                </c:pt>
                <c:pt idx="16">
                  <c:v>13.7796</c:v>
                </c:pt>
                <c:pt idx="17">
                  <c:v>13.779299999999999</c:v>
                </c:pt>
                <c:pt idx="18">
                  <c:v>13.800800000000001</c:v>
                </c:pt>
                <c:pt idx="19">
                  <c:v>13.806100000000001</c:v>
                </c:pt>
                <c:pt idx="20">
                  <c:v>13.811500000000001</c:v>
                </c:pt>
                <c:pt idx="21">
                  <c:v>13.791399999999999</c:v>
                </c:pt>
                <c:pt idx="22">
                  <c:v>13.7752</c:v>
                </c:pt>
                <c:pt idx="23">
                  <c:v>13.770099999999999</c:v>
                </c:pt>
                <c:pt idx="24">
                  <c:v>13.8071</c:v>
                </c:pt>
                <c:pt idx="25">
                  <c:v>13.7707</c:v>
                </c:pt>
                <c:pt idx="26">
                  <c:v>13.7867</c:v>
                </c:pt>
                <c:pt idx="27">
                  <c:v>13.7828</c:v>
                </c:pt>
                <c:pt idx="28">
                  <c:v>13.7994</c:v>
                </c:pt>
                <c:pt idx="29">
                  <c:v>13.8055</c:v>
                </c:pt>
                <c:pt idx="30">
                  <c:v>13.791</c:v>
                </c:pt>
                <c:pt idx="31">
                  <c:v>13.822699999999999</c:v>
                </c:pt>
                <c:pt idx="32">
                  <c:v>13.818199999999999</c:v>
                </c:pt>
                <c:pt idx="33">
                  <c:v>13.8299</c:v>
                </c:pt>
                <c:pt idx="34">
                  <c:v>13.788500000000001</c:v>
                </c:pt>
                <c:pt idx="35">
                  <c:v>13.7791</c:v>
                </c:pt>
                <c:pt idx="36">
                  <c:v>13.7645</c:v>
                </c:pt>
                <c:pt idx="37">
                  <c:v>13.796200000000001</c:v>
                </c:pt>
                <c:pt idx="38">
                  <c:v>13.807499999999999</c:v>
                </c:pt>
                <c:pt idx="39">
                  <c:v>13.8186</c:v>
                </c:pt>
                <c:pt idx="40">
                  <c:v>13.8085</c:v>
                </c:pt>
                <c:pt idx="41">
                  <c:v>13.8192</c:v>
                </c:pt>
                <c:pt idx="42">
                  <c:v>13.778</c:v>
                </c:pt>
                <c:pt idx="43">
                  <c:v>13.7883</c:v>
                </c:pt>
                <c:pt idx="44">
                  <c:v>13.8078</c:v>
                </c:pt>
                <c:pt idx="45">
                  <c:v>13.833600000000001</c:v>
                </c:pt>
                <c:pt idx="46">
                  <c:v>13.7819</c:v>
                </c:pt>
                <c:pt idx="47">
                  <c:v>13.8134</c:v>
                </c:pt>
                <c:pt idx="48">
                  <c:v>13.788600000000001</c:v>
                </c:pt>
                <c:pt idx="49">
                  <c:v>13.8253</c:v>
                </c:pt>
                <c:pt idx="50">
                  <c:v>13.8156</c:v>
                </c:pt>
                <c:pt idx="51">
                  <c:v>13.7897</c:v>
                </c:pt>
                <c:pt idx="52">
                  <c:v>13.7698</c:v>
                </c:pt>
                <c:pt idx="53">
                  <c:v>13.7715</c:v>
                </c:pt>
                <c:pt idx="54">
                  <c:v>13.8127</c:v>
                </c:pt>
                <c:pt idx="55">
                  <c:v>13.7933</c:v>
                </c:pt>
                <c:pt idx="56">
                  <c:v>13.769399999999999</c:v>
                </c:pt>
                <c:pt idx="57">
                  <c:v>13.7597</c:v>
                </c:pt>
                <c:pt idx="58">
                  <c:v>13.740600000000001</c:v>
                </c:pt>
                <c:pt idx="59">
                  <c:v>13.779</c:v>
                </c:pt>
                <c:pt idx="60">
                  <c:v>13.7796</c:v>
                </c:pt>
                <c:pt idx="61">
                  <c:v>13.765599999999999</c:v>
                </c:pt>
                <c:pt idx="62">
                  <c:v>13.7934</c:v>
                </c:pt>
                <c:pt idx="63">
                  <c:v>13.758900000000001</c:v>
                </c:pt>
                <c:pt idx="64">
                  <c:v>13.729100000000001</c:v>
                </c:pt>
                <c:pt idx="65">
                  <c:v>13.777100000000001</c:v>
                </c:pt>
                <c:pt idx="66">
                  <c:v>13.7523</c:v>
                </c:pt>
                <c:pt idx="67">
                  <c:v>13.770099999999999</c:v>
                </c:pt>
                <c:pt idx="68">
                  <c:v>13.740399999999999</c:v>
                </c:pt>
                <c:pt idx="69">
                  <c:v>13.792899999999999</c:v>
                </c:pt>
                <c:pt idx="70">
                  <c:v>13.754</c:v>
                </c:pt>
                <c:pt idx="71">
                  <c:v>13.760199999999999</c:v>
                </c:pt>
                <c:pt idx="72">
                  <c:v>13.788</c:v>
                </c:pt>
                <c:pt idx="73">
                  <c:v>13.8049</c:v>
                </c:pt>
                <c:pt idx="74">
                  <c:v>13.7446</c:v>
                </c:pt>
                <c:pt idx="75">
                  <c:v>13.725</c:v>
                </c:pt>
                <c:pt idx="76">
                  <c:v>13.751899999999999</c:v>
                </c:pt>
                <c:pt idx="77">
                  <c:v>13.783899999999999</c:v>
                </c:pt>
                <c:pt idx="78">
                  <c:v>13.795199999999999</c:v>
                </c:pt>
                <c:pt idx="79">
                  <c:v>13.7643</c:v>
                </c:pt>
                <c:pt idx="80">
                  <c:v>13.7141</c:v>
                </c:pt>
                <c:pt idx="81">
                  <c:v>13.7499</c:v>
                </c:pt>
                <c:pt idx="82">
                  <c:v>13.730399999999999</c:v>
                </c:pt>
                <c:pt idx="83">
                  <c:v>13.7521</c:v>
                </c:pt>
                <c:pt idx="84">
                  <c:v>13.737500000000001</c:v>
                </c:pt>
                <c:pt idx="85">
                  <c:v>13.732900000000001</c:v>
                </c:pt>
                <c:pt idx="86">
                  <c:v>13.7386</c:v>
                </c:pt>
                <c:pt idx="87">
                  <c:v>13.7027</c:v>
                </c:pt>
                <c:pt idx="88">
                  <c:v>13.749700000000001</c:v>
                </c:pt>
                <c:pt idx="89">
                  <c:v>13.7196</c:v>
                </c:pt>
                <c:pt idx="90">
                  <c:v>13.750500000000001</c:v>
                </c:pt>
                <c:pt idx="91">
                  <c:v>13.731400000000001</c:v>
                </c:pt>
                <c:pt idx="92">
                  <c:v>13.7776</c:v>
                </c:pt>
                <c:pt idx="93">
                  <c:v>13.752800000000001</c:v>
                </c:pt>
                <c:pt idx="94">
                  <c:v>13.738300000000001</c:v>
                </c:pt>
                <c:pt idx="95">
                  <c:v>13.7492</c:v>
                </c:pt>
                <c:pt idx="96">
                  <c:v>13.7546</c:v>
                </c:pt>
                <c:pt idx="97">
                  <c:v>13.750500000000001</c:v>
                </c:pt>
                <c:pt idx="98">
                  <c:v>13.7356</c:v>
                </c:pt>
                <c:pt idx="99">
                  <c:v>13.7981</c:v>
                </c:pt>
                <c:pt idx="100">
                  <c:v>13.746600000000001</c:v>
                </c:pt>
                <c:pt idx="101">
                  <c:v>56.520600000000002</c:v>
                </c:pt>
                <c:pt idx="102">
                  <c:v>106.008</c:v>
                </c:pt>
                <c:pt idx="103">
                  <c:v>191.89449999999999</c:v>
                </c:pt>
                <c:pt idx="104">
                  <c:v>332.3229</c:v>
                </c:pt>
                <c:pt idx="105">
                  <c:v>556.67560000000003</c:v>
                </c:pt>
                <c:pt idx="106">
                  <c:v>698.0634</c:v>
                </c:pt>
                <c:pt idx="107">
                  <c:v>698.73469999999998</c:v>
                </c:pt>
                <c:pt idx="108">
                  <c:v>699.14369999999997</c:v>
                </c:pt>
                <c:pt idx="109">
                  <c:v>699.43020000000001</c:v>
                </c:pt>
                <c:pt idx="110">
                  <c:v>699.53440000000001</c:v>
                </c:pt>
                <c:pt idx="111">
                  <c:v>699.58209999999997</c:v>
                </c:pt>
                <c:pt idx="112">
                  <c:v>699.57010000000002</c:v>
                </c:pt>
                <c:pt idx="113">
                  <c:v>699.71019999999999</c:v>
                </c:pt>
                <c:pt idx="114">
                  <c:v>699.73299999999995</c:v>
                </c:pt>
                <c:pt idx="115">
                  <c:v>699.75720000000001</c:v>
                </c:pt>
                <c:pt idx="116">
                  <c:v>699.74</c:v>
                </c:pt>
                <c:pt idx="117">
                  <c:v>699.74800000000005</c:v>
                </c:pt>
                <c:pt idx="118">
                  <c:v>699.73400000000004</c:v>
                </c:pt>
                <c:pt idx="119">
                  <c:v>699.76649999999995</c:v>
                </c:pt>
                <c:pt idx="120">
                  <c:v>699.78729999999996</c:v>
                </c:pt>
                <c:pt idx="121">
                  <c:v>699.76020000000005</c:v>
                </c:pt>
                <c:pt idx="122">
                  <c:v>699.76009999999997</c:v>
                </c:pt>
                <c:pt idx="123">
                  <c:v>699.75220000000002</c:v>
                </c:pt>
                <c:pt idx="124">
                  <c:v>699.7998</c:v>
                </c:pt>
                <c:pt idx="125">
                  <c:v>699.78930000000003</c:v>
                </c:pt>
                <c:pt idx="126">
                  <c:v>699.71680000000003</c:v>
                </c:pt>
                <c:pt idx="127">
                  <c:v>699.80449999999996</c:v>
                </c:pt>
                <c:pt idx="128">
                  <c:v>699.75789999999995</c:v>
                </c:pt>
                <c:pt idx="129">
                  <c:v>699.76030000000003</c:v>
                </c:pt>
                <c:pt idx="130">
                  <c:v>699.77940000000001</c:v>
                </c:pt>
                <c:pt idx="131">
                  <c:v>699.77919999999995</c:v>
                </c:pt>
                <c:pt idx="132">
                  <c:v>699.77</c:v>
                </c:pt>
                <c:pt idx="133">
                  <c:v>699.78150000000005</c:v>
                </c:pt>
                <c:pt idx="134">
                  <c:v>699.79290000000003</c:v>
                </c:pt>
                <c:pt idx="135">
                  <c:v>699.73969999999997</c:v>
                </c:pt>
                <c:pt idx="136">
                  <c:v>699.8143</c:v>
                </c:pt>
                <c:pt idx="137">
                  <c:v>699.74829999999997</c:v>
                </c:pt>
                <c:pt idx="138">
                  <c:v>699.79190000000006</c:v>
                </c:pt>
                <c:pt idx="139">
                  <c:v>699.7672</c:v>
                </c:pt>
                <c:pt idx="140">
                  <c:v>699.74519999999995</c:v>
                </c:pt>
                <c:pt idx="141">
                  <c:v>699.73860000000002</c:v>
                </c:pt>
                <c:pt idx="142">
                  <c:v>699.77440000000001</c:v>
                </c:pt>
                <c:pt idx="143">
                  <c:v>699.78449999999998</c:v>
                </c:pt>
                <c:pt idx="144">
                  <c:v>699.7432</c:v>
                </c:pt>
                <c:pt idx="145">
                  <c:v>699.73149999999998</c:v>
                </c:pt>
                <c:pt idx="146">
                  <c:v>699.75850000000003</c:v>
                </c:pt>
                <c:pt idx="147">
                  <c:v>699.726</c:v>
                </c:pt>
                <c:pt idx="148">
                  <c:v>699.76980000000003</c:v>
                </c:pt>
                <c:pt idx="149">
                  <c:v>699.75540000000001</c:v>
                </c:pt>
                <c:pt idx="150">
                  <c:v>699.7423</c:v>
                </c:pt>
                <c:pt idx="151">
                  <c:v>699.73320000000001</c:v>
                </c:pt>
                <c:pt idx="152">
                  <c:v>699.73310000000004</c:v>
                </c:pt>
                <c:pt idx="153">
                  <c:v>699.76130000000001</c:v>
                </c:pt>
                <c:pt idx="154">
                  <c:v>699.75480000000005</c:v>
                </c:pt>
                <c:pt idx="155">
                  <c:v>699.75829999999996</c:v>
                </c:pt>
                <c:pt idx="156">
                  <c:v>699.77629999999999</c:v>
                </c:pt>
                <c:pt idx="157">
                  <c:v>699.74540000000002</c:v>
                </c:pt>
                <c:pt idx="158">
                  <c:v>699.75149999999996</c:v>
                </c:pt>
                <c:pt idx="159">
                  <c:v>699.78110000000004</c:v>
                </c:pt>
                <c:pt idx="160">
                  <c:v>699.7423</c:v>
                </c:pt>
                <c:pt idx="161">
                  <c:v>699.73580000000004</c:v>
                </c:pt>
                <c:pt idx="162">
                  <c:v>699.7124</c:v>
                </c:pt>
                <c:pt idx="163">
                  <c:v>699.77560000000005</c:v>
                </c:pt>
                <c:pt idx="164">
                  <c:v>699.75350000000003</c:v>
                </c:pt>
                <c:pt idx="165">
                  <c:v>699.7663</c:v>
                </c:pt>
                <c:pt idx="166">
                  <c:v>699.74170000000004</c:v>
                </c:pt>
                <c:pt idx="167">
                  <c:v>699.75959999999998</c:v>
                </c:pt>
                <c:pt idx="168">
                  <c:v>699.72460000000001</c:v>
                </c:pt>
                <c:pt idx="169">
                  <c:v>699.75800000000004</c:v>
                </c:pt>
                <c:pt idx="170">
                  <c:v>699.76049999999998</c:v>
                </c:pt>
                <c:pt idx="171">
                  <c:v>699.72670000000005</c:v>
                </c:pt>
                <c:pt idx="172">
                  <c:v>699.72149999999999</c:v>
                </c:pt>
                <c:pt idx="173">
                  <c:v>699.7097</c:v>
                </c:pt>
                <c:pt idx="174">
                  <c:v>699.72400000000005</c:v>
                </c:pt>
                <c:pt idx="175">
                  <c:v>699.74310000000003</c:v>
                </c:pt>
                <c:pt idx="176">
                  <c:v>699.70950000000005</c:v>
                </c:pt>
                <c:pt idx="177">
                  <c:v>699.75599999999997</c:v>
                </c:pt>
                <c:pt idx="178">
                  <c:v>699.70420000000001</c:v>
                </c:pt>
                <c:pt idx="179">
                  <c:v>699.70799999999997</c:v>
                </c:pt>
                <c:pt idx="180">
                  <c:v>699.73</c:v>
                </c:pt>
                <c:pt idx="181">
                  <c:v>699.72730000000001</c:v>
                </c:pt>
                <c:pt idx="182">
                  <c:v>699.72199999999998</c:v>
                </c:pt>
                <c:pt idx="183">
                  <c:v>699.71029999999996</c:v>
                </c:pt>
                <c:pt idx="184">
                  <c:v>699.75009999999997</c:v>
                </c:pt>
                <c:pt idx="185">
                  <c:v>699.7527</c:v>
                </c:pt>
                <c:pt idx="186">
                  <c:v>699.71770000000004</c:v>
                </c:pt>
                <c:pt idx="187">
                  <c:v>699.7731</c:v>
                </c:pt>
                <c:pt idx="188">
                  <c:v>699.72919999999999</c:v>
                </c:pt>
                <c:pt idx="189">
                  <c:v>699.71860000000004</c:v>
                </c:pt>
                <c:pt idx="190">
                  <c:v>699.71870000000001</c:v>
                </c:pt>
                <c:pt idx="191">
                  <c:v>699.7405</c:v>
                </c:pt>
                <c:pt idx="192">
                  <c:v>699.74159999999995</c:v>
                </c:pt>
                <c:pt idx="193">
                  <c:v>699.69500000000005</c:v>
                </c:pt>
                <c:pt idx="194">
                  <c:v>699.69129999999996</c:v>
                </c:pt>
                <c:pt idx="195">
                  <c:v>699.75559999999996</c:v>
                </c:pt>
                <c:pt idx="196">
                  <c:v>699.68970000000002</c:v>
                </c:pt>
                <c:pt idx="197">
                  <c:v>699.69730000000004</c:v>
                </c:pt>
                <c:pt idx="198">
                  <c:v>699.71659999999997</c:v>
                </c:pt>
                <c:pt idx="199">
                  <c:v>699.72410000000002</c:v>
                </c:pt>
                <c:pt idx="200">
                  <c:v>699.72140000000002</c:v>
                </c:pt>
                <c:pt idx="201">
                  <c:v>699.73030000000006</c:v>
                </c:pt>
                <c:pt idx="202">
                  <c:v>699.72119999999995</c:v>
                </c:pt>
                <c:pt idx="203">
                  <c:v>699.71720000000005</c:v>
                </c:pt>
                <c:pt idx="204">
                  <c:v>699.7183</c:v>
                </c:pt>
                <c:pt idx="205">
                  <c:v>699.72339999999997</c:v>
                </c:pt>
                <c:pt idx="206">
                  <c:v>699.71559999999999</c:v>
                </c:pt>
                <c:pt idx="207">
                  <c:v>699.71669999999995</c:v>
                </c:pt>
                <c:pt idx="208">
                  <c:v>699.67150000000004</c:v>
                </c:pt>
                <c:pt idx="209">
                  <c:v>699.71780000000001</c:v>
                </c:pt>
                <c:pt idx="210">
                  <c:v>699.74239999999998</c:v>
                </c:pt>
                <c:pt idx="211">
                  <c:v>699.72929999999997</c:v>
                </c:pt>
                <c:pt idx="212">
                  <c:v>699.70219999999995</c:v>
                </c:pt>
                <c:pt idx="213">
                  <c:v>699.7396</c:v>
                </c:pt>
                <c:pt idx="214">
                  <c:v>699.73180000000002</c:v>
                </c:pt>
                <c:pt idx="215">
                  <c:v>699.71879999999999</c:v>
                </c:pt>
                <c:pt idx="216">
                  <c:v>699.70569999999998</c:v>
                </c:pt>
                <c:pt idx="217">
                  <c:v>699.70709999999997</c:v>
                </c:pt>
                <c:pt idx="218">
                  <c:v>699.71090000000004</c:v>
                </c:pt>
                <c:pt idx="219">
                  <c:v>699.75609999999995</c:v>
                </c:pt>
                <c:pt idx="220">
                  <c:v>699.69539999999995</c:v>
                </c:pt>
                <c:pt idx="221">
                  <c:v>699.7251</c:v>
                </c:pt>
                <c:pt idx="222">
                  <c:v>699.702</c:v>
                </c:pt>
                <c:pt idx="223">
                  <c:v>699.7355</c:v>
                </c:pt>
                <c:pt idx="224">
                  <c:v>699.66690000000006</c:v>
                </c:pt>
                <c:pt idx="225">
                  <c:v>699.72360000000003</c:v>
                </c:pt>
                <c:pt idx="226">
                  <c:v>699.73910000000001</c:v>
                </c:pt>
                <c:pt idx="227">
                  <c:v>699.68359999999996</c:v>
                </c:pt>
                <c:pt idx="228">
                  <c:v>699.74009999999998</c:v>
                </c:pt>
                <c:pt idx="229">
                  <c:v>699.70410000000004</c:v>
                </c:pt>
                <c:pt idx="230">
                  <c:v>699.66650000000004</c:v>
                </c:pt>
                <c:pt idx="231">
                  <c:v>699.68970000000002</c:v>
                </c:pt>
                <c:pt idx="232">
                  <c:v>699.67939999999999</c:v>
                </c:pt>
                <c:pt idx="233">
                  <c:v>699.72580000000005</c:v>
                </c:pt>
                <c:pt idx="234">
                  <c:v>699.73360000000002</c:v>
                </c:pt>
                <c:pt idx="235">
                  <c:v>699.72580000000005</c:v>
                </c:pt>
                <c:pt idx="236">
                  <c:v>699.70640000000003</c:v>
                </c:pt>
                <c:pt idx="237">
                  <c:v>699.72439999999995</c:v>
                </c:pt>
                <c:pt idx="238">
                  <c:v>699.74490000000003</c:v>
                </c:pt>
                <c:pt idx="239">
                  <c:v>699.71</c:v>
                </c:pt>
                <c:pt idx="240">
                  <c:v>699.68679999999995</c:v>
                </c:pt>
                <c:pt idx="241">
                  <c:v>699.71519999999998</c:v>
                </c:pt>
                <c:pt idx="242">
                  <c:v>699.71109999999999</c:v>
                </c:pt>
                <c:pt idx="243">
                  <c:v>699.7124</c:v>
                </c:pt>
                <c:pt idx="244">
                  <c:v>699.7097</c:v>
                </c:pt>
                <c:pt idx="245">
                  <c:v>699.67089999999996</c:v>
                </c:pt>
                <c:pt idx="246">
                  <c:v>699.70190000000002</c:v>
                </c:pt>
                <c:pt idx="247">
                  <c:v>699.69269999999995</c:v>
                </c:pt>
                <c:pt idx="248">
                  <c:v>699.71079999999995</c:v>
                </c:pt>
                <c:pt idx="249">
                  <c:v>699.69650000000001</c:v>
                </c:pt>
                <c:pt idx="250">
                  <c:v>699.65920000000006</c:v>
                </c:pt>
                <c:pt idx="251">
                  <c:v>699.66300000000001</c:v>
                </c:pt>
                <c:pt idx="252">
                  <c:v>699.67989999999998</c:v>
                </c:pt>
                <c:pt idx="253">
                  <c:v>699.69920000000002</c:v>
                </c:pt>
                <c:pt idx="254">
                  <c:v>699.75720000000001</c:v>
                </c:pt>
                <c:pt idx="255">
                  <c:v>699.7056</c:v>
                </c:pt>
                <c:pt idx="256">
                  <c:v>699.71199999999999</c:v>
                </c:pt>
                <c:pt idx="257">
                  <c:v>699.69010000000003</c:v>
                </c:pt>
                <c:pt idx="258">
                  <c:v>699.70429999999999</c:v>
                </c:pt>
                <c:pt idx="259">
                  <c:v>699.69269999999995</c:v>
                </c:pt>
                <c:pt idx="260">
                  <c:v>699.69510000000002</c:v>
                </c:pt>
                <c:pt idx="261">
                  <c:v>699.70680000000004</c:v>
                </c:pt>
                <c:pt idx="262">
                  <c:v>699.69389999999999</c:v>
                </c:pt>
                <c:pt idx="263">
                  <c:v>699.6884</c:v>
                </c:pt>
                <c:pt idx="264">
                  <c:v>699.68870000000004</c:v>
                </c:pt>
                <c:pt idx="265">
                  <c:v>699.65869999999995</c:v>
                </c:pt>
                <c:pt idx="266">
                  <c:v>699.69759999999997</c:v>
                </c:pt>
                <c:pt idx="267">
                  <c:v>699.70659999999998</c:v>
                </c:pt>
                <c:pt idx="268">
                  <c:v>699.71820000000002</c:v>
                </c:pt>
                <c:pt idx="269">
                  <c:v>699.72329999999999</c:v>
                </c:pt>
                <c:pt idx="270">
                  <c:v>699.70280000000002</c:v>
                </c:pt>
                <c:pt idx="271">
                  <c:v>699.72069999999997</c:v>
                </c:pt>
                <c:pt idx="272">
                  <c:v>699.72590000000002</c:v>
                </c:pt>
                <c:pt idx="273">
                  <c:v>699.66390000000001</c:v>
                </c:pt>
                <c:pt idx="274">
                  <c:v>699.71299999999997</c:v>
                </c:pt>
                <c:pt idx="275">
                  <c:v>699.70389999999998</c:v>
                </c:pt>
                <c:pt idx="276">
                  <c:v>699.68579999999997</c:v>
                </c:pt>
                <c:pt idx="277">
                  <c:v>699.68060000000003</c:v>
                </c:pt>
                <c:pt idx="278">
                  <c:v>699.66899999999998</c:v>
                </c:pt>
                <c:pt idx="279">
                  <c:v>699.71410000000003</c:v>
                </c:pt>
                <c:pt idx="280">
                  <c:v>699.71040000000005</c:v>
                </c:pt>
                <c:pt idx="281">
                  <c:v>699.69600000000003</c:v>
                </c:pt>
                <c:pt idx="282">
                  <c:v>699.69349999999997</c:v>
                </c:pt>
                <c:pt idx="283">
                  <c:v>699.76059999999995</c:v>
                </c:pt>
                <c:pt idx="284">
                  <c:v>699.68690000000004</c:v>
                </c:pt>
                <c:pt idx="285">
                  <c:v>699.68190000000004</c:v>
                </c:pt>
                <c:pt idx="286">
                  <c:v>699.71789999999999</c:v>
                </c:pt>
                <c:pt idx="287">
                  <c:v>699.71540000000005</c:v>
                </c:pt>
                <c:pt idx="288">
                  <c:v>699.6173</c:v>
                </c:pt>
                <c:pt idx="289">
                  <c:v>699.70240000000001</c:v>
                </c:pt>
                <c:pt idx="290">
                  <c:v>699.68039999999996</c:v>
                </c:pt>
                <c:pt idx="291">
                  <c:v>699.67269999999996</c:v>
                </c:pt>
                <c:pt idx="292">
                  <c:v>699.70630000000006</c:v>
                </c:pt>
                <c:pt idx="293">
                  <c:v>699.68299999999999</c:v>
                </c:pt>
                <c:pt idx="294">
                  <c:v>699.6585</c:v>
                </c:pt>
                <c:pt idx="295">
                  <c:v>699.70749999999998</c:v>
                </c:pt>
                <c:pt idx="296">
                  <c:v>699.7192</c:v>
                </c:pt>
                <c:pt idx="297">
                  <c:v>699.65470000000005</c:v>
                </c:pt>
                <c:pt idx="298">
                  <c:v>699.69079999999997</c:v>
                </c:pt>
                <c:pt idx="299">
                  <c:v>699.68299999999999</c:v>
                </c:pt>
                <c:pt idx="300">
                  <c:v>699.69989999999996</c:v>
                </c:pt>
                <c:pt idx="301">
                  <c:v>699.71680000000003</c:v>
                </c:pt>
                <c:pt idx="302">
                  <c:v>699.68190000000004</c:v>
                </c:pt>
                <c:pt idx="303">
                  <c:v>699.76189999999997</c:v>
                </c:pt>
                <c:pt idx="304">
                  <c:v>699.82770000000005</c:v>
                </c:pt>
                <c:pt idx="305">
                  <c:v>699.93780000000004</c:v>
                </c:pt>
                <c:pt idx="306">
                  <c:v>700.00350000000003</c:v>
                </c:pt>
                <c:pt idx="307">
                  <c:v>700.15710000000001</c:v>
                </c:pt>
                <c:pt idx="308">
                  <c:v>700.19989999999996</c:v>
                </c:pt>
                <c:pt idx="309">
                  <c:v>700.28210000000001</c:v>
                </c:pt>
                <c:pt idx="310">
                  <c:v>700.39449999999999</c:v>
                </c:pt>
                <c:pt idx="311">
                  <c:v>700.44960000000003</c:v>
                </c:pt>
                <c:pt idx="312">
                  <c:v>700.58579999999995</c:v>
                </c:pt>
                <c:pt idx="313">
                  <c:v>700.65329999999994</c:v>
                </c:pt>
                <c:pt idx="314">
                  <c:v>700.75840000000005</c:v>
                </c:pt>
                <c:pt idx="315">
                  <c:v>700.81669999999997</c:v>
                </c:pt>
                <c:pt idx="316">
                  <c:v>700.9606</c:v>
                </c:pt>
                <c:pt idx="317">
                  <c:v>701.05499999999995</c:v>
                </c:pt>
                <c:pt idx="318">
                  <c:v>701.16880000000003</c:v>
                </c:pt>
                <c:pt idx="319">
                  <c:v>701.30709999999999</c:v>
                </c:pt>
                <c:pt idx="320">
                  <c:v>701.42960000000005</c:v>
                </c:pt>
                <c:pt idx="321">
                  <c:v>701.54660000000001</c:v>
                </c:pt>
                <c:pt idx="322">
                  <c:v>701.70129999999995</c:v>
                </c:pt>
                <c:pt idx="323">
                  <c:v>701.82669999999996</c:v>
                </c:pt>
                <c:pt idx="324">
                  <c:v>701.93650000000002</c:v>
                </c:pt>
                <c:pt idx="325">
                  <c:v>702.06420000000003</c:v>
                </c:pt>
                <c:pt idx="326">
                  <c:v>702.21529999999996</c:v>
                </c:pt>
                <c:pt idx="327">
                  <c:v>702.33349999999996</c:v>
                </c:pt>
                <c:pt idx="328">
                  <c:v>702.49069999999995</c:v>
                </c:pt>
                <c:pt idx="329">
                  <c:v>702.62180000000001</c:v>
                </c:pt>
                <c:pt idx="330">
                  <c:v>702.8365</c:v>
                </c:pt>
                <c:pt idx="331">
                  <c:v>702.94330000000002</c:v>
                </c:pt>
                <c:pt idx="332">
                  <c:v>703.05790000000002</c:v>
                </c:pt>
                <c:pt idx="333">
                  <c:v>703.26779999999997</c:v>
                </c:pt>
                <c:pt idx="334">
                  <c:v>703.34389999999996</c:v>
                </c:pt>
                <c:pt idx="335">
                  <c:v>703.52419999999995</c:v>
                </c:pt>
                <c:pt idx="336">
                  <c:v>703.64110000000005</c:v>
                </c:pt>
                <c:pt idx="337">
                  <c:v>703.85080000000005</c:v>
                </c:pt>
                <c:pt idx="338">
                  <c:v>703.99649999999997</c:v>
                </c:pt>
                <c:pt idx="339">
                  <c:v>704.15039999999999</c:v>
                </c:pt>
                <c:pt idx="340">
                  <c:v>704.31920000000002</c:v>
                </c:pt>
                <c:pt idx="341">
                  <c:v>704.50519999999995</c:v>
                </c:pt>
                <c:pt idx="342">
                  <c:v>704.6585</c:v>
                </c:pt>
                <c:pt idx="343">
                  <c:v>704.78840000000002</c:v>
                </c:pt>
                <c:pt idx="344">
                  <c:v>704.98839999999996</c:v>
                </c:pt>
                <c:pt idx="345">
                  <c:v>705.09929999999997</c:v>
                </c:pt>
                <c:pt idx="346">
                  <c:v>705.29169999999999</c:v>
                </c:pt>
                <c:pt idx="347">
                  <c:v>705.46249999999998</c:v>
                </c:pt>
                <c:pt idx="348">
                  <c:v>705.62540000000001</c:v>
                </c:pt>
                <c:pt idx="349">
                  <c:v>705.80139999999994</c:v>
                </c:pt>
                <c:pt idx="350">
                  <c:v>705.98829999999998</c:v>
                </c:pt>
                <c:pt idx="351">
                  <c:v>706.15610000000004</c:v>
                </c:pt>
                <c:pt idx="352">
                  <c:v>706.29219999999998</c:v>
                </c:pt>
                <c:pt idx="353">
                  <c:v>706.40940000000001</c:v>
                </c:pt>
                <c:pt idx="354">
                  <c:v>706.53740000000005</c:v>
                </c:pt>
                <c:pt idx="355">
                  <c:v>706.69880000000001</c:v>
                </c:pt>
                <c:pt idx="356">
                  <c:v>706.84410000000003</c:v>
                </c:pt>
                <c:pt idx="357">
                  <c:v>706.96439999999996</c:v>
                </c:pt>
                <c:pt idx="358">
                  <c:v>707.09649999999999</c:v>
                </c:pt>
                <c:pt idx="359">
                  <c:v>707.197</c:v>
                </c:pt>
                <c:pt idx="360">
                  <c:v>707.38589999999999</c:v>
                </c:pt>
                <c:pt idx="361">
                  <c:v>707.54949999999997</c:v>
                </c:pt>
                <c:pt idx="362">
                  <c:v>707.7124</c:v>
                </c:pt>
                <c:pt idx="363">
                  <c:v>707.90419999999995</c:v>
                </c:pt>
                <c:pt idx="364">
                  <c:v>708.14210000000003</c:v>
                </c:pt>
                <c:pt idx="365">
                  <c:v>708.29669999999999</c:v>
                </c:pt>
                <c:pt idx="366">
                  <c:v>708.50429999999994</c:v>
                </c:pt>
                <c:pt idx="367">
                  <c:v>708.71950000000004</c:v>
                </c:pt>
                <c:pt idx="368">
                  <c:v>708.86620000000005</c:v>
                </c:pt>
                <c:pt idx="369">
                  <c:v>709.08259999999996</c:v>
                </c:pt>
                <c:pt idx="370">
                  <c:v>709.24879999999996</c:v>
                </c:pt>
                <c:pt idx="371">
                  <c:v>709.50340000000006</c:v>
                </c:pt>
                <c:pt idx="372">
                  <c:v>709.70420000000001</c:v>
                </c:pt>
                <c:pt idx="373">
                  <c:v>709.94370000000004</c:v>
                </c:pt>
                <c:pt idx="374">
                  <c:v>710.14110000000005</c:v>
                </c:pt>
                <c:pt idx="375">
                  <c:v>710.36360000000002</c:v>
                </c:pt>
                <c:pt idx="376">
                  <c:v>710.62159999999994</c:v>
                </c:pt>
                <c:pt idx="377">
                  <c:v>710.79139999999995</c:v>
                </c:pt>
                <c:pt idx="378">
                  <c:v>711.02809999999999</c:v>
                </c:pt>
                <c:pt idx="379">
                  <c:v>711.27980000000002</c:v>
                </c:pt>
                <c:pt idx="380">
                  <c:v>711.48419999999999</c:v>
                </c:pt>
                <c:pt idx="381">
                  <c:v>711.70920000000001</c:v>
                </c:pt>
                <c:pt idx="382">
                  <c:v>711.9348</c:v>
                </c:pt>
                <c:pt idx="383">
                  <c:v>712.14440000000002</c:v>
                </c:pt>
                <c:pt idx="384">
                  <c:v>712.24220000000003</c:v>
                </c:pt>
                <c:pt idx="385">
                  <c:v>712.23360000000002</c:v>
                </c:pt>
                <c:pt idx="386">
                  <c:v>712.19849999999997</c:v>
                </c:pt>
                <c:pt idx="387">
                  <c:v>712.25210000000004</c:v>
                </c:pt>
                <c:pt idx="388">
                  <c:v>712.17970000000003</c:v>
                </c:pt>
                <c:pt idx="389">
                  <c:v>712.23630000000003</c:v>
                </c:pt>
                <c:pt idx="390">
                  <c:v>712.22149999999999</c:v>
                </c:pt>
                <c:pt idx="391">
                  <c:v>712.22889999999995</c:v>
                </c:pt>
                <c:pt idx="392">
                  <c:v>712.20659999999998</c:v>
                </c:pt>
                <c:pt idx="393">
                  <c:v>712.24009999999998</c:v>
                </c:pt>
                <c:pt idx="394">
                  <c:v>712.25829999999996</c:v>
                </c:pt>
                <c:pt idx="395">
                  <c:v>712.22069999999997</c:v>
                </c:pt>
                <c:pt idx="396">
                  <c:v>712.1902</c:v>
                </c:pt>
                <c:pt idx="397">
                  <c:v>712.25890000000004</c:v>
                </c:pt>
                <c:pt idx="398">
                  <c:v>712.25329999999997</c:v>
                </c:pt>
                <c:pt idx="399">
                  <c:v>712.22850000000005</c:v>
                </c:pt>
                <c:pt idx="400">
                  <c:v>712.29359999999997</c:v>
                </c:pt>
                <c:pt idx="401">
                  <c:v>712.26440000000002</c:v>
                </c:pt>
                <c:pt idx="402">
                  <c:v>712.26289999999995</c:v>
                </c:pt>
                <c:pt idx="403">
                  <c:v>712.26110000000006</c:v>
                </c:pt>
                <c:pt idx="404">
                  <c:v>712.25869999999998</c:v>
                </c:pt>
                <c:pt idx="405">
                  <c:v>712.21410000000003</c:v>
                </c:pt>
                <c:pt idx="406">
                  <c:v>712.27809999999999</c:v>
                </c:pt>
                <c:pt idx="407">
                  <c:v>712.21360000000004</c:v>
                </c:pt>
                <c:pt idx="408">
                  <c:v>712.23170000000005</c:v>
                </c:pt>
                <c:pt idx="409">
                  <c:v>712.27689999999996</c:v>
                </c:pt>
                <c:pt idx="410">
                  <c:v>712.25609999999995</c:v>
                </c:pt>
                <c:pt idx="411">
                  <c:v>712.29510000000005</c:v>
                </c:pt>
                <c:pt idx="412">
                  <c:v>712.26400000000001</c:v>
                </c:pt>
                <c:pt idx="413">
                  <c:v>712.28330000000005</c:v>
                </c:pt>
                <c:pt idx="414">
                  <c:v>712.29179999999997</c:v>
                </c:pt>
                <c:pt idx="415">
                  <c:v>712.28459999999995</c:v>
                </c:pt>
                <c:pt idx="416">
                  <c:v>712.30740000000003</c:v>
                </c:pt>
                <c:pt idx="417">
                  <c:v>712.27380000000005</c:v>
                </c:pt>
                <c:pt idx="418">
                  <c:v>712.26790000000005</c:v>
                </c:pt>
                <c:pt idx="419">
                  <c:v>712.25289999999995</c:v>
                </c:pt>
                <c:pt idx="420">
                  <c:v>712.26509999999996</c:v>
                </c:pt>
                <c:pt idx="421">
                  <c:v>712.22799999999995</c:v>
                </c:pt>
                <c:pt idx="422">
                  <c:v>712.27729999999997</c:v>
                </c:pt>
                <c:pt idx="423">
                  <c:v>712.30319999999995</c:v>
                </c:pt>
                <c:pt idx="424">
                  <c:v>712.26020000000005</c:v>
                </c:pt>
                <c:pt idx="425">
                  <c:v>712.28210000000001</c:v>
                </c:pt>
                <c:pt idx="426">
                  <c:v>712.29240000000004</c:v>
                </c:pt>
                <c:pt idx="427">
                  <c:v>712.29020000000003</c:v>
                </c:pt>
                <c:pt idx="428">
                  <c:v>712.30709999999999</c:v>
                </c:pt>
                <c:pt idx="429">
                  <c:v>712.30930000000001</c:v>
                </c:pt>
                <c:pt idx="430">
                  <c:v>712.30489999999998</c:v>
                </c:pt>
                <c:pt idx="431">
                  <c:v>712.31089999999995</c:v>
                </c:pt>
                <c:pt idx="432">
                  <c:v>712.29560000000004</c:v>
                </c:pt>
                <c:pt idx="433">
                  <c:v>712.25819999999999</c:v>
                </c:pt>
                <c:pt idx="434">
                  <c:v>712.29600000000005</c:v>
                </c:pt>
                <c:pt idx="435">
                  <c:v>712.29570000000001</c:v>
                </c:pt>
                <c:pt idx="436">
                  <c:v>712.29790000000003</c:v>
                </c:pt>
                <c:pt idx="437">
                  <c:v>712.30909999999994</c:v>
                </c:pt>
                <c:pt idx="438">
                  <c:v>712.24929999999995</c:v>
                </c:pt>
                <c:pt idx="439">
                  <c:v>712.26859999999999</c:v>
                </c:pt>
                <c:pt idx="440">
                  <c:v>712.2627</c:v>
                </c:pt>
                <c:pt idx="441">
                  <c:v>712.31669999999997</c:v>
                </c:pt>
                <c:pt idx="442">
                  <c:v>712.28859999999997</c:v>
                </c:pt>
                <c:pt idx="443">
                  <c:v>712.24559999999997</c:v>
                </c:pt>
                <c:pt idx="444">
                  <c:v>712.33140000000003</c:v>
                </c:pt>
                <c:pt idx="445">
                  <c:v>712.29610000000002</c:v>
                </c:pt>
                <c:pt idx="446">
                  <c:v>712.28399999999999</c:v>
                </c:pt>
                <c:pt idx="447">
                  <c:v>712.29020000000003</c:v>
                </c:pt>
                <c:pt idx="448">
                  <c:v>712.25250000000005</c:v>
                </c:pt>
                <c:pt idx="449">
                  <c:v>712.29870000000005</c:v>
                </c:pt>
                <c:pt idx="450">
                  <c:v>712.27059999999994</c:v>
                </c:pt>
                <c:pt idx="451">
                  <c:v>712.23699999999997</c:v>
                </c:pt>
                <c:pt idx="452">
                  <c:v>712.2894</c:v>
                </c:pt>
                <c:pt idx="453">
                  <c:v>712.2663</c:v>
                </c:pt>
                <c:pt idx="454">
                  <c:v>712.27409999999998</c:v>
                </c:pt>
                <c:pt idx="455">
                  <c:v>712.28290000000004</c:v>
                </c:pt>
                <c:pt idx="456">
                  <c:v>712.30380000000002</c:v>
                </c:pt>
                <c:pt idx="457">
                  <c:v>712.25289999999995</c:v>
                </c:pt>
                <c:pt idx="458">
                  <c:v>712.29909999999995</c:v>
                </c:pt>
                <c:pt idx="459">
                  <c:v>712.30129999999997</c:v>
                </c:pt>
                <c:pt idx="460">
                  <c:v>712.27819999999997</c:v>
                </c:pt>
                <c:pt idx="461">
                  <c:v>712.29790000000003</c:v>
                </c:pt>
                <c:pt idx="462">
                  <c:v>712.30129999999997</c:v>
                </c:pt>
                <c:pt idx="463">
                  <c:v>712.28859999999997</c:v>
                </c:pt>
                <c:pt idx="464">
                  <c:v>712.29110000000003</c:v>
                </c:pt>
                <c:pt idx="465">
                  <c:v>712.32820000000004</c:v>
                </c:pt>
                <c:pt idx="466">
                  <c:v>712.27710000000002</c:v>
                </c:pt>
                <c:pt idx="467">
                  <c:v>712.31259999999997</c:v>
                </c:pt>
                <c:pt idx="468">
                  <c:v>712.32950000000005</c:v>
                </c:pt>
                <c:pt idx="469">
                  <c:v>712.27059999999994</c:v>
                </c:pt>
                <c:pt idx="470">
                  <c:v>712.28399999999999</c:v>
                </c:pt>
                <c:pt idx="471">
                  <c:v>712.2568</c:v>
                </c:pt>
                <c:pt idx="472">
                  <c:v>712.28959999999995</c:v>
                </c:pt>
                <c:pt idx="473">
                  <c:v>712.27589999999998</c:v>
                </c:pt>
                <c:pt idx="474">
                  <c:v>712.35109999999997</c:v>
                </c:pt>
                <c:pt idx="475">
                  <c:v>712.24220000000003</c:v>
                </c:pt>
                <c:pt idx="476">
                  <c:v>712.28679999999997</c:v>
                </c:pt>
                <c:pt idx="477">
                  <c:v>712.24289999999996</c:v>
                </c:pt>
                <c:pt idx="478">
                  <c:v>712.30870000000004</c:v>
                </c:pt>
                <c:pt idx="479">
                  <c:v>712.32929999999999</c:v>
                </c:pt>
                <c:pt idx="480">
                  <c:v>712.29219999999998</c:v>
                </c:pt>
                <c:pt idx="481">
                  <c:v>712.30529999999999</c:v>
                </c:pt>
                <c:pt idx="482">
                  <c:v>712.26130000000001</c:v>
                </c:pt>
                <c:pt idx="483">
                  <c:v>712.26599999999996</c:v>
                </c:pt>
                <c:pt idx="484">
                  <c:v>712.28409999999997</c:v>
                </c:pt>
                <c:pt idx="485">
                  <c:v>712.29750000000001</c:v>
                </c:pt>
                <c:pt idx="486">
                  <c:v>712.2704</c:v>
                </c:pt>
                <c:pt idx="487">
                  <c:v>712.26850000000002</c:v>
                </c:pt>
                <c:pt idx="488">
                  <c:v>712.30809999999997</c:v>
                </c:pt>
                <c:pt idx="489">
                  <c:v>712.27070000000003</c:v>
                </c:pt>
                <c:pt idx="490">
                  <c:v>712.28070000000002</c:v>
                </c:pt>
                <c:pt idx="491">
                  <c:v>712.31500000000005</c:v>
                </c:pt>
                <c:pt idx="492">
                  <c:v>712.2645</c:v>
                </c:pt>
                <c:pt idx="493">
                  <c:v>712.29480000000001</c:v>
                </c:pt>
                <c:pt idx="494">
                  <c:v>712.2586</c:v>
                </c:pt>
                <c:pt idx="495">
                  <c:v>712.28790000000004</c:v>
                </c:pt>
                <c:pt idx="496">
                  <c:v>712.29790000000003</c:v>
                </c:pt>
                <c:pt idx="497">
                  <c:v>712.30690000000004</c:v>
                </c:pt>
                <c:pt idx="498">
                  <c:v>712.26049999999998</c:v>
                </c:pt>
                <c:pt idx="499">
                  <c:v>712.2758</c:v>
                </c:pt>
                <c:pt idx="500">
                  <c:v>712.26229999999998</c:v>
                </c:pt>
                <c:pt idx="501">
                  <c:v>712.28790000000004</c:v>
                </c:pt>
                <c:pt idx="502">
                  <c:v>712.28830000000005</c:v>
                </c:pt>
                <c:pt idx="503">
                  <c:v>712.29579999999999</c:v>
                </c:pt>
                <c:pt idx="504">
                  <c:v>712.322</c:v>
                </c:pt>
                <c:pt idx="505">
                  <c:v>712.27670000000001</c:v>
                </c:pt>
                <c:pt idx="506">
                  <c:v>712.31200000000001</c:v>
                </c:pt>
                <c:pt idx="507">
                  <c:v>712.27890000000002</c:v>
                </c:pt>
                <c:pt idx="508">
                  <c:v>712.28800000000001</c:v>
                </c:pt>
                <c:pt idx="509">
                  <c:v>712.32069999999999</c:v>
                </c:pt>
                <c:pt idx="510">
                  <c:v>712.26329999999996</c:v>
                </c:pt>
                <c:pt idx="511">
                  <c:v>712.24739999999997</c:v>
                </c:pt>
                <c:pt idx="512">
                  <c:v>712.29610000000002</c:v>
                </c:pt>
                <c:pt idx="513">
                  <c:v>712.25459999999998</c:v>
                </c:pt>
                <c:pt idx="514">
                  <c:v>712.29269999999997</c:v>
                </c:pt>
                <c:pt idx="515">
                  <c:v>712.26739999999995</c:v>
                </c:pt>
                <c:pt idx="516">
                  <c:v>712.31230000000005</c:v>
                </c:pt>
                <c:pt idx="517">
                  <c:v>712.28430000000003</c:v>
                </c:pt>
                <c:pt idx="518">
                  <c:v>712.30269999999996</c:v>
                </c:pt>
                <c:pt idx="519">
                  <c:v>712.23720000000003</c:v>
                </c:pt>
                <c:pt idx="520">
                  <c:v>712.27679999999998</c:v>
                </c:pt>
                <c:pt idx="521">
                  <c:v>712.28300000000002</c:v>
                </c:pt>
                <c:pt idx="522">
                  <c:v>712.2962</c:v>
                </c:pt>
                <c:pt idx="523">
                  <c:v>712.3143</c:v>
                </c:pt>
                <c:pt idx="524">
                  <c:v>712.26369999999997</c:v>
                </c:pt>
                <c:pt idx="525">
                  <c:v>712.27</c:v>
                </c:pt>
                <c:pt idx="526">
                  <c:v>712.28710000000001</c:v>
                </c:pt>
                <c:pt idx="527">
                  <c:v>712.2962</c:v>
                </c:pt>
                <c:pt idx="528">
                  <c:v>712.26030000000003</c:v>
                </c:pt>
                <c:pt idx="529">
                  <c:v>712.27059999999994</c:v>
                </c:pt>
                <c:pt idx="530">
                  <c:v>712.28340000000003</c:v>
                </c:pt>
                <c:pt idx="531">
                  <c:v>712.24720000000002</c:v>
                </c:pt>
                <c:pt idx="532">
                  <c:v>712.28030000000001</c:v>
                </c:pt>
                <c:pt idx="533">
                  <c:v>712.29309999999998</c:v>
                </c:pt>
                <c:pt idx="534">
                  <c:v>712.28779999999995</c:v>
                </c:pt>
                <c:pt idx="535">
                  <c:v>712.29430000000002</c:v>
                </c:pt>
                <c:pt idx="536">
                  <c:v>712.29650000000004</c:v>
                </c:pt>
                <c:pt idx="537">
                  <c:v>712.28279999999995</c:v>
                </c:pt>
                <c:pt idx="538">
                  <c:v>712.26559999999995</c:v>
                </c:pt>
                <c:pt idx="539">
                  <c:v>712.22190000000001</c:v>
                </c:pt>
                <c:pt idx="540">
                  <c:v>712.25440000000003</c:v>
                </c:pt>
                <c:pt idx="541">
                  <c:v>712.30340000000001</c:v>
                </c:pt>
                <c:pt idx="542">
                  <c:v>712.27279999999996</c:v>
                </c:pt>
                <c:pt idx="543">
                  <c:v>712.26350000000002</c:v>
                </c:pt>
                <c:pt idx="544">
                  <c:v>712.28689999999995</c:v>
                </c:pt>
                <c:pt idx="545">
                  <c:v>712.28660000000002</c:v>
                </c:pt>
                <c:pt idx="546">
                  <c:v>712.27970000000005</c:v>
                </c:pt>
                <c:pt idx="547">
                  <c:v>712.32590000000005</c:v>
                </c:pt>
                <c:pt idx="548">
                  <c:v>712.29129999999998</c:v>
                </c:pt>
                <c:pt idx="549">
                  <c:v>712.26469999999995</c:v>
                </c:pt>
                <c:pt idx="550">
                  <c:v>712.27380000000005</c:v>
                </c:pt>
                <c:pt idx="551">
                  <c:v>712.28409999999997</c:v>
                </c:pt>
                <c:pt idx="552">
                  <c:v>712.27319999999997</c:v>
                </c:pt>
                <c:pt idx="553">
                  <c:v>712.27970000000005</c:v>
                </c:pt>
                <c:pt idx="554">
                  <c:v>712.26599999999996</c:v>
                </c:pt>
                <c:pt idx="555">
                  <c:v>712.28219999999999</c:v>
                </c:pt>
                <c:pt idx="556">
                  <c:v>712.27350000000001</c:v>
                </c:pt>
                <c:pt idx="557">
                  <c:v>712.34249999999997</c:v>
                </c:pt>
                <c:pt idx="558">
                  <c:v>712.29190000000006</c:v>
                </c:pt>
                <c:pt idx="559">
                  <c:v>712.28750000000002</c:v>
                </c:pt>
                <c:pt idx="560">
                  <c:v>712.24760000000003</c:v>
                </c:pt>
                <c:pt idx="561">
                  <c:v>712.28039999999999</c:v>
                </c:pt>
                <c:pt idx="562">
                  <c:v>712.29219999999998</c:v>
                </c:pt>
                <c:pt idx="563">
                  <c:v>712.29349999999999</c:v>
                </c:pt>
                <c:pt idx="564">
                  <c:v>712.26509999999996</c:v>
                </c:pt>
                <c:pt idx="565">
                  <c:v>712.2595</c:v>
                </c:pt>
                <c:pt idx="566">
                  <c:v>712.2663</c:v>
                </c:pt>
                <c:pt idx="567">
                  <c:v>712.26480000000004</c:v>
                </c:pt>
                <c:pt idx="568">
                  <c:v>712.49009999999998</c:v>
                </c:pt>
                <c:pt idx="569">
                  <c:v>712.66899999999998</c:v>
                </c:pt>
                <c:pt idx="570">
                  <c:v>712.8338</c:v>
                </c:pt>
                <c:pt idx="571">
                  <c:v>713.07259999999997</c:v>
                </c:pt>
                <c:pt idx="572">
                  <c:v>713.26559999999995</c:v>
                </c:pt>
                <c:pt idx="573">
                  <c:v>713.48140000000001</c:v>
                </c:pt>
                <c:pt idx="574">
                  <c:v>713.70280000000002</c:v>
                </c:pt>
                <c:pt idx="575">
                  <c:v>713.90689999999995</c:v>
                </c:pt>
                <c:pt idx="576">
                  <c:v>714.13070000000005</c:v>
                </c:pt>
                <c:pt idx="577">
                  <c:v>714.32510000000002</c:v>
                </c:pt>
                <c:pt idx="578">
                  <c:v>714.53549999999996</c:v>
                </c:pt>
                <c:pt idx="579">
                  <c:v>714.77449999999999</c:v>
                </c:pt>
                <c:pt idx="580">
                  <c:v>714.99749999999995</c:v>
                </c:pt>
                <c:pt idx="581">
                  <c:v>715.1703</c:v>
                </c:pt>
                <c:pt idx="582">
                  <c:v>715.40250000000003</c:v>
                </c:pt>
                <c:pt idx="583">
                  <c:v>715.54719999999998</c:v>
                </c:pt>
                <c:pt idx="584">
                  <c:v>715.80110000000002</c:v>
                </c:pt>
                <c:pt idx="585">
                  <c:v>716.05840000000001</c:v>
                </c:pt>
                <c:pt idx="586">
                  <c:v>716.22649999999999</c:v>
                </c:pt>
                <c:pt idx="587">
                  <c:v>716.38729999999998</c:v>
                </c:pt>
                <c:pt idx="588">
                  <c:v>716.54750000000001</c:v>
                </c:pt>
                <c:pt idx="589">
                  <c:v>716.77160000000003</c:v>
                </c:pt>
                <c:pt idx="590">
                  <c:v>716.85239999999999</c:v>
                </c:pt>
                <c:pt idx="591">
                  <c:v>717.0566</c:v>
                </c:pt>
                <c:pt idx="592">
                  <c:v>717.23320000000001</c:v>
                </c:pt>
                <c:pt idx="593">
                  <c:v>717.41890000000001</c:v>
                </c:pt>
                <c:pt idx="594">
                  <c:v>717.55930000000001</c:v>
                </c:pt>
                <c:pt idx="595">
                  <c:v>717.74509999999998</c:v>
                </c:pt>
                <c:pt idx="596">
                  <c:v>717.87739999999997</c:v>
                </c:pt>
                <c:pt idx="597">
                  <c:v>718.07370000000003</c:v>
                </c:pt>
                <c:pt idx="598">
                  <c:v>718.2183</c:v>
                </c:pt>
                <c:pt idx="599">
                  <c:v>718.41459999999995</c:v>
                </c:pt>
                <c:pt idx="600">
                  <c:v>718.63879999999995</c:v>
                </c:pt>
                <c:pt idx="601">
                  <c:v>718.78189999999995</c:v>
                </c:pt>
                <c:pt idx="602">
                  <c:v>718.94989999999996</c:v>
                </c:pt>
                <c:pt idx="603">
                  <c:v>719.13789999999995</c:v>
                </c:pt>
                <c:pt idx="604">
                  <c:v>719.34230000000002</c:v>
                </c:pt>
                <c:pt idx="605">
                  <c:v>719.47170000000006</c:v>
                </c:pt>
                <c:pt idx="606">
                  <c:v>719.68349999999998</c:v>
                </c:pt>
                <c:pt idx="607">
                  <c:v>719.81389999999999</c:v>
                </c:pt>
                <c:pt idx="608">
                  <c:v>720.03009999999995</c:v>
                </c:pt>
                <c:pt idx="609">
                  <c:v>720.26199999999994</c:v>
                </c:pt>
                <c:pt idx="610">
                  <c:v>720.37189999999998</c:v>
                </c:pt>
                <c:pt idx="611">
                  <c:v>720.52940000000001</c:v>
                </c:pt>
                <c:pt idx="612">
                  <c:v>720.72090000000003</c:v>
                </c:pt>
                <c:pt idx="613">
                  <c:v>720.90020000000004</c:v>
                </c:pt>
                <c:pt idx="614">
                  <c:v>721.09180000000003</c:v>
                </c:pt>
                <c:pt idx="615">
                  <c:v>721.29790000000003</c:v>
                </c:pt>
                <c:pt idx="616">
                  <c:v>721.49329999999998</c:v>
                </c:pt>
                <c:pt idx="617">
                  <c:v>721.68629999999996</c:v>
                </c:pt>
                <c:pt idx="618">
                  <c:v>721.86220000000003</c:v>
                </c:pt>
                <c:pt idx="619">
                  <c:v>721.97360000000003</c:v>
                </c:pt>
                <c:pt idx="620">
                  <c:v>722.20659999999998</c:v>
                </c:pt>
                <c:pt idx="621">
                  <c:v>722.36320000000001</c:v>
                </c:pt>
                <c:pt idx="622">
                  <c:v>722.5326</c:v>
                </c:pt>
                <c:pt idx="623">
                  <c:v>722.7346</c:v>
                </c:pt>
                <c:pt idx="624">
                  <c:v>722.90589999999997</c:v>
                </c:pt>
                <c:pt idx="625">
                  <c:v>723.13199999999995</c:v>
                </c:pt>
                <c:pt idx="626">
                  <c:v>723.34</c:v>
                </c:pt>
                <c:pt idx="627">
                  <c:v>723.50980000000004</c:v>
                </c:pt>
                <c:pt idx="628">
                  <c:v>723.69290000000001</c:v>
                </c:pt>
                <c:pt idx="629">
                  <c:v>723.92430000000002</c:v>
                </c:pt>
                <c:pt idx="630">
                  <c:v>724.03380000000004</c:v>
                </c:pt>
                <c:pt idx="631">
                  <c:v>724.10479999999995</c:v>
                </c:pt>
                <c:pt idx="632">
                  <c:v>724.27800000000002</c:v>
                </c:pt>
                <c:pt idx="633">
                  <c:v>724.36059999999998</c:v>
                </c:pt>
                <c:pt idx="634">
                  <c:v>724.43219999999997</c:v>
                </c:pt>
                <c:pt idx="635">
                  <c:v>724.38459999999998</c:v>
                </c:pt>
                <c:pt idx="636">
                  <c:v>724.476</c:v>
                </c:pt>
                <c:pt idx="637">
                  <c:v>724.44179999999994</c:v>
                </c:pt>
                <c:pt idx="638">
                  <c:v>724.43529999999998</c:v>
                </c:pt>
                <c:pt idx="639">
                  <c:v>724.40530000000001</c:v>
                </c:pt>
                <c:pt idx="640">
                  <c:v>724.46050000000002</c:v>
                </c:pt>
                <c:pt idx="641">
                  <c:v>724.45</c:v>
                </c:pt>
                <c:pt idx="642">
                  <c:v>724.45709999999997</c:v>
                </c:pt>
                <c:pt idx="643">
                  <c:v>724.45259999999996</c:v>
                </c:pt>
                <c:pt idx="644">
                  <c:v>724.45590000000004</c:v>
                </c:pt>
                <c:pt idx="645">
                  <c:v>724.48030000000006</c:v>
                </c:pt>
                <c:pt idx="646">
                  <c:v>724.45050000000003</c:v>
                </c:pt>
                <c:pt idx="647">
                  <c:v>724.42660000000001</c:v>
                </c:pt>
                <c:pt idx="648">
                  <c:v>724.45299999999997</c:v>
                </c:pt>
                <c:pt idx="649">
                  <c:v>724.50009999999997</c:v>
                </c:pt>
                <c:pt idx="650">
                  <c:v>724.46699999999998</c:v>
                </c:pt>
                <c:pt idx="651">
                  <c:v>724.49400000000003</c:v>
                </c:pt>
                <c:pt idx="652">
                  <c:v>724.47550000000001</c:v>
                </c:pt>
                <c:pt idx="653">
                  <c:v>724.47839999999997</c:v>
                </c:pt>
                <c:pt idx="654">
                  <c:v>724.41600000000005</c:v>
                </c:pt>
                <c:pt idx="655">
                  <c:v>724.51009999999997</c:v>
                </c:pt>
                <c:pt idx="656">
                  <c:v>724.47040000000004</c:v>
                </c:pt>
                <c:pt idx="657">
                  <c:v>724.46950000000004</c:v>
                </c:pt>
                <c:pt idx="658">
                  <c:v>724.48599999999999</c:v>
                </c:pt>
                <c:pt idx="659">
                  <c:v>724.47289999999998</c:v>
                </c:pt>
                <c:pt idx="660">
                  <c:v>724.46280000000002</c:v>
                </c:pt>
                <c:pt idx="661">
                  <c:v>724.48339999999996</c:v>
                </c:pt>
                <c:pt idx="662">
                  <c:v>724.49329999999998</c:v>
                </c:pt>
                <c:pt idx="663">
                  <c:v>724.48069999999996</c:v>
                </c:pt>
                <c:pt idx="664">
                  <c:v>724.48649999999998</c:v>
                </c:pt>
                <c:pt idx="665">
                  <c:v>724.49379999999996</c:v>
                </c:pt>
                <c:pt idx="666">
                  <c:v>724.47170000000006</c:v>
                </c:pt>
                <c:pt idx="667">
                  <c:v>724.43460000000005</c:v>
                </c:pt>
                <c:pt idx="668">
                  <c:v>724.45010000000002</c:v>
                </c:pt>
                <c:pt idx="669">
                  <c:v>724.48829999999998</c:v>
                </c:pt>
                <c:pt idx="670">
                  <c:v>724.42589999999996</c:v>
                </c:pt>
                <c:pt idx="671">
                  <c:v>724.54470000000003</c:v>
                </c:pt>
                <c:pt idx="672">
                  <c:v>724.49170000000004</c:v>
                </c:pt>
                <c:pt idx="673">
                  <c:v>724.46960000000001</c:v>
                </c:pt>
                <c:pt idx="674">
                  <c:v>724.42610000000002</c:v>
                </c:pt>
                <c:pt idx="675">
                  <c:v>724.47220000000004</c:v>
                </c:pt>
                <c:pt idx="676">
                  <c:v>724.46630000000005</c:v>
                </c:pt>
                <c:pt idx="677">
                  <c:v>724.45650000000001</c:v>
                </c:pt>
                <c:pt idx="678">
                  <c:v>724.47460000000001</c:v>
                </c:pt>
                <c:pt idx="679">
                  <c:v>724.49929999999995</c:v>
                </c:pt>
                <c:pt idx="680">
                  <c:v>724.48670000000004</c:v>
                </c:pt>
                <c:pt idx="681">
                  <c:v>724.45550000000003</c:v>
                </c:pt>
                <c:pt idx="682">
                  <c:v>724.48140000000001</c:v>
                </c:pt>
                <c:pt idx="683">
                  <c:v>724.46659999999997</c:v>
                </c:pt>
                <c:pt idx="684">
                  <c:v>724.46699999999998</c:v>
                </c:pt>
                <c:pt idx="685">
                  <c:v>724.53930000000003</c:v>
                </c:pt>
                <c:pt idx="686">
                  <c:v>724.42849999999999</c:v>
                </c:pt>
                <c:pt idx="687">
                  <c:v>724.49360000000001</c:v>
                </c:pt>
                <c:pt idx="688">
                  <c:v>724.47979999999995</c:v>
                </c:pt>
                <c:pt idx="689">
                  <c:v>724.44719999999995</c:v>
                </c:pt>
                <c:pt idx="690">
                  <c:v>724.51649999999995</c:v>
                </c:pt>
                <c:pt idx="691">
                  <c:v>724.50360000000001</c:v>
                </c:pt>
                <c:pt idx="692">
                  <c:v>724.46979999999996</c:v>
                </c:pt>
                <c:pt idx="693">
                  <c:v>724.48429999999996</c:v>
                </c:pt>
                <c:pt idx="694">
                  <c:v>724.45439999999996</c:v>
                </c:pt>
                <c:pt idx="695">
                  <c:v>724.49519999999995</c:v>
                </c:pt>
                <c:pt idx="696">
                  <c:v>724.49329999999998</c:v>
                </c:pt>
                <c:pt idx="697">
                  <c:v>724.45540000000005</c:v>
                </c:pt>
                <c:pt idx="698">
                  <c:v>724.47349999999994</c:v>
                </c:pt>
                <c:pt idx="699">
                  <c:v>724.48770000000002</c:v>
                </c:pt>
                <c:pt idx="700">
                  <c:v>724.51179999999999</c:v>
                </c:pt>
                <c:pt idx="701">
                  <c:v>724.49379999999996</c:v>
                </c:pt>
                <c:pt idx="702">
                  <c:v>724.44389999999999</c:v>
                </c:pt>
                <c:pt idx="703">
                  <c:v>724.48090000000002</c:v>
                </c:pt>
                <c:pt idx="704">
                  <c:v>724.46550000000002</c:v>
                </c:pt>
                <c:pt idx="705">
                  <c:v>724.48950000000002</c:v>
                </c:pt>
                <c:pt idx="706">
                  <c:v>724.50059999999996</c:v>
                </c:pt>
                <c:pt idx="707">
                  <c:v>724.51639999999998</c:v>
                </c:pt>
                <c:pt idx="708">
                  <c:v>724.50570000000005</c:v>
                </c:pt>
                <c:pt idx="709">
                  <c:v>724.46590000000003</c:v>
                </c:pt>
                <c:pt idx="710">
                  <c:v>724.45489999999995</c:v>
                </c:pt>
                <c:pt idx="711">
                  <c:v>724.4932</c:v>
                </c:pt>
                <c:pt idx="712">
                  <c:v>724.49829999999997</c:v>
                </c:pt>
                <c:pt idx="713">
                  <c:v>724.5068</c:v>
                </c:pt>
                <c:pt idx="714">
                  <c:v>724.47429999999997</c:v>
                </c:pt>
                <c:pt idx="715">
                  <c:v>724.47839999999997</c:v>
                </c:pt>
                <c:pt idx="716">
                  <c:v>724.46579999999994</c:v>
                </c:pt>
                <c:pt idx="717">
                  <c:v>724.47879999999998</c:v>
                </c:pt>
                <c:pt idx="718">
                  <c:v>724.46619999999996</c:v>
                </c:pt>
                <c:pt idx="719">
                  <c:v>724.49149999999997</c:v>
                </c:pt>
                <c:pt idx="720">
                  <c:v>724.4896</c:v>
                </c:pt>
                <c:pt idx="721">
                  <c:v>724.46349999999995</c:v>
                </c:pt>
                <c:pt idx="722">
                  <c:v>724.50609999999995</c:v>
                </c:pt>
                <c:pt idx="723">
                  <c:v>724.43089999999995</c:v>
                </c:pt>
                <c:pt idx="724">
                  <c:v>724.48820000000001</c:v>
                </c:pt>
                <c:pt idx="725">
                  <c:v>724.46100000000001</c:v>
                </c:pt>
                <c:pt idx="726">
                  <c:v>724.49519999999995</c:v>
                </c:pt>
                <c:pt idx="727">
                  <c:v>724.45699999999999</c:v>
                </c:pt>
                <c:pt idx="728">
                  <c:v>724.49590000000001</c:v>
                </c:pt>
                <c:pt idx="729">
                  <c:v>724.49530000000004</c:v>
                </c:pt>
                <c:pt idx="730">
                  <c:v>724.48299999999995</c:v>
                </c:pt>
                <c:pt idx="731">
                  <c:v>724.4425</c:v>
                </c:pt>
                <c:pt idx="732">
                  <c:v>724.45519999999999</c:v>
                </c:pt>
                <c:pt idx="733">
                  <c:v>724.47770000000003</c:v>
                </c:pt>
                <c:pt idx="734">
                  <c:v>724.51369999999997</c:v>
                </c:pt>
                <c:pt idx="735">
                  <c:v>724.51750000000004</c:v>
                </c:pt>
                <c:pt idx="736">
                  <c:v>724.45809999999994</c:v>
                </c:pt>
                <c:pt idx="737">
                  <c:v>724.47519999999997</c:v>
                </c:pt>
                <c:pt idx="738">
                  <c:v>724.4452</c:v>
                </c:pt>
                <c:pt idx="739">
                  <c:v>724.51599999999996</c:v>
                </c:pt>
                <c:pt idx="740">
                  <c:v>724.51419999999996</c:v>
                </c:pt>
                <c:pt idx="741">
                  <c:v>724.45069999999998</c:v>
                </c:pt>
                <c:pt idx="742">
                  <c:v>724.48670000000004</c:v>
                </c:pt>
                <c:pt idx="743">
                  <c:v>724.52149999999995</c:v>
                </c:pt>
                <c:pt idx="744">
                  <c:v>724.49810000000002</c:v>
                </c:pt>
                <c:pt idx="745">
                  <c:v>724.52470000000005</c:v>
                </c:pt>
                <c:pt idx="746">
                  <c:v>724.49749999999995</c:v>
                </c:pt>
                <c:pt idx="747">
                  <c:v>724.51900000000001</c:v>
                </c:pt>
                <c:pt idx="748">
                  <c:v>724.5077</c:v>
                </c:pt>
                <c:pt idx="749">
                  <c:v>724.51120000000003</c:v>
                </c:pt>
                <c:pt idx="750">
                  <c:v>724.47609999999997</c:v>
                </c:pt>
                <c:pt idx="751">
                  <c:v>724.50810000000001</c:v>
                </c:pt>
                <c:pt idx="752">
                  <c:v>724.49699999999996</c:v>
                </c:pt>
                <c:pt idx="753">
                  <c:v>724.49639999999999</c:v>
                </c:pt>
                <c:pt idx="754">
                  <c:v>724.45600000000002</c:v>
                </c:pt>
                <c:pt idx="755">
                  <c:v>724.44899999999996</c:v>
                </c:pt>
                <c:pt idx="756">
                  <c:v>724.54669999999999</c:v>
                </c:pt>
                <c:pt idx="757">
                  <c:v>724.50630000000001</c:v>
                </c:pt>
                <c:pt idx="758">
                  <c:v>724.40139999999997</c:v>
                </c:pt>
                <c:pt idx="759">
                  <c:v>724.49749999999995</c:v>
                </c:pt>
                <c:pt idx="760">
                  <c:v>724.4905</c:v>
                </c:pt>
                <c:pt idx="761">
                  <c:v>724.47379999999998</c:v>
                </c:pt>
                <c:pt idx="762">
                  <c:v>724.50170000000003</c:v>
                </c:pt>
                <c:pt idx="763">
                  <c:v>724.44920000000002</c:v>
                </c:pt>
                <c:pt idx="764">
                  <c:v>724.47170000000006</c:v>
                </c:pt>
                <c:pt idx="765">
                  <c:v>724.4837</c:v>
                </c:pt>
                <c:pt idx="766">
                  <c:v>724.45399999999995</c:v>
                </c:pt>
                <c:pt idx="767">
                  <c:v>724.43219999999997</c:v>
                </c:pt>
                <c:pt idx="768">
                  <c:v>724.49789999999996</c:v>
                </c:pt>
                <c:pt idx="769">
                  <c:v>724.44929999999999</c:v>
                </c:pt>
                <c:pt idx="770">
                  <c:v>724.43949999999995</c:v>
                </c:pt>
                <c:pt idx="771">
                  <c:v>724.46199999999999</c:v>
                </c:pt>
                <c:pt idx="772">
                  <c:v>724.52359999999999</c:v>
                </c:pt>
                <c:pt idx="773">
                  <c:v>724.52840000000003</c:v>
                </c:pt>
                <c:pt idx="774">
                  <c:v>724.47209999999995</c:v>
                </c:pt>
                <c:pt idx="775">
                  <c:v>724.49210000000005</c:v>
                </c:pt>
                <c:pt idx="776">
                  <c:v>724.47529999999995</c:v>
                </c:pt>
                <c:pt idx="777">
                  <c:v>724.46169999999995</c:v>
                </c:pt>
                <c:pt idx="778">
                  <c:v>724.47220000000004</c:v>
                </c:pt>
                <c:pt idx="779">
                  <c:v>724.50409999999999</c:v>
                </c:pt>
                <c:pt idx="780">
                  <c:v>724.48680000000002</c:v>
                </c:pt>
                <c:pt idx="781">
                  <c:v>724.4665</c:v>
                </c:pt>
                <c:pt idx="782">
                  <c:v>724.50350000000003</c:v>
                </c:pt>
                <c:pt idx="783">
                  <c:v>724.48180000000002</c:v>
                </c:pt>
                <c:pt idx="784">
                  <c:v>724.51120000000003</c:v>
                </c:pt>
                <c:pt idx="785">
                  <c:v>724.4597</c:v>
                </c:pt>
                <c:pt idx="786">
                  <c:v>724.46220000000005</c:v>
                </c:pt>
                <c:pt idx="787">
                  <c:v>724.52260000000001</c:v>
                </c:pt>
                <c:pt idx="788">
                  <c:v>724.51689999999996</c:v>
                </c:pt>
                <c:pt idx="789">
                  <c:v>724.54629999999997</c:v>
                </c:pt>
                <c:pt idx="790">
                  <c:v>724.46130000000005</c:v>
                </c:pt>
                <c:pt idx="791">
                  <c:v>724.50149999999996</c:v>
                </c:pt>
                <c:pt idx="792">
                  <c:v>724.50239999999997</c:v>
                </c:pt>
                <c:pt idx="793">
                  <c:v>724.505</c:v>
                </c:pt>
                <c:pt idx="794">
                  <c:v>724.50210000000004</c:v>
                </c:pt>
                <c:pt idx="795">
                  <c:v>724.51</c:v>
                </c:pt>
                <c:pt idx="796">
                  <c:v>724.45759999999996</c:v>
                </c:pt>
                <c:pt idx="797">
                  <c:v>724.49869999999999</c:v>
                </c:pt>
                <c:pt idx="798">
                  <c:v>724.49969999999996</c:v>
                </c:pt>
                <c:pt idx="799">
                  <c:v>724.49680000000001</c:v>
                </c:pt>
                <c:pt idx="800">
                  <c:v>724.52530000000002</c:v>
                </c:pt>
                <c:pt idx="801">
                  <c:v>724.50059999999996</c:v>
                </c:pt>
                <c:pt idx="802">
                  <c:v>724.43610000000001</c:v>
                </c:pt>
                <c:pt idx="803">
                  <c:v>724.51110000000006</c:v>
                </c:pt>
                <c:pt idx="804">
                  <c:v>724.4665</c:v>
                </c:pt>
                <c:pt idx="805">
                  <c:v>724.44090000000006</c:v>
                </c:pt>
                <c:pt idx="806">
                  <c:v>724.45669999999996</c:v>
                </c:pt>
                <c:pt idx="807">
                  <c:v>724.43899999999996</c:v>
                </c:pt>
                <c:pt idx="808">
                  <c:v>724.48050000000001</c:v>
                </c:pt>
                <c:pt idx="809">
                  <c:v>724.48559999999998</c:v>
                </c:pt>
                <c:pt idx="810">
                  <c:v>724.51779999999997</c:v>
                </c:pt>
                <c:pt idx="811">
                  <c:v>724.47990000000004</c:v>
                </c:pt>
                <c:pt idx="812">
                  <c:v>724.4502</c:v>
                </c:pt>
                <c:pt idx="813">
                  <c:v>724.47799999999995</c:v>
                </c:pt>
                <c:pt idx="814">
                  <c:v>724.53300000000002</c:v>
                </c:pt>
                <c:pt idx="815">
                  <c:v>724.44799999999998</c:v>
                </c:pt>
                <c:pt idx="816">
                  <c:v>724.4375</c:v>
                </c:pt>
                <c:pt idx="817">
                  <c:v>724.47199999999998</c:v>
                </c:pt>
                <c:pt idx="818">
                  <c:v>724.48</c:v>
                </c:pt>
                <c:pt idx="819">
                  <c:v>724.53369999999995</c:v>
                </c:pt>
                <c:pt idx="820">
                  <c:v>724.61940000000004</c:v>
                </c:pt>
                <c:pt idx="821">
                  <c:v>724.76400000000001</c:v>
                </c:pt>
                <c:pt idx="822">
                  <c:v>724.83609999999999</c:v>
                </c:pt>
                <c:pt idx="823">
                  <c:v>724.97910000000002</c:v>
                </c:pt>
                <c:pt idx="824">
                  <c:v>725.06569999999999</c:v>
                </c:pt>
                <c:pt idx="825">
                  <c:v>725.24199999999996</c:v>
                </c:pt>
                <c:pt idx="826">
                  <c:v>725.3777</c:v>
                </c:pt>
                <c:pt idx="827">
                  <c:v>725.44740000000002</c:v>
                </c:pt>
                <c:pt idx="828">
                  <c:v>725.61109999999996</c:v>
                </c:pt>
                <c:pt idx="829">
                  <c:v>725.69970000000001</c:v>
                </c:pt>
                <c:pt idx="830">
                  <c:v>725.83090000000004</c:v>
                </c:pt>
                <c:pt idx="831">
                  <c:v>725.95119999999997</c:v>
                </c:pt>
                <c:pt idx="832">
                  <c:v>726.0675</c:v>
                </c:pt>
                <c:pt idx="833">
                  <c:v>726.19579999999996</c:v>
                </c:pt>
                <c:pt idx="834">
                  <c:v>726.34950000000003</c:v>
                </c:pt>
                <c:pt idx="835">
                  <c:v>726.43859999999995</c:v>
                </c:pt>
                <c:pt idx="836">
                  <c:v>726.58119999999997</c:v>
                </c:pt>
                <c:pt idx="837">
                  <c:v>726.72109999999998</c:v>
                </c:pt>
                <c:pt idx="838">
                  <c:v>726.85419999999999</c:v>
                </c:pt>
                <c:pt idx="839">
                  <c:v>727.0258</c:v>
                </c:pt>
                <c:pt idx="840">
                  <c:v>727.16160000000002</c:v>
                </c:pt>
                <c:pt idx="841">
                  <c:v>727.3655</c:v>
                </c:pt>
                <c:pt idx="842">
                  <c:v>727.51300000000003</c:v>
                </c:pt>
                <c:pt idx="843">
                  <c:v>727.69650000000001</c:v>
                </c:pt>
                <c:pt idx="844">
                  <c:v>727.83270000000005</c:v>
                </c:pt>
                <c:pt idx="845">
                  <c:v>727.98519999999996</c:v>
                </c:pt>
                <c:pt idx="846">
                  <c:v>728.18150000000003</c:v>
                </c:pt>
                <c:pt idx="847">
                  <c:v>728.36</c:v>
                </c:pt>
                <c:pt idx="848">
                  <c:v>728.50070000000005</c:v>
                </c:pt>
                <c:pt idx="849">
                  <c:v>728.68320000000006</c:v>
                </c:pt>
                <c:pt idx="850">
                  <c:v>728.88160000000005</c:v>
                </c:pt>
                <c:pt idx="851">
                  <c:v>728.97770000000003</c:v>
                </c:pt>
                <c:pt idx="852">
                  <c:v>729.22180000000003</c:v>
                </c:pt>
                <c:pt idx="853">
                  <c:v>729.34429999999998</c:v>
                </c:pt>
                <c:pt idx="854">
                  <c:v>729.53399999999999</c:v>
                </c:pt>
                <c:pt idx="855">
                  <c:v>729.65549999999996</c:v>
                </c:pt>
                <c:pt idx="856">
                  <c:v>729.87549999999999</c:v>
                </c:pt>
                <c:pt idx="857">
                  <c:v>730.08489999999995</c:v>
                </c:pt>
                <c:pt idx="858">
                  <c:v>730.21199999999999</c:v>
                </c:pt>
                <c:pt idx="859">
                  <c:v>730.40890000000002</c:v>
                </c:pt>
                <c:pt idx="860">
                  <c:v>730.54300000000001</c:v>
                </c:pt>
                <c:pt idx="861">
                  <c:v>730.77880000000005</c:v>
                </c:pt>
                <c:pt idx="862">
                  <c:v>730.92619999999999</c:v>
                </c:pt>
                <c:pt idx="863">
                  <c:v>731.08810000000005</c:v>
                </c:pt>
                <c:pt idx="864">
                  <c:v>731.25519999999995</c:v>
                </c:pt>
                <c:pt idx="865">
                  <c:v>731.38890000000004</c:v>
                </c:pt>
                <c:pt idx="866">
                  <c:v>731.5951</c:v>
                </c:pt>
                <c:pt idx="867">
                  <c:v>731.726</c:v>
                </c:pt>
                <c:pt idx="868">
                  <c:v>731.93349999999998</c:v>
                </c:pt>
                <c:pt idx="869">
                  <c:v>732.14530000000002</c:v>
                </c:pt>
                <c:pt idx="870">
                  <c:v>732.30050000000006</c:v>
                </c:pt>
                <c:pt idx="871">
                  <c:v>732.48940000000005</c:v>
                </c:pt>
                <c:pt idx="872">
                  <c:v>732.67529999999999</c:v>
                </c:pt>
                <c:pt idx="873">
                  <c:v>732.81820000000005</c:v>
                </c:pt>
                <c:pt idx="874">
                  <c:v>733.0181</c:v>
                </c:pt>
                <c:pt idx="875">
                  <c:v>733.22860000000003</c:v>
                </c:pt>
                <c:pt idx="876">
                  <c:v>733.38530000000003</c:v>
                </c:pt>
                <c:pt idx="877">
                  <c:v>733.5163</c:v>
                </c:pt>
                <c:pt idx="878">
                  <c:v>733.70320000000004</c:v>
                </c:pt>
                <c:pt idx="879">
                  <c:v>733.91129999999998</c:v>
                </c:pt>
                <c:pt idx="880">
                  <c:v>734.03700000000003</c:v>
                </c:pt>
                <c:pt idx="881">
                  <c:v>734.27769999999998</c:v>
                </c:pt>
                <c:pt idx="882">
                  <c:v>734.44410000000005</c:v>
                </c:pt>
                <c:pt idx="883">
                  <c:v>734.54830000000004</c:v>
                </c:pt>
                <c:pt idx="884">
                  <c:v>734.71119999999996</c:v>
                </c:pt>
                <c:pt idx="885">
                  <c:v>734.91160000000002</c:v>
                </c:pt>
                <c:pt idx="886">
                  <c:v>735.0444</c:v>
                </c:pt>
                <c:pt idx="887">
                  <c:v>735.19380000000001</c:v>
                </c:pt>
                <c:pt idx="888">
                  <c:v>735.3365</c:v>
                </c:pt>
                <c:pt idx="889">
                  <c:v>735.49189999999999</c:v>
                </c:pt>
                <c:pt idx="890">
                  <c:v>735.61009999999999</c:v>
                </c:pt>
                <c:pt idx="891">
                  <c:v>735.7201</c:v>
                </c:pt>
                <c:pt idx="892">
                  <c:v>735.84569999999997</c:v>
                </c:pt>
                <c:pt idx="893">
                  <c:v>735.93349999999998</c:v>
                </c:pt>
                <c:pt idx="894">
                  <c:v>735.99549999999999</c:v>
                </c:pt>
                <c:pt idx="895">
                  <c:v>735.98860000000002</c:v>
                </c:pt>
                <c:pt idx="896">
                  <c:v>735.94709999999998</c:v>
                </c:pt>
                <c:pt idx="897">
                  <c:v>735.95460000000003</c:v>
                </c:pt>
                <c:pt idx="898">
                  <c:v>735.94920000000002</c:v>
                </c:pt>
                <c:pt idx="899">
                  <c:v>735.9769</c:v>
                </c:pt>
                <c:pt idx="900">
                  <c:v>735.99239999999998</c:v>
                </c:pt>
                <c:pt idx="901">
                  <c:v>735.99879999999996</c:v>
                </c:pt>
                <c:pt idx="902">
                  <c:v>735.98509999999999</c:v>
                </c:pt>
                <c:pt idx="903">
                  <c:v>735.94870000000003</c:v>
                </c:pt>
                <c:pt idx="904">
                  <c:v>735.98099999999999</c:v>
                </c:pt>
                <c:pt idx="905">
                  <c:v>735.98030000000006</c:v>
                </c:pt>
                <c:pt idx="906">
                  <c:v>736.02629999999999</c:v>
                </c:pt>
                <c:pt idx="907">
                  <c:v>735.97789999999998</c:v>
                </c:pt>
                <c:pt idx="908">
                  <c:v>735.99189999999999</c:v>
                </c:pt>
                <c:pt idx="909">
                  <c:v>736.02080000000001</c:v>
                </c:pt>
                <c:pt idx="910">
                  <c:v>735.99860000000001</c:v>
                </c:pt>
                <c:pt idx="911">
                  <c:v>735.99059999999997</c:v>
                </c:pt>
                <c:pt idx="912">
                  <c:v>735.98050000000001</c:v>
                </c:pt>
                <c:pt idx="913">
                  <c:v>735.99710000000005</c:v>
                </c:pt>
                <c:pt idx="914">
                  <c:v>736.01149999999996</c:v>
                </c:pt>
                <c:pt idx="915">
                  <c:v>736.01750000000004</c:v>
                </c:pt>
                <c:pt idx="916">
                  <c:v>736.00890000000004</c:v>
                </c:pt>
                <c:pt idx="917">
                  <c:v>736.03790000000004</c:v>
                </c:pt>
                <c:pt idx="918">
                  <c:v>735.97199999999998</c:v>
                </c:pt>
                <c:pt idx="919">
                  <c:v>736.0299</c:v>
                </c:pt>
                <c:pt idx="920">
                  <c:v>736.00250000000005</c:v>
                </c:pt>
                <c:pt idx="921">
                  <c:v>736.02210000000002</c:v>
                </c:pt>
                <c:pt idx="922">
                  <c:v>735.95100000000002</c:v>
                </c:pt>
                <c:pt idx="923">
                  <c:v>736.02499999999998</c:v>
                </c:pt>
                <c:pt idx="924">
                  <c:v>736.02059999999994</c:v>
                </c:pt>
                <c:pt idx="925">
                  <c:v>736.02809999999999</c:v>
                </c:pt>
                <c:pt idx="926">
                  <c:v>736.02340000000004</c:v>
                </c:pt>
                <c:pt idx="927">
                  <c:v>736.06089999999995</c:v>
                </c:pt>
                <c:pt idx="928">
                  <c:v>736.01020000000005</c:v>
                </c:pt>
                <c:pt idx="929">
                  <c:v>736.04229999999995</c:v>
                </c:pt>
                <c:pt idx="930">
                  <c:v>736.08</c:v>
                </c:pt>
                <c:pt idx="931">
                  <c:v>736.00350000000003</c:v>
                </c:pt>
                <c:pt idx="932">
                  <c:v>736.03840000000002</c:v>
                </c:pt>
                <c:pt idx="933">
                  <c:v>736.00120000000004</c:v>
                </c:pt>
                <c:pt idx="934">
                  <c:v>736.05359999999996</c:v>
                </c:pt>
                <c:pt idx="935">
                  <c:v>736.03300000000002</c:v>
                </c:pt>
                <c:pt idx="936">
                  <c:v>736.02419999999995</c:v>
                </c:pt>
                <c:pt idx="937">
                  <c:v>736.00480000000005</c:v>
                </c:pt>
                <c:pt idx="938">
                  <c:v>736.0317</c:v>
                </c:pt>
                <c:pt idx="939">
                  <c:v>736.00969999999995</c:v>
                </c:pt>
                <c:pt idx="940">
                  <c:v>736.02390000000003</c:v>
                </c:pt>
                <c:pt idx="941">
                  <c:v>735.9991</c:v>
                </c:pt>
                <c:pt idx="942">
                  <c:v>735.98800000000006</c:v>
                </c:pt>
                <c:pt idx="943">
                  <c:v>736.03089999999997</c:v>
                </c:pt>
                <c:pt idx="944">
                  <c:v>736.03480000000002</c:v>
                </c:pt>
                <c:pt idx="945">
                  <c:v>736.03970000000004</c:v>
                </c:pt>
                <c:pt idx="946">
                  <c:v>736.01919999999996</c:v>
                </c:pt>
                <c:pt idx="947">
                  <c:v>736.00779999999997</c:v>
                </c:pt>
                <c:pt idx="948">
                  <c:v>736.02779999999996</c:v>
                </c:pt>
                <c:pt idx="949">
                  <c:v>736.02589999999998</c:v>
                </c:pt>
                <c:pt idx="950">
                  <c:v>736.0027</c:v>
                </c:pt>
                <c:pt idx="951">
                  <c:v>736.03729999999996</c:v>
                </c:pt>
                <c:pt idx="952">
                  <c:v>736.01949999999999</c:v>
                </c:pt>
                <c:pt idx="953">
                  <c:v>736.02359999999999</c:v>
                </c:pt>
                <c:pt idx="954">
                  <c:v>736.0027</c:v>
                </c:pt>
                <c:pt idx="955">
                  <c:v>736.04020000000003</c:v>
                </c:pt>
                <c:pt idx="956">
                  <c:v>736.04819999999995</c:v>
                </c:pt>
                <c:pt idx="957">
                  <c:v>736.03290000000004</c:v>
                </c:pt>
                <c:pt idx="958">
                  <c:v>735.97699999999998</c:v>
                </c:pt>
                <c:pt idx="959">
                  <c:v>736.01710000000003</c:v>
                </c:pt>
                <c:pt idx="960">
                  <c:v>736.01170000000002</c:v>
                </c:pt>
                <c:pt idx="961">
                  <c:v>736.01940000000002</c:v>
                </c:pt>
                <c:pt idx="962">
                  <c:v>736.00289999999995</c:v>
                </c:pt>
                <c:pt idx="963">
                  <c:v>735.98350000000005</c:v>
                </c:pt>
                <c:pt idx="964">
                  <c:v>736.02949999999998</c:v>
                </c:pt>
                <c:pt idx="965">
                  <c:v>736.03189999999995</c:v>
                </c:pt>
                <c:pt idx="966">
                  <c:v>736.02620000000002</c:v>
                </c:pt>
                <c:pt idx="967">
                  <c:v>736.02179999999998</c:v>
                </c:pt>
                <c:pt idx="968">
                  <c:v>736.02689999999996</c:v>
                </c:pt>
                <c:pt idx="969">
                  <c:v>736.02930000000003</c:v>
                </c:pt>
                <c:pt idx="970">
                  <c:v>736.06290000000001</c:v>
                </c:pt>
                <c:pt idx="971">
                  <c:v>736.07889999999998</c:v>
                </c:pt>
                <c:pt idx="972">
                  <c:v>736.02020000000005</c:v>
                </c:pt>
                <c:pt idx="973">
                  <c:v>736.01990000000001</c:v>
                </c:pt>
                <c:pt idx="974">
                  <c:v>736.04679999999996</c:v>
                </c:pt>
                <c:pt idx="975">
                  <c:v>736.05070000000001</c:v>
                </c:pt>
                <c:pt idx="976">
                  <c:v>736.06830000000002</c:v>
                </c:pt>
                <c:pt idx="977">
                  <c:v>736.06619999999998</c:v>
                </c:pt>
                <c:pt idx="978">
                  <c:v>736.04319999999996</c:v>
                </c:pt>
                <c:pt idx="979">
                  <c:v>736.02530000000002</c:v>
                </c:pt>
                <c:pt idx="980">
                  <c:v>736.01139999999998</c:v>
                </c:pt>
                <c:pt idx="981">
                  <c:v>736.01239999999996</c:v>
                </c:pt>
                <c:pt idx="982">
                  <c:v>736.05820000000006</c:v>
                </c:pt>
                <c:pt idx="983">
                  <c:v>736.04160000000002</c:v>
                </c:pt>
                <c:pt idx="984">
                  <c:v>736.02790000000005</c:v>
                </c:pt>
                <c:pt idx="985">
                  <c:v>736.05219999999997</c:v>
                </c:pt>
                <c:pt idx="986">
                  <c:v>736.03949999999998</c:v>
                </c:pt>
                <c:pt idx="987">
                  <c:v>736.02200000000005</c:v>
                </c:pt>
                <c:pt idx="988">
                  <c:v>736.07449999999994</c:v>
                </c:pt>
                <c:pt idx="989">
                  <c:v>736.01859999999999</c:v>
                </c:pt>
                <c:pt idx="990">
                  <c:v>736.03589999999997</c:v>
                </c:pt>
                <c:pt idx="991">
                  <c:v>736.00310000000002</c:v>
                </c:pt>
                <c:pt idx="992">
                  <c:v>736.06</c:v>
                </c:pt>
                <c:pt idx="993">
                  <c:v>735.98239999999998</c:v>
                </c:pt>
                <c:pt idx="994">
                  <c:v>736.00540000000001</c:v>
                </c:pt>
                <c:pt idx="995">
                  <c:v>736.01599999999996</c:v>
                </c:pt>
                <c:pt idx="996">
                  <c:v>736.02139999999997</c:v>
                </c:pt>
                <c:pt idx="997">
                  <c:v>736.06020000000001</c:v>
                </c:pt>
                <c:pt idx="998">
                  <c:v>736.03949999999998</c:v>
                </c:pt>
                <c:pt idx="999">
                  <c:v>736.02059999999994</c:v>
                </c:pt>
                <c:pt idx="1000">
                  <c:v>736.02419999999995</c:v>
                </c:pt>
                <c:pt idx="1001">
                  <c:v>735.98490000000004</c:v>
                </c:pt>
                <c:pt idx="1002">
                  <c:v>736.05939999999998</c:v>
                </c:pt>
                <c:pt idx="1003">
                  <c:v>736.02499999999998</c:v>
                </c:pt>
                <c:pt idx="1004">
                  <c:v>736.03719999999998</c:v>
                </c:pt>
                <c:pt idx="1005">
                  <c:v>736.01390000000004</c:v>
                </c:pt>
                <c:pt idx="1006">
                  <c:v>736.0625</c:v>
                </c:pt>
                <c:pt idx="1007">
                  <c:v>736.03219999999999</c:v>
                </c:pt>
                <c:pt idx="1008">
                  <c:v>736.07029999999997</c:v>
                </c:pt>
                <c:pt idx="1009">
                  <c:v>736.00639999999999</c:v>
                </c:pt>
                <c:pt idx="1010">
                  <c:v>736.03589999999997</c:v>
                </c:pt>
                <c:pt idx="1011">
                  <c:v>736.01130000000001</c:v>
                </c:pt>
                <c:pt idx="1012">
                  <c:v>736.05989999999997</c:v>
                </c:pt>
                <c:pt idx="1013">
                  <c:v>736.02859999999998</c:v>
                </c:pt>
                <c:pt idx="1014">
                  <c:v>736.07569999999998</c:v>
                </c:pt>
                <c:pt idx="1015">
                  <c:v>735.99990000000003</c:v>
                </c:pt>
                <c:pt idx="1016">
                  <c:v>736.01179999999999</c:v>
                </c:pt>
                <c:pt idx="1017">
                  <c:v>736.0317</c:v>
                </c:pt>
                <c:pt idx="1018">
                  <c:v>736.02340000000004</c:v>
                </c:pt>
                <c:pt idx="1019">
                  <c:v>736.00969999999995</c:v>
                </c:pt>
                <c:pt idx="1020">
                  <c:v>736.02859999999998</c:v>
                </c:pt>
                <c:pt idx="1021">
                  <c:v>736.00940000000003</c:v>
                </c:pt>
                <c:pt idx="1022">
                  <c:v>736.06510000000003</c:v>
                </c:pt>
                <c:pt idx="1023">
                  <c:v>736.02809999999999</c:v>
                </c:pt>
                <c:pt idx="1024">
                  <c:v>736.02650000000006</c:v>
                </c:pt>
                <c:pt idx="1025">
                  <c:v>736.05909999999994</c:v>
                </c:pt>
                <c:pt idx="1026">
                  <c:v>736.01769999999999</c:v>
                </c:pt>
                <c:pt idx="1027">
                  <c:v>736.00170000000003</c:v>
                </c:pt>
                <c:pt idx="1028">
                  <c:v>736.01490000000001</c:v>
                </c:pt>
                <c:pt idx="1029">
                  <c:v>736.05830000000003</c:v>
                </c:pt>
                <c:pt idx="1030">
                  <c:v>735.99419999999998</c:v>
                </c:pt>
                <c:pt idx="1031">
                  <c:v>736.03890000000001</c:v>
                </c:pt>
                <c:pt idx="1032">
                  <c:v>736.04949999999997</c:v>
                </c:pt>
                <c:pt idx="1033">
                  <c:v>736.0335</c:v>
                </c:pt>
                <c:pt idx="1034">
                  <c:v>736.00729999999999</c:v>
                </c:pt>
                <c:pt idx="1035">
                  <c:v>736.03420000000006</c:v>
                </c:pt>
                <c:pt idx="1036">
                  <c:v>736.03269999999998</c:v>
                </c:pt>
                <c:pt idx="1037">
                  <c:v>736.03530000000001</c:v>
                </c:pt>
                <c:pt idx="1038">
                  <c:v>735.95920000000001</c:v>
                </c:pt>
                <c:pt idx="1039">
                  <c:v>735.98770000000002</c:v>
                </c:pt>
                <c:pt idx="1040">
                  <c:v>735.98609999999996</c:v>
                </c:pt>
                <c:pt idx="1041">
                  <c:v>736.01400000000001</c:v>
                </c:pt>
                <c:pt idx="1042">
                  <c:v>736.0009</c:v>
                </c:pt>
                <c:pt idx="1043">
                  <c:v>736.05470000000003</c:v>
                </c:pt>
                <c:pt idx="1044">
                  <c:v>736.03319999999997</c:v>
                </c:pt>
                <c:pt idx="1045">
                  <c:v>736.01790000000005</c:v>
                </c:pt>
                <c:pt idx="1046">
                  <c:v>735.99749999999995</c:v>
                </c:pt>
                <c:pt idx="1047">
                  <c:v>736.04899999999998</c:v>
                </c:pt>
                <c:pt idx="1048">
                  <c:v>736.06240000000003</c:v>
                </c:pt>
                <c:pt idx="1049">
                  <c:v>736.05129999999997</c:v>
                </c:pt>
                <c:pt idx="1050">
                  <c:v>735.99279999999999</c:v>
                </c:pt>
                <c:pt idx="1051">
                  <c:v>736.03369999999995</c:v>
                </c:pt>
                <c:pt idx="1052">
                  <c:v>736.03060000000005</c:v>
                </c:pt>
                <c:pt idx="1053">
                  <c:v>735.99490000000003</c:v>
                </c:pt>
                <c:pt idx="1054">
                  <c:v>736.02589999999998</c:v>
                </c:pt>
                <c:pt idx="1055">
                  <c:v>735.98810000000003</c:v>
                </c:pt>
                <c:pt idx="1056">
                  <c:v>736.02589999999998</c:v>
                </c:pt>
                <c:pt idx="1057">
                  <c:v>736.02049999999997</c:v>
                </c:pt>
                <c:pt idx="1058">
                  <c:v>736.04219999999998</c:v>
                </c:pt>
                <c:pt idx="1059">
                  <c:v>736.01189999999997</c:v>
                </c:pt>
                <c:pt idx="1060">
                  <c:v>735.98479999999995</c:v>
                </c:pt>
                <c:pt idx="1061">
                  <c:v>735.98990000000003</c:v>
                </c:pt>
                <c:pt idx="1062">
                  <c:v>736.0181</c:v>
                </c:pt>
                <c:pt idx="1063">
                  <c:v>736.00210000000004</c:v>
                </c:pt>
                <c:pt idx="1064">
                  <c:v>736.0575</c:v>
                </c:pt>
                <c:pt idx="1065">
                  <c:v>736.06700000000001</c:v>
                </c:pt>
                <c:pt idx="1066">
                  <c:v>736.01400000000001</c:v>
                </c:pt>
                <c:pt idx="1067">
                  <c:v>736.04759999999999</c:v>
                </c:pt>
                <c:pt idx="1068">
                  <c:v>736.03</c:v>
                </c:pt>
                <c:pt idx="1069">
                  <c:v>736.01239999999996</c:v>
                </c:pt>
                <c:pt idx="1070">
                  <c:v>736.04060000000004</c:v>
                </c:pt>
                <c:pt idx="1071">
                  <c:v>736.0557</c:v>
                </c:pt>
                <c:pt idx="1072">
                  <c:v>736.01059999999995</c:v>
                </c:pt>
                <c:pt idx="1073">
                  <c:v>736.03489999999999</c:v>
                </c:pt>
                <c:pt idx="1074">
                  <c:v>736.00360000000001</c:v>
                </c:pt>
                <c:pt idx="1075">
                  <c:v>736.02800000000002</c:v>
                </c:pt>
                <c:pt idx="1076">
                  <c:v>736.0127</c:v>
                </c:pt>
                <c:pt idx="1077">
                  <c:v>736.03309999999999</c:v>
                </c:pt>
                <c:pt idx="1078">
                  <c:v>736.04399999999998</c:v>
                </c:pt>
                <c:pt idx="1079">
                  <c:v>735.9692</c:v>
                </c:pt>
                <c:pt idx="1080">
                  <c:v>736.20809999999994</c:v>
                </c:pt>
                <c:pt idx="1081">
                  <c:v>736.30589999999995</c:v>
                </c:pt>
                <c:pt idx="1082">
                  <c:v>736.45780000000002</c:v>
                </c:pt>
                <c:pt idx="1083">
                  <c:v>736.55820000000006</c:v>
                </c:pt>
                <c:pt idx="1084">
                  <c:v>736.76260000000002</c:v>
                </c:pt>
                <c:pt idx="1085">
                  <c:v>736.95029999999997</c:v>
                </c:pt>
                <c:pt idx="1086">
                  <c:v>737.05100000000004</c:v>
                </c:pt>
                <c:pt idx="1087">
                  <c:v>737.27250000000004</c:v>
                </c:pt>
                <c:pt idx="1088">
                  <c:v>737.42989999999998</c:v>
                </c:pt>
                <c:pt idx="1089">
                  <c:v>737.68110000000001</c:v>
                </c:pt>
                <c:pt idx="1090">
                  <c:v>737.84760000000006</c:v>
                </c:pt>
                <c:pt idx="1091">
                  <c:v>738.06150000000002</c:v>
                </c:pt>
                <c:pt idx="1092">
                  <c:v>738.23220000000003</c:v>
                </c:pt>
                <c:pt idx="1093">
                  <c:v>738.41150000000005</c:v>
                </c:pt>
                <c:pt idx="1094">
                  <c:v>738.60599999999999</c:v>
                </c:pt>
                <c:pt idx="1095">
                  <c:v>738.77449999999999</c:v>
                </c:pt>
                <c:pt idx="1096">
                  <c:v>738.98760000000004</c:v>
                </c:pt>
                <c:pt idx="1097">
                  <c:v>739.23180000000002</c:v>
                </c:pt>
                <c:pt idx="1098">
                  <c:v>739.38220000000001</c:v>
                </c:pt>
                <c:pt idx="1099">
                  <c:v>739.57600000000002</c:v>
                </c:pt>
                <c:pt idx="1100">
                  <c:v>739.78070000000002</c:v>
                </c:pt>
                <c:pt idx="1101">
                  <c:v>739.94029999999998</c:v>
                </c:pt>
                <c:pt idx="1102">
                  <c:v>740.17049999999995</c:v>
                </c:pt>
                <c:pt idx="1103">
                  <c:v>740.40099999999995</c:v>
                </c:pt>
                <c:pt idx="1104">
                  <c:v>740.57529999999997</c:v>
                </c:pt>
                <c:pt idx="1105">
                  <c:v>740.75660000000005</c:v>
                </c:pt>
                <c:pt idx="1106">
                  <c:v>740.93489999999997</c:v>
                </c:pt>
                <c:pt idx="1107">
                  <c:v>741.11500000000001</c:v>
                </c:pt>
                <c:pt idx="1108">
                  <c:v>741.33309999999994</c:v>
                </c:pt>
                <c:pt idx="1109">
                  <c:v>741.50649999999996</c:v>
                </c:pt>
                <c:pt idx="1110">
                  <c:v>741.67430000000002</c:v>
                </c:pt>
                <c:pt idx="1111">
                  <c:v>741.9212</c:v>
                </c:pt>
                <c:pt idx="1112">
                  <c:v>742.04809999999998</c:v>
                </c:pt>
                <c:pt idx="1113">
                  <c:v>742.28679999999997</c:v>
                </c:pt>
                <c:pt idx="1114">
                  <c:v>742.44910000000004</c:v>
                </c:pt>
                <c:pt idx="1115">
                  <c:v>742.55820000000006</c:v>
                </c:pt>
                <c:pt idx="1116">
                  <c:v>742.78359999999998</c:v>
                </c:pt>
                <c:pt idx="1117">
                  <c:v>742.97190000000001</c:v>
                </c:pt>
                <c:pt idx="1118">
                  <c:v>743.09630000000004</c:v>
                </c:pt>
                <c:pt idx="1119">
                  <c:v>743.23170000000005</c:v>
                </c:pt>
                <c:pt idx="1120">
                  <c:v>743.45939999999996</c:v>
                </c:pt>
                <c:pt idx="1121">
                  <c:v>743.6232</c:v>
                </c:pt>
                <c:pt idx="1122">
                  <c:v>743.83879999999999</c:v>
                </c:pt>
                <c:pt idx="1123">
                  <c:v>743.97670000000005</c:v>
                </c:pt>
                <c:pt idx="1124">
                  <c:v>744.20330000000001</c:v>
                </c:pt>
                <c:pt idx="1125">
                  <c:v>744.3125</c:v>
                </c:pt>
                <c:pt idx="1126">
                  <c:v>744.51859999999999</c:v>
                </c:pt>
                <c:pt idx="1127">
                  <c:v>744.63620000000003</c:v>
                </c:pt>
                <c:pt idx="1128">
                  <c:v>744.85590000000002</c:v>
                </c:pt>
                <c:pt idx="1129">
                  <c:v>745.05</c:v>
                </c:pt>
                <c:pt idx="1130">
                  <c:v>745.15099999999995</c:v>
                </c:pt>
                <c:pt idx="1131">
                  <c:v>745.15940000000001</c:v>
                </c:pt>
                <c:pt idx="1132">
                  <c:v>745.14329999999995</c:v>
                </c:pt>
                <c:pt idx="1133">
                  <c:v>745.16740000000004</c:v>
                </c:pt>
                <c:pt idx="1134">
                  <c:v>745.14319999999998</c:v>
                </c:pt>
                <c:pt idx="1135">
                  <c:v>745.11940000000004</c:v>
                </c:pt>
                <c:pt idx="1136">
                  <c:v>745.15440000000001</c:v>
                </c:pt>
                <c:pt idx="1137">
                  <c:v>745.13229999999999</c:v>
                </c:pt>
                <c:pt idx="1138">
                  <c:v>745.09270000000004</c:v>
                </c:pt>
                <c:pt idx="1139">
                  <c:v>745.15989999999999</c:v>
                </c:pt>
                <c:pt idx="1140">
                  <c:v>745.17690000000005</c:v>
                </c:pt>
                <c:pt idx="1141">
                  <c:v>745.20169999999996</c:v>
                </c:pt>
                <c:pt idx="1142">
                  <c:v>745.15750000000003</c:v>
                </c:pt>
                <c:pt idx="1143">
                  <c:v>745.19069999999999</c:v>
                </c:pt>
                <c:pt idx="1144">
                  <c:v>745.19119999999998</c:v>
                </c:pt>
                <c:pt idx="1145">
                  <c:v>745.17589999999996</c:v>
                </c:pt>
                <c:pt idx="1146">
                  <c:v>745.10940000000005</c:v>
                </c:pt>
                <c:pt idx="1147">
                  <c:v>745.15549999999996</c:v>
                </c:pt>
                <c:pt idx="1148">
                  <c:v>745.14369999999997</c:v>
                </c:pt>
                <c:pt idx="1149">
                  <c:v>745.15030000000002</c:v>
                </c:pt>
                <c:pt idx="1150">
                  <c:v>745.1481</c:v>
                </c:pt>
                <c:pt idx="1151">
                  <c:v>745.13260000000002</c:v>
                </c:pt>
                <c:pt idx="1152">
                  <c:v>745.10350000000005</c:v>
                </c:pt>
                <c:pt idx="1153">
                  <c:v>745.13040000000001</c:v>
                </c:pt>
                <c:pt idx="1154">
                  <c:v>745.14480000000003</c:v>
                </c:pt>
                <c:pt idx="1155">
                  <c:v>745.13480000000004</c:v>
                </c:pt>
                <c:pt idx="1156">
                  <c:v>745.16319999999996</c:v>
                </c:pt>
                <c:pt idx="1157">
                  <c:v>745.18200000000002</c:v>
                </c:pt>
                <c:pt idx="1158">
                  <c:v>745.17200000000003</c:v>
                </c:pt>
                <c:pt idx="1159">
                  <c:v>745.154</c:v>
                </c:pt>
                <c:pt idx="1160">
                  <c:v>745.13329999999996</c:v>
                </c:pt>
                <c:pt idx="1161">
                  <c:v>745.15049999999997</c:v>
                </c:pt>
                <c:pt idx="1162">
                  <c:v>745.18579999999997</c:v>
                </c:pt>
                <c:pt idx="1163">
                  <c:v>745.20719999999994</c:v>
                </c:pt>
                <c:pt idx="1164">
                  <c:v>745.14949999999999</c:v>
                </c:pt>
                <c:pt idx="1165">
                  <c:v>745.21349999999995</c:v>
                </c:pt>
                <c:pt idx="1166">
                  <c:v>745.14509999999996</c:v>
                </c:pt>
                <c:pt idx="1167">
                  <c:v>745.20060000000001</c:v>
                </c:pt>
                <c:pt idx="1168">
                  <c:v>745.14030000000002</c:v>
                </c:pt>
                <c:pt idx="1169">
                  <c:v>745.10440000000006</c:v>
                </c:pt>
                <c:pt idx="1170">
                  <c:v>745.17529999999999</c:v>
                </c:pt>
                <c:pt idx="1171">
                  <c:v>745.15139999999997</c:v>
                </c:pt>
                <c:pt idx="1172">
                  <c:v>745.15689999999995</c:v>
                </c:pt>
                <c:pt idx="1173">
                  <c:v>745.15269999999998</c:v>
                </c:pt>
                <c:pt idx="1174">
                  <c:v>745.18769999999995</c:v>
                </c:pt>
                <c:pt idx="1175">
                  <c:v>745.20259999999996</c:v>
                </c:pt>
                <c:pt idx="1176">
                  <c:v>745.16809999999998</c:v>
                </c:pt>
                <c:pt idx="1177">
                  <c:v>745.18399999999997</c:v>
                </c:pt>
                <c:pt idx="1178">
                  <c:v>745.16610000000003</c:v>
                </c:pt>
                <c:pt idx="1179">
                  <c:v>745.15120000000002</c:v>
                </c:pt>
                <c:pt idx="1180">
                  <c:v>745.13040000000001</c:v>
                </c:pt>
                <c:pt idx="1181">
                  <c:v>745.17809999999997</c:v>
                </c:pt>
                <c:pt idx="1182">
                  <c:v>745.14459999999997</c:v>
                </c:pt>
                <c:pt idx="1183">
                  <c:v>745.20479999999998</c:v>
                </c:pt>
                <c:pt idx="1184">
                  <c:v>745.2319</c:v>
                </c:pt>
                <c:pt idx="1185">
                  <c:v>745.21659999999997</c:v>
                </c:pt>
                <c:pt idx="1186">
                  <c:v>745.14</c:v>
                </c:pt>
                <c:pt idx="1187">
                  <c:v>745.13019999999995</c:v>
                </c:pt>
                <c:pt idx="1188">
                  <c:v>745.16430000000003</c:v>
                </c:pt>
                <c:pt idx="1189">
                  <c:v>745.15449999999998</c:v>
                </c:pt>
                <c:pt idx="1190">
                  <c:v>745.14750000000004</c:v>
                </c:pt>
                <c:pt idx="1191">
                  <c:v>745.15269999999998</c:v>
                </c:pt>
                <c:pt idx="1192">
                  <c:v>745.12909999999999</c:v>
                </c:pt>
                <c:pt idx="1193">
                  <c:v>745.13980000000004</c:v>
                </c:pt>
                <c:pt idx="1194">
                  <c:v>745.15359999999998</c:v>
                </c:pt>
                <c:pt idx="1195">
                  <c:v>745.16279999999995</c:v>
                </c:pt>
                <c:pt idx="1196">
                  <c:v>745.19150000000002</c:v>
                </c:pt>
                <c:pt idx="1197">
                  <c:v>745.16110000000003</c:v>
                </c:pt>
                <c:pt idx="1198">
                  <c:v>745.18560000000002</c:v>
                </c:pt>
                <c:pt idx="1199">
                  <c:v>745.21010000000001</c:v>
                </c:pt>
                <c:pt idx="1200">
                  <c:v>745.19740000000002</c:v>
                </c:pt>
                <c:pt idx="1201">
                  <c:v>745.17160000000001</c:v>
                </c:pt>
                <c:pt idx="1202">
                  <c:v>745.16300000000001</c:v>
                </c:pt>
                <c:pt idx="1203">
                  <c:v>745.14269999999999</c:v>
                </c:pt>
                <c:pt idx="1204">
                  <c:v>745.14089999999999</c:v>
                </c:pt>
                <c:pt idx="1205">
                  <c:v>745.17070000000001</c:v>
                </c:pt>
                <c:pt idx="1206">
                  <c:v>745.19780000000003</c:v>
                </c:pt>
                <c:pt idx="1207">
                  <c:v>745.16210000000001</c:v>
                </c:pt>
                <c:pt idx="1208">
                  <c:v>745.1825</c:v>
                </c:pt>
                <c:pt idx="1209">
                  <c:v>745.13869999999997</c:v>
                </c:pt>
                <c:pt idx="1210">
                  <c:v>745.16189999999995</c:v>
                </c:pt>
                <c:pt idx="1211">
                  <c:v>745.14110000000005</c:v>
                </c:pt>
                <c:pt idx="1212">
                  <c:v>745.18600000000004</c:v>
                </c:pt>
                <c:pt idx="1213">
                  <c:v>745.18600000000004</c:v>
                </c:pt>
                <c:pt idx="1214">
                  <c:v>745.16099999999994</c:v>
                </c:pt>
                <c:pt idx="1215">
                  <c:v>745.10900000000004</c:v>
                </c:pt>
                <c:pt idx="1216">
                  <c:v>745.17200000000003</c:v>
                </c:pt>
                <c:pt idx="1217">
                  <c:v>745.18949999999995</c:v>
                </c:pt>
                <c:pt idx="1218">
                  <c:v>745.17550000000006</c:v>
                </c:pt>
                <c:pt idx="1219">
                  <c:v>745.21230000000003</c:v>
                </c:pt>
                <c:pt idx="1220">
                  <c:v>745.17110000000002</c:v>
                </c:pt>
                <c:pt idx="1221">
                  <c:v>745.15340000000003</c:v>
                </c:pt>
                <c:pt idx="1222">
                  <c:v>745.20259999999996</c:v>
                </c:pt>
                <c:pt idx="1223">
                  <c:v>745.1748</c:v>
                </c:pt>
                <c:pt idx="1224">
                  <c:v>745.16099999999994</c:v>
                </c:pt>
                <c:pt idx="1225">
                  <c:v>745.20899999999995</c:v>
                </c:pt>
                <c:pt idx="1226">
                  <c:v>745.15819999999997</c:v>
                </c:pt>
                <c:pt idx="1227">
                  <c:v>745.18010000000004</c:v>
                </c:pt>
                <c:pt idx="1228">
                  <c:v>745.18140000000005</c:v>
                </c:pt>
                <c:pt idx="1229">
                  <c:v>745.17150000000004</c:v>
                </c:pt>
                <c:pt idx="1230">
                  <c:v>745.15359999999998</c:v>
                </c:pt>
                <c:pt idx="1231">
                  <c:v>745.19579999999996</c:v>
                </c:pt>
                <c:pt idx="1232">
                  <c:v>745.20939999999996</c:v>
                </c:pt>
                <c:pt idx="1233">
                  <c:v>745.20519999999999</c:v>
                </c:pt>
                <c:pt idx="1234">
                  <c:v>745.17920000000004</c:v>
                </c:pt>
                <c:pt idx="1235">
                  <c:v>745.15989999999999</c:v>
                </c:pt>
                <c:pt idx="1236">
                  <c:v>745.15840000000003</c:v>
                </c:pt>
                <c:pt idx="1237">
                  <c:v>745.20219999999995</c:v>
                </c:pt>
                <c:pt idx="1238">
                  <c:v>745.17589999999996</c:v>
                </c:pt>
                <c:pt idx="1239">
                  <c:v>745.20740000000001</c:v>
                </c:pt>
                <c:pt idx="1240">
                  <c:v>745.15800000000002</c:v>
                </c:pt>
                <c:pt idx="1241">
                  <c:v>745.18380000000002</c:v>
                </c:pt>
                <c:pt idx="1242">
                  <c:v>745.17960000000005</c:v>
                </c:pt>
                <c:pt idx="1243">
                  <c:v>745.16300000000001</c:v>
                </c:pt>
                <c:pt idx="1244">
                  <c:v>745.1617</c:v>
                </c:pt>
                <c:pt idx="1245">
                  <c:v>745.1943</c:v>
                </c:pt>
                <c:pt idx="1246">
                  <c:v>745.17240000000004</c:v>
                </c:pt>
                <c:pt idx="1247">
                  <c:v>745.18050000000005</c:v>
                </c:pt>
                <c:pt idx="1248">
                  <c:v>745.1422</c:v>
                </c:pt>
                <c:pt idx="1249">
                  <c:v>745.15269999999998</c:v>
                </c:pt>
                <c:pt idx="1250">
                  <c:v>745.1748</c:v>
                </c:pt>
                <c:pt idx="1251">
                  <c:v>745.19100000000003</c:v>
                </c:pt>
                <c:pt idx="1252">
                  <c:v>745.19910000000004</c:v>
                </c:pt>
                <c:pt idx="1253">
                  <c:v>745.14020000000005</c:v>
                </c:pt>
                <c:pt idx="1254">
                  <c:v>745.19209999999998</c:v>
                </c:pt>
                <c:pt idx="1255">
                  <c:v>745.15509999999995</c:v>
                </c:pt>
                <c:pt idx="1256">
                  <c:v>745.14790000000005</c:v>
                </c:pt>
                <c:pt idx="1257">
                  <c:v>745.15909999999997</c:v>
                </c:pt>
                <c:pt idx="1258">
                  <c:v>745.17660000000001</c:v>
                </c:pt>
                <c:pt idx="1259">
                  <c:v>745.14530000000002</c:v>
                </c:pt>
                <c:pt idx="1260">
                  <c:v>745.14639999999997</c:v>
                </c:pt>
                <c:pt idx="1261">
                  <c:v>745.19280000000003</c:v>
                </c:pt>
                <c:pt idx="1262">
                  <c:v>745.17349999999999</c:v>
                </c:pt>
                <c:pt idx="1263">
                  <c:v>745.17589999999996</c:v>
                </c:pt>
                <c:pt idx="1264">
                  <c:v>745.154</c:v>
                </c:pt>
                <c:pt idx="1265">
                  <c:v>745.19650000000001</c:v>
                </c:pt>
                <c:pt idx="1266">
                  <c:v>745.15949999999998</c:v>
                </c:pt>
                <c:pt idx="1267">
                  <c:v>745.15909999999997</c:v>
                </c:pt>
                <c:pt idx="1268">
                  <c:v>745.18269999999995</c:v>
                </c:pt>
                <c:pt idx="1269">
                  <c:v>745.16470000000004</c:v>
                </c:pt>
                <c:pt idx="1270">
                  <c:v>745.17700000000002</c:v>
                </c:pt>
                <c:pt idx="1271">
                  <c:v>745.16579999999999</c:v>
                </c:pt>
                <c:pt idx="1272">
                  <c:v>745.18489999999997</c:v>
                </c:pt>
                <c:pt idx="1273">
                  <c:v>745.19140000000004</c:v>
                </c:pt>
                <c:pt idx="1274">
                  <c:v>745.20129999999995</c:v>
                </c:pt>
                <c:pt idx="1275">
                  <c:v>745.15030000000002</c:v>
                </c:pt>
                <c:pt idx="1276">
                  <c:v>745.19280000000003</c:v>
                </c:pt>
                <c:pt idx="1277">
                  <c:v>745.16930000000002</c:v>
                </c:pt>
                <c:pt idx="1278">
                  <c:v>745.19539999999995</c:v>
                </c:pt>
                <c:pt idx="1279">
                  <c:v>745.16930000000002</c:v>
                </c:pt>
                <c:pt idx="1280">
                  <c:v>745.14020000000005</c:v>
                </c:pt>
                <c:pt idx="1281">
                  <c:v>745.19489999999996</c:v>
                </c:pt>
                <c:pt idx="1282">
                  <c:v>745.24159999999995</c:v>
                </c:pt>
                <c:pt idx="1283">
                  <c:v>745.21400000000006</c:v>
                </c:pt>
                <c:pt idx="1284">
                  <c:v>745.17589999999996</c:v>
                </c:pt>
                <c:pt idx="1285">
                  <c:v>745.18380000000002</c:v>
                </c:pt>
                <c:pt idx="1286">
                  <c:v>745.19079999999997</c:v>
                </c:pt>
                <c:pt idx="1287">
                  <c:v>745.12509999999997</c:v>
                </c:pt>
                <c:pt idx="1288">
                  <c:v>745.18219999999997</c:v>
                </c:pt>
                <c:pt idx="1289">
                  <c:v>745.20389999999998</c:v>
                </c:pt>
                <c:pt idx="1290">
                  <c:v>745.17790000000002</c:v>
                </c:pt>
                <c:pt idx="1291">
                  <c:v>745.13819999999998</c:v>
                </c:pt>
                <c:pt idx="1292">
                  <c:v>745.19560000000001</c:v>
                </c:pt>
                <c:pt idx="1293">
                  <c:v>745.17219999999998</c:v>
                </c:pt>
                <c:pt idx="1294">
                  <c:v>745.18439999999998</c:v>
                </c:pt>
                <c:pt idx="1295">
                  <c:v>745.15030000000002</c:v>
                </c:pt>
                <c:pt idx="1296">
                  <c:v>745.14350000000002</c:v>
                </c:pt>
                <c:pt idx="1297">
                  <c:v>745.15970000000004</c:v>
                </c:pt>
                <c:pt idx="1298">
                  <c:v>745.20330000000001</c:v>
                </c:pt>
                <c:pt idx="1299">
                  <c:v>745.17330000000004</c:v>
                </c:pt>
                <c:pt idx="1300">
                  <c:v>745.13499999999999</c:v>
                </c:pt>
                <c:pt idx="1301">
                  <c:v>745.13869999999997</c:v>
                </c:pt>
                <c:pt idx="1302">
                  <c:v>745.17150000000004</c:v>
                </c:pt>
                <c:pt idx="1303">
                  <c:v>745.18809999999996</c:v>
                </c:pt>
                <c:pt idx="1304">
                  <c:v>745.17830000000004</c:v>
                </c:pt>
                <c:pt idx="1305">
                  <c:v>745.11</c:v>
                </c:pt>
                <c:pt idx="1306">
                  <c:v>745.20150000000001</c:v>
                </c:pt>
                <c:pt idx="1307">
                  <c:v>745.19060000000002</c:v>
                </c:pt>
                <c:pt idx="1308">
                  <c:v>745.15620000000001</c:v>
                </c:pt>
                <c:pt idx="1309">
                  <c:v>745.2</c:v>
                </c:pt>
                <c:pt idx="1310">
                  <c:v>745.17520000000002</c:v>
                </c:pt>
                <c:pt idx="1311">
                  <c:v>745.20650000000001</c:v>
                </c:pt>
                <c:pt idx="1312">
                  <c:v>745.15049999999997</c:v>
                </c:pt>
                <c:pt idx="1313">
                  <c:v>745.13930000000005</c:v>
                </c:pt>
                <c:pt idx="1314">
                  <c:v>745.21730000000002</c:v>
                </c:pt>
                <c:pt idx="1315">
                  <c:v>745.1268</c:v>
                </c:pt>
                <c:pt idx="1316">
                  <c:v>745.19539999999995</c:v>
                </c:pt>
                <c:pt idx="1317">
                  <c:v>745.1748</c:v>
                </c:pt>
                <c:pt idx="1318">
                  <c:v>745.17610000000002</c:v>
                </c:pt>
                <c:pt idx="1319">
                  <c:v>745.22540000000004</c:v>
                </c:pt>
                <c:pt idx="1320">
                  <c:v>745.23059999999998</c:v>
                </c:pt>
                <c:pt idx="1321">
                  <c:v>745.27719999999999</c:v>
                </c:pt>
                <c:pt idx="1322">
                  <c:v>745.30679999999995</c:v>
                </c:pt>
                <c:pt idx="1323">
                  <c:v>745.37090000000001</c:v>
                </c:pt>
                <c:pt idx="1324">
                  <c:v>745.41300000000001</c:v>
                </c:pt>
                <c:pt idx="1325">
                  <c:v>745.5575</c:v>
                </c:pt>
                <c:pt idx="1326">
                  <c:v>745.6481</c:v>
                </c:pt>
                <c:pt idx="1327">
                  <c:v>745.72950000000003</c:v>
                </c:pt>
                <c:pt idx="1328">
                  <c:v>745.86680000000001</c:v>
                </c:pt>
                <c:pt idx="1329">
                  <c:v>745.95730000000003</c:v>
                </c:pt>
                <c:pt idx="1330">
                  <c:v>745.99009999999998</c:v>
                </c:pt>
                <c:pt idx="1331">
                  <c:v>746.03420000000006</c:v>
                </c:pt>
                <c:pt idx="1332">
                  <c:v>746.18619999999999</c:v>
                </c:pt>
                <c:pt idx="1333">
                  <c:v>746.30529999999999</c:v>
                </c:pt>
                <c:pt idx="1334">
                  <c:v>746.42319999999995</c:v>
                </c:pt>
                <c:pt idx="1335">
                  <c:v>746.54759999999999</c:v>
                </c:pt>
                <c:pt idx="1336">
                  <c:v>746.70339999999999</c:v>
                </c:pt>
                <c:pt idx="1337">
                  <c:v>746.84720000000004</c:v>
                </c:pt>
                <c:pt idx="1338">
                  <c:v>746.97249999999997</c:v>
                </c:pt>
                <c:pt idx="1339">
                  <c:v>747.06939999999997</c:v>
                </c:pt>
                <c:pt idx="1340">
                  <c:v>747.29190000000006</c:v>
                </c:pt>
                <c:pt idx="1341">
                  <c:v>747.39300000000003</c:v>
                </c:pt>
                <c:pt idx="1342">
                  <c:v>747.47310000000004</c:v>
                </c:pt>
                <c:pt idx="1343">
                  <c:v>747.68100000000004</c:v>
                </c:pt>
                <c:pt idx="1344">
                  <c:v>747.79660000000001</c:v>
                </c:pt>
                <c:pt idx="1345">
                  <c:v>747.94</c:v>
                </c:pt>
                <c:pt idx="1346">
                  <c:v>748.08989999999994</c:v>
                </c:pt>
                <c:pt idx="1347">
                  <c:v>748.2876</c:v>
                </c:pt>
                <c:pt idx="1348">
                  <c:v>748.41030000000001</c:v>
                </c:pt>
                <c:pt idx="1349">
                  <c:v>748.60799999999995</c:v>
                </c:pt>
                <c:pt idx="1350">
                  <c:v>748.7278</c:v>
                </c:pt>
                <c:pt idx="1351">
                  <c:v>748.89300000000003</c:v>
                </c:pt>
                <c:pt idx="1352">
                  <c:v>749.00840000000005</c:v>
                </c:pt>
                <c:pt idx="1353">
                  <c:v>749.13369999999998</c:v>
                </c:pt>
                <c:pt idx="1354">
                  <c:v>749.35479999999995</c:v>
                </c:pt>
                <c:pt idx="1355">
                  <c:v>749.47709999999995</c:v>
                </c:pt>
                <c:pt idx="1356">
                  <c:v>749.68389999999999</c:v>
                </c:pt>
                <c:pt idx="1357">
                  <c:v>749.80840000000001</c:v>
                </c:pt>
                <c:pt idx="1358">
                  <c:v>749.97140000000002</c:v>
                </c:pt>
                <c:pt idx="1359">
                  <c:v>753.72069999999997</c:v>
                </c:pt>
                <c:pt idx="1360">
                  <c:v>759.69410000000005</c:v>
                </c:pt>
                <c:pt idx="1361">
                  <c:v>763.70640000000003</c:v>
                </c:pt>
                <c:pt idx="1362">
                  <c:v>768.11260000000004</c:v>
                </c:pt>
                <c:pt idx="1363">
                  <c:v>772.226</c:v>
                </c:pt>
                <c:pt idx="1364">
                  <c:v>776.35559999999998</c:v>
                </c:pt>
                <c:pt idx="1365">
                  <c:v>780.5385</c:v>
                </c:pt>
                <c:pt idx="1366">
                  <c:v>784.8252</c:v>
                </c:pt>
                <c:pt idx="1367">
                  <c:v>788.92460000000005</c:v>
                </c:pt>
                <c:pt idx="1368">
                  <c:v>793.02080000000001</c:v>
                </c:pt>
                <c:pt idx="1369">
                  <c:v>797.21109999999999</c:v>
                </c:pt>
                <c:pt idx="1370">
                  <c:v>801.49829999999997</c:v>
                </c:pt>
                <c:pt idx="1371">
                  <c:v>804.23940000000005</c:v>
                </c:pt>
                <c:pt idx="1372">
                  <c:v>805.51480000000004</c:v>
                </c:pt>
                <c:pt idx="1373">
                  <c:v>805.38589999999999</c:v>
                </c:pt>
                <c:pt idx="1374">
                  <c:v>805.38189999999997</c:v>
                </c:pt>
                <c:pt idx="1375">
                  <c:v>805.39930000000004</c:v>
                </c:pt>
                <c:pt idx="1376">
                  <c:v>805.4434</c:v>
                </c:pt>
                <c:pt idx="1377">
                  <c:v>805.41089999999997</c:v>
                </c:pt>
                <c:pt idx="1378">
                  <c:v>805.45240000000001</c:v>
                </c:pt>
                <c:pt idx="1379">
                  <c:v>805.38580000000002</c:v>
                </c:pt>
                <c:pt idx="1380">
                  <c:v>805.40830000000005</c:v>
                </c:pt>
                <c:pt idx="1381">
                  <c:v>805.45820000000003</c:v>
                </c:pt>
                <c:pt idx="1382">
                  <c:v>805.43340000000001</c:v>
                </c:pt>
                <c:pt idx="1383">
                  <c:v>805.44569999999999</c:v>
                </c:pt>
                <c:pt idx="1384">
                  <c:v>805.39840000000004</c:v>
                </c:pt>
                <c:pt idx="1385">
                  <c:v>805.44069999999999</c:v>
                </c:pt>
                <c:pt idx="1386">
                  <c:v>805.43330000000003</c:v>
                </c:pt>
                <c:pt idx="1387">
                  <c:v>805.45299999999997</c:v>
                </c:pt>
                <c:pt idx="1388">
                  <c:v>805.43809999999996</c:v>
                </c:pt>
                <c:pt idx="1389">
                  <c:v>805.41139999999996</c:v>
                </c:pt>
                <c:pt idx="1390">
                  <c:v>805.46960000000001</c:v>
                </c:pt>
                <c:pt idx="1391">
                  <c:v>805.4547</c:v>
                </c:pt>
                <c:pt idx="1392">
                  <c:v>805.43299999999999</c:v>
                </c:pt>
                <c:pt idx="1393">
                  <c:v>805.43330000000003</c:v>
                </c:pt>
                <c:pt idx="1394">
                  <c:v>805.41430000000003</c:v>
                </c:pt>
                <c:pt idx="1395">
                  <c:v>805.46799999999996</c:v>
                </c:pt>
                <c:pt idx="1396">
                  <c:v>805.50819999999999</c:v>
                </c:pt>
                <c:pt idx="1397">
                  <c:v>805.46699999999998</c:v>
                </c:pt>
                <c:pt idx="1398">
                  <c:v>805.46019999999999</c:v>
                </c:pt>
                <c:pt idx="1399">
                  <c:v>805.45190000000002</c:v>
                </c:pt>
                <c:pt idx="1400">
                  <c:v>805.44680000000005</c:v>
                </c:pt>
                <c:pt idx="1401">
                  <c:v>805.4357</c:v>
                </c:pt>
                <c:pt idx="1402">
                  <c:v>805.48270000000002</c:v>
                </c:pt>
                <c:pt idx="1403">
                  <c:v>805.48130000000003</c:v>
                </c:pt>
                <c:pt idx="1404">
                  <c:v>805.45920000000001</c:v>
                </c:pt>
                <c:pt idx="1405">
                  <c:v>805.49249999999995</c:v>
                </c:pt>
                <c:pt idx="1406">
                  <c:v>805.47760000000005</c:v>
                </c:pt>
                <c:pt idx="1407">
                  <c:v>805.47209999999995</c:v>
                </c:pt>
                <c:pt idx="1408">
                  <c:v>805.47209999999995</c:v>
                </c:pt>
                <c:pt idx="1409">
                  <c:v>805.45839999999998</c:v>
                </c:pt>
                <c:pt idx="1410">
                  <c:v>805.49969999999996</c:v>
                </c:pt>
                <c:pt idx="1411">
                  <c:v>805.46780000000001</c:v>
                </c:pt>
                <c:pt idx="1412">
                  <c:v>805.49419999999998</c:v>
                </c:pt>
                <c:pt idx="1413">
                  <c:v>805.46680000000003</c:v>
                </c:pt>
                <c:pt idx="1414">
                  <c:v>805.46389999999997</c:v>
                </c:pt>
                <c:pt idx="1415">
                  <c:v>805.48050000000001</c:v>
                </c:pt>
                <c:pt idx="1416">
                  <c:v>805.47209999999995</c:v>
                </c:pt>
                <c:pt idx="1417">
                  <c:v>805.48310000000004</c:v>
                </c:pt>
                <c:pt idx="1418">
                  <c:v>805.46849999999995</c:v>
                </c:pt>
                <c:pt idx="1419">
                  <c:v>805.50810000000001</c:v>
                </c:pt>
                <c:pt idx="1420">
                  <c:v>805.45989999999995</c:v>
                </c:pt>
                <c:pt idx="1421">
                  <c:v>805.52769999999998</c:v>
                </c:pt>
                <c:pt idx="1422">
                  <c:v>805.50559999999996</c:v>
                </c:pt>
                <c:pt idx="1423">
                  <c:v>805.47379999999998</c:v>
                </c:pt>
                <c:pt idx="1424">
                  <c:v>805.50009999999997</c:v>
                </c:pt>
                <c:pt idx="1425">
                  <c:v>805.47249999999997</c:v>
                </c:pt>
                <c:pt idx="1426">
                  <c:v>805.50969999999995</c:v>
                </c:pt>
                <c:pt idx="1427">
                  <c:v>805.48789999999997</c:v>
                </c:pt>
                <c:pt idx="1428">
                  <c:v>805.54160000000002</c:v>
                </c:pt>
                <c:pt idx="1429">
                  <c:v>805.46289999999999</c:v>
                </c:pt>
                <c:pt idx="1430">
                  <c:v>805.52239999999995</c:v>
                </c:pt>
                <c:pt idx="1431">
                  <c:v>805.53869999999995</c:v>
                </c:pt>
                <c:pt idx="1432">
                  <c:v>805.50279999999998</c:v>
                </c:pt>
                <c:pt idx="1433">
                  <c:v>805.48260000000005</c:v>
                </c:pt>
                <c:pt idx="1434">
                  <c:v>805.47950000000003</c:v>
                </c:pt>
                <c:pt idx="1435">
                  <c:v>805.50580000000002</c:v>
                </c:pt>
                <c:pt idx="1436">
                  <c:v>805.49749999999995</c:v>
                </c:pt>
                <c:pt idx="1437">
                  <c:v>805.51689999999996</c:v>
                </c:pt>
                <c:pt idx="1438">
                  <c:v>805.48379999999997</c:v>
                </c:pt>
                <c:pt idx="1439">
                  <c:v>805.53340000000003</c:v>
                </c:pt>
                <c:pt idx="1440">
                  <c:v>805.51009999999997</c:v>
                </c:pt>
                <c:pt idx="1441">
                  <c:v>805.53459999999995</c:v>
                </c:pt>
                <c:pt idx="1442">
                  <c:v>805.51969999999994</c:v>
                </c:pt>
                <c:pt idx="1443">
                  <c:v>805.47680000000003</c:v>
                </c:pt>
                <c:pt idx="1444">
                  <c:v>805.45069999999998</c:v>
                </c:pt>
                <c:pt idx="1445">
                  <c:v>805.49360000000001</c:v>
                </c:pt>
                <c:pt idx="1446">
                  <c:v>805.49770000000001</c:v>
                </c:pt>
                <c:pt idx="1447">
                  <c:v>805.50890000000004</c:v>
                </c:pt>
                <c:pt idx="1448">
                  <c:v>805.50459999999998</c:v>
                </c:pt>
                <c:pt idx="1449">
                  <c:v>805.50459999999998</c:v>
                </c:pt>
                <c:pt idx="1450">
                  <c:v>805.51419999999996</c:v>
                </c:pt>
                <c:pt idx="1451">
                  <c:v>805.50459999999998</c:v>
                </c:pt>
                <c:pt idx="1452">
                  <c:v>805.49069999999995</c:v>
                </c:pt>
                <c:pt idx="1453">
                  <c:v>805.50480000000005</c:v>
                </c:pt>
                <c:pt idx="1454">
                  <c:v>805.46619999999996</c:v>
                </c:pt>
                <c:pt idx="1455">
                  <c:v>805.49519999999995</c:v>
                </c:pt>
                <c:pt idx="1456">
                  <c:v>805.4538</c:v>
                </c:pt>
                <c:pt idx="1457">
                  <c:v>805.47580000000005</c:v>
                </c:pt>
                <c:pt idx="1458">
                  <c:v>805.53909999999996</c:v>
                </c:pt>
                <c:pt idx="1459">
                  <c:v>805.49929999999995</c:v>
                </c:pt>
                <c:pt idx="1460">
                  <c:v>805.4742</c:v>
                </c:pt>
                <c:pt idx="1461">
                  <c:v>805.49379999999996</c:v>
                </c:pt>
                <c:pt idx="1462">
                  <c:v>805.47460000000001</c:v>
                </c:pt>
                <c:pt idx="1463">
                  <c:v>805.53099999999995</c:v>
                </c:pt>
                <c:pt idx="1464">
                  <c:v>805.51049999999998</c:v>
                </c:pt>
                <c:pt idx="1465">
                  <c:v>805.51160000000004</c:v>
                </c:pt>
                <c:pt idx="1466">
                  <c:v>805.48419999999999</c:v>
                </c:pt>
                <c:pt idx="1467">
                  <c:v>805.49810000000002</c:v>
                </c:pt>
                <c:pt idx="1468">
                  <c:v>805.50070000000005</c:v>
                </c:pt>
                <c:pt idx="1469">
                  <c:v>805.47749999999996</c:v>
                </c:pt>
                <c:pt idx="1470">
                  <c:v>805.50480000000005</c:v>
                </c:pt>
                <c:pt idx="1471">
                  <c:v>805.49109999999996</c:v>
                </c:pt>
                <c:pt idx="1472">
                  <c:v>805.5077</c:v>
                </c:pt>
                <c:pt idx="1473">
                  <c:v>805.53399999999999</c:v>
                </c:pt>
                <c:pt idx="1474">
                  <c:v>805.4787</c:v>
                </c:pt>
                <c:pt idx="1475">
                  <c:v>805.476</c:v>
                </c:pt>
                <c:pt idx="1476">
                  <c:v>805.48850000000004</c:v>
                </c:pt>
                <c:pt idx="1477">
                  <c:v>805.52179999999998</c:v>
                </c:pt>
                <c:pt idx="1478">
                  <c:v>805.53240000000005</c:v>
                </c:pt>
                <c:pt idx="1479">
                  <c:v>805.49540000000002</c:v>
                </c:pt>
                <c:pt idx="1480">
                  <c:v>805.50070000000005</c:v>
                </c:pt>
                <c:pt idx="1481">
                  <c:v>805.4914</c:v>
                </c:pt>
                <c:pt idx="1482">
                  <c:v>805.4787</c:v>
                </c:pt>
                <c:pt idx="1483">
                  <c:v>805.48440000000005</c:v>
                </c:pt>
                <c:pt idx="1484">
                  <c:v>805.49400000000003</c:v>
                </c:pt>
                <c:pt idx="1485">
                  <c:v>805.51729999999998</c:v>
                </c:pt>
                <c:pt idx="1486">
                  <c:v>805.49400000000003</c:v>
                </c:pt>
                <c:pt idx="1487">
                  <c:v>805.46669999999995</c:v>
                </c:pt>
                <c:pt idx="1488">
                  <c:v>805.50930000000005</c:v>
                </c:pt>
                <c:pt idx="1489">
                  <c:v>805.48869999999999</c:v>
                </c:pt>
                <c:pt idx="1490">
                  <c:v>805.5616</c:v>
                </c:pt>
                <c:pt idx="1491">
                  <c:v>805.50239999999997</c:v>
                </c:pt>
                <c:pt idx="1492">
                  <c:v>805.51890000000003</c:v>
                </c:pt>
                <c:pt idx="1493">
                  <c:v>805.50519999999995</c:v>
                </c:pt>
                <c:pt idx="1494">
                  <c:v>805.49950000000001</c:v>
                </c:pt>
                <c:pt idx="1495">
                  <c:v>805.49540000000002</c:v>
                </c:pt>
                <c:pt idx="1496">
                  <c:v>805.48580000000004</c:v>
                </c:pt>
                <c:pt idx="1497">
                  <c:v>805.51890000000003</c:v>
                </c:pt>
                <c:pt idx="1498">
                  <c:v>805.53570000000002</c:v>
                </c:pt>
                <c:pt idx="1499">
                  <c:v>805.47770000000003</c:v>
                </c:pt>
                <c:pt idx="1500">
                  <c:v>805.51480000000004</c:v>
                </c:pt>
                <c:pt idx="1501">
                  <c:v>805.51340000000005</c:v>
                </c:pt>
                <c:pt idx="1502">
                  <c:v>805.51080000000002</c:v>
                </c:pt>
                <c:pt idx="1503">
                  <c:v>805.50519999999995</c:v>
                </c:pt>
                <c:pt idx="1504">
                  <c:v>805.47360000000003</c:v>
                </c:pt>
                <c:pt idx="1505">
                  <c:v>805.49419999999998</c:v>
                </c:pt>
                <c:pt idx="1506">
                  <c:v>805.51909999999998</c:v>
                </c:pt>
                <c:pt idx="1507">
                  <c:v>805.47069999999997</c:v>
                </c:pt>
                <c:pt idx="1508">
                  <c:v>805.55079999999998</c:v>
                </c:pt>
                <c:pt idx="1509">
                  <c:v>805.47749999999996</c:v>
                </c:pt>
                <c:pt idx="1510">
                  <c:v>805.55610000000001</c:v>
                </c:pt>
                <c:pt idx="1511">
                  <c:v>805.48320000000001</c:v>
                </c:pt>
                <c:pt idx="1512">
                  <c:v>805.56349999999998</c:v>
                </c:pt>
                <c:pt idx="1513">
                  <c:v>805.51220000000001</c:v>
                </c:pt>
                <c:pt idx="1514">
                  <c:v>805.54240000000004</c:v>
                </c:pt>
                <c:pt idx="1515">
                  <c:v>805.52610000000004</c:v>
                </c:pt>
                <c:pt idx="1516">
                  <c:v>805.48050000000001</c:v>
                </c:pt>
                <c:pt idx="1517">
                  <c:v>805.47789999999998</c:v>
                </c:pt>
                <c:pt idx="1518">
                  <c:v>805.49419999999998</c:v>
                </c:pt>
                <c:pt idx="1519">
                  <c:v>805.49159999999995</c:v>
                </c:pt>
                <c:pt idx="1520">
                  <c:v>805.54809999999998</c:v>
                </c:pt>
                <c:pt idx="1521">
                  <c:v>805.52729999999997</c:v>
                </c:pt>
                <c:pt idx="1522">
                  <c:v>805.49590000000001</c:v>
                </c:pt>
                <c:pt idx="1523">
                  <c:v>805.47929999999997</c:v>
                </c:pt>
                <c:pt idx="1524">
                  <c:v>805.52729999999997</c:v>
                </c:pt>
                <c:pt idx="1525">
                  <c:v>805.52340000000004</c:v>
                </c:pt>
                <c:pt idx="1526">
                  <c:v>805.49710000000005</c:v>
                </c:pt>
                <c:pt idx="1527">
                  <c:v>805.49829999999997</c:v>
                </c:pt>
                <c:pt idx="1528">
                  <c:v>805.51509999999996</c:v>
                </c:pt>
                <c:pt idx="1529">
                  <c:v>805.49829999999997</c:v>
                </c:pt>
                <c:pt idx="1530">
                  <c:v>805.53570000000002</c:v>
                </c:pt>
                <c:pt idx="1531">
                  <c:v>805.45439999999996</c:v>
                </c:pt>
                <c:pt idx="1532">
                  <c:v>805.52750000000003</c:v>
                </c:pt>
                <c:pt idx="1533">
                  <c:v>805.50400000000002</c:v>
                </c:pt>
                <c:pt idx="1534">
                  <c:v>805.49440000000004</c:v>
                </c:pt>
                <c:pt idx="1535">
                  <c:v>805.50379999999996</c:v>
                </c:pt>
                <c:pt idx="1536">
                  <c:v>805.51509999999996</c:v>
                </c:pt>
                <c:pt idx="1537">
                  <c:v>805.51509999999996</c:v>
                </c:pt>
                <c:pt idx="1538">
                  <c:v>805.50120000000004</c:v>
                </c:pt>
                <c:pt idx="1539">
                  <c:v>805.49829999999997</c:v>
                </c:pt>
                <c:pt idx="1540">
                  <c:v>805.50980000000004</c:v>
                </c:pt>
                <c:pt idx="1541">
                  <c:v>805.56349999999998</c:v>
                </c:pt>
                <c:pt idx="1542">
                  <c:v>805.47239999999999</c:v>
                </c:pt>
                <c:pt idx="1543">
                  <c:v>805.51649999999995</c:v>
                </c:pt>
                <c:pt idx="1544">
                  <c:v>805.50139999999999</c:v>
                </c:pt>
                <c:pt idx="1545">
                  <c:v>805.50980000000004</c:v>
                </c:pt>
                <c:pt idx="1546">
                  <c:v>805.52200000000005</c:v>
                </c:pt>
                <c:pt idx="1547">
                  <c:v>805.53300000000002</c:v>
                </c:pt>
                <c:pt idx="1548">
                  <c:v>805.47360000000003</c:v>
                </c:pt>
                <c:pt idx="1549">
                  <c:v>805.46810000000005</c:v>
                </c:pt>
                <c:pt idx="1550">
                  <c:v>805.48199999999997</c:v>
                </c:pt>
                <c:pt idx="1551">
                  <c:v>805.49440000000004</c:v>
                </c:pt>
                <c:pt idx="1552">
                  <c:v>805.46810000000005</c:v>
                </c:pt>
                <c:pt idx="1553">
                  <c:v>805.50549999999998</c:v>
                </c:pt>
                <c:pt idx="1554">
                  <c:v>805.52300000000002</c:v>
                </c:pt>
                <c:pt idx="1555">
                  <c:v>805.52919999999995</c:v>
                </c:pt>
                <c:pt idx="1556">
                  <c:v>805.54259999999999</c:v>
                </c:pt>
                <c:pt idx="1557">
                  <c:v>805.49590000000001</c:v>
                </c:pt>
                <c:pt idx="1558">
                  <c:v>805.47789999999998</c:v>
                </c:pt>
                <c:pt idx="1559">
                  <c:v>805.53589999999997</c:v>
                </c:pt>
                <c:pt idx="1560">
                  <c:v>805.48609999999996</c:v>
                </c:pt>
                <c:pt idx="1561">
                  <c:v>805.51790000000005</c:v>
                </c:pt>
                <c:pt idx="1562">
                  <c:v>805.4873</c:v>
                </c:pt>
                <c:pt idx="1563">
                  <c:v>805.50519999999995</c:v>
                </c:pt>
                <c:pt idx="1564">
                  <c:v>805.51930000000004</c:v>
                </c:pt>
                <c:pt idx="1565">
                  <c:v>805.50019999999995</c:v>
                </c:pt>
                <c:pt idx="1566">
                  <c:v>805.52769999999998</c:v>
                </c:pt>
                <c:pt idx="1567">
                  <c:v>805.51790000000005</c:v>
                </c:pt>
                <c:pt idx="1568">
                  <c:v>805.49710000000005</c:v>
                </c:pt>
                <c:pt idx="1569">
                  <c:v>805.50549999999998</c:v>
                </c:pt>
                <c:pt idx="1570">
                  <c:v>805.48479999999995</c:v>
                </c:pt>
                <c:pt idx="1571">
                  <c:v>805.51120000000003</c:v>
                </c:pt>
                <c:pt idx="1572">
                  <c:v>805.46849999999995</c:v>
                </c:pt>
                <c:pt idx="1573">
                  <c:v>805.46280000000002</c:v>
                </c:pt>
                <c:pt idx="1574">
                  <c:v>805.44600000000003</c:v>
                </c:pt>
                <c:pt idx="1575">
                  <c:v>805.48199999999997</c:v>
                </c:pt>
                <c:pt idx="1576">
                  <c:v>805.50570000000005</c:v>
                </c:pt>
                <c:pt idx="1577">
                  <c:v>805.48749999999995</c:v>
                </c:pt>
                <c:pt idx="1578">
                  <c:v>805.47670000000005</c:v>
                </c:pt>
                <c:pt idx="1579">
                  <c:v>805.50850000000003</c:v>
                </c:pt>
                <c:pt idx="1580">
                  <c:v>805.5539</c:v>
                </c:pt>
                <c:pt idx="1581">
                  <c:v>805.50829999999996</c:v>
                </c:pt>
                <c:pt idx="1582">
                  <c:v>805.471</c:v>
                </c:pt>
                <c:pt idx="1583">
                  <c:v>805.53179999999998</c:v>
                </c:pt>
                <c:pt idx="1584">
                  <c:v>805.49749999999995</c:v>
                </c:pt>
                <c:pt idx="1585">
                  <c:v>805.48220000000003</c:v>
                </c:pt>
                <c:pt idx="1586">
                  <c:v>805.4846</c:v>
                </c:pt>
                <c:pt idx="1587">
                  <c:v>805.48050000000001</c:v>
                </c:pt>
                <c:pt idx="1588">
                  <c:v>805.46950000000004</c:v>
                </c:pt>
                <c:pt idx="1589">
                  <c:v>805.46140000000003</c:v>
                </c:pt>
                <c:pt idx="1590">
                  <c:v>805.46690000000001</c:v>
                </c:pt>
                <c:pt idx="1591">
                  <c:v>805.55240000000003</c:v>
                </c:pt>
                <c:pt idx="1592">
                  <c:v>805.50300000000004</c:v>
                </c:pt>
                <c:pt idx="1593">
                  <c:v>805.55359999999996</c:v>
                </c:pt>
                <c:pt idx="1594">
                  <c:v>805.59529999999995</c:v>
                </c:pt>
                <c:pt idx="1595">
                  <c:v>805.47519999999997</c:v>
                </c:pt>
                <c:pt idx="1596">
                  <c:v>805.54280000000006</c:v>
                </c:pt>
                <c:pt idx="1597">
                  <c:v>805.54830000000004</c:v>
                </c:pt>
                <c:pt idx="1598">
                  <c:v>805.47119999999995</c:v>
                </c:pt>
                <c:pt idx="1599">
                  <c:v>805.46969999999999</c:v>
                </c:pt>
                <c:pt idx="1600">
                  <c:v>805.50570000000005</c:v>
                </c:pt>
                <c:pt idx="1601">
                  <c:v>805.46140000000003</c:v>
                </c:pt>
                <c:pt idx="1602">
                  <c:v>805.50160000000005</c:v>
                </c:pt>
                <c:pt idx="1603">
                  <c:v>805.50710000000004</c:v>
                </c:pt>
                <c:pt idx="1604">
                  <c:v>805.47379999999998</c:v>
                </c:pt>
                <c:pt idx="1605">
                  <c:v>805.46420000000001</c:v>
                </c:pt>
                <c:pt idx="1606">
                  <c:v>805.50829999999996</c:v>
                </c:pt>
                <c:pt idx="1607">
                  <c:v>805.52239999999995</c:v>
                </c:pt>
                <c:pt idx="1608">
                  <c:v>805.49609999999996</c:v>
                </c:pt>
                <c:pt idx="1609">
                  <c:v>805.48220000000003</c:v>
                </c:pt>
                <c:pt idx="1610">
                  <c:v>805.51139999999998</c:v>
                </c:pt>
                <c:pt idx="1611">
                  <c:v>805.50160000000005</c:v>
                </c:pt>
                <c:pt idx="1612">
                  <c:v>805.5249</c:v>
                </c:pt>
                <c:pt idx="1613">
                  <c:v>805.50980000000004</c:v>
                </c:pt>
                <c:pt idx="1614">
                  <c:v>805.50829999999996</c:v>
                </c:pt>
                <c:pt idx="1615">
                  <c:v>805.49300000000005</c:v>
                </c:pt>
                <c:pt idx="1616">
                  <c:v>805.46010000000001</c:v>
                </c:pt>
                <c:pt idx="1617">
                  <c:v>805.56489999999997</c:v>
                </c:pt>
                <c:pt idx="1618">
                  <c:v>805.55240000000003</c:v>
                </c:pt>
                <c:pt idx="1619">
                  <c:v>805.47519999999997</c:v>
                </c:pt>
                <c:pt idx="1620">
                  <c:v>805.54020000000003</c:v>
                </c:pt>
                <c:pt idx="1621">
                  <c:v>805.51260000000002</c:v>
                </c:pt>
                <c:pt idx="1622">
                  <c:v>805.45320000000004</c:v>
                </c:pt>
                <c:pt idx="1623">
                  <c:v>805.47119999999995</c:v>
                </c:pt>
                <c:pt idx="1624">
                  <c:v>805.52530000000002</c:v>
                </c:pt>
                <c:pt idx="1625">
                  <c:v>805.4973</c:v>
                </c:pt>
                <c:pt idx="1626">
                  <c:v>805.49869999999999</c:v>
                </c:pt>
                <c:pt idx="1627">
                  <c:v>805.47929999999997</c:v>
                </c:pt>
                <c:pt idx="1628">
                  <c:v>805.51670000000001</c:v>
                </c:pt>
                <c:pt idx="1629">
                  <c:v>805.53200000000004</c:v>
                </c:pt>
                <c:pt idx="1630">
                  <c:v>805.52650000000006</c:v>
                </c:pt>
                <c:pt idx="1631">
                  <c:v>805.55100000000004</c:v>
                </c:pt>
                <c:pt idx="1632">
                  <c:v>805.53200000000004</c:v>
                </c:pt>
                <c:pt idx="1633">
                  <c:v>805.47929999999997</c:v>
                </c:pt>
                <c:pt idx="1634">
                  <c:v>805.48509999999999</c:v>
                </c:pt>
                <c:pt idx="1635">
                  <c:v>805.51260000000002</c:v>
                </c:pt>
                <c:pt idx="1636">
                  <c:v>805.47550000000001</c:v>
                </c:pt>
                <c:pt idx="1637">
                  <c:v>805.50570000000005</c:v>
                </c:pt>
                <c:pt idx="1638">
                  <c:v>805.49490000000003</c:v>
                </c:pt>
                <c:pt idx="1639">
                  <c:v>805.49059999999997</c:v>
                </c:pt>
                <c:pt idx="1640">
                  <c:v>805.50040000000001</c:v>
                </c:pt>
                <c:pt idx="1641">
                  <c:v>805.54859999999996</c:v>
                </c:pt>
                <c:pt idx="1642">
                  <c:v>805.53060000000005</c:v>
                </c:pt>
                <c:pt idx="1643">
                  <c:v>805.48530000000005</c:v>
                </c:pt>
                <c:pt idx="1644">
                  <c:v>805.45889999999997</c:v>
                </c:pt>
                <c:pt idx="1645">
                  <c:v>805.49749999999995</c:v>
                </c:pt>
                <c:pt idx="1646">
                  <c:v>805.4973</c:v>
                </c:pt>
                <c:pt idx="1647">
                  <c:v>805.53899999999999</c:v>
                </c:pt>
                <c:pt idx="1648">
                  <c:v>805.48239999999998</c:v>
                </c:pt>
                <c:pt idx="1649">
                  <c:v>805.48099999999999</c:v>
                </c:pt>
                <c:pt idx="1650">
                  <c:v>805.50419999999997</c:v>
                </c:pt>
                <c:pt idx="1651">
                  <c:v>805.53750000000002</c:v>
                </c:pt>
                <c:pt idx="1652">
                  <c:v>805.55529999999999</c:v>
                </c:pt>
                <c:pt idx="1653">
                  <c:v>805.50450000000001</c:v>
                </c:pt>
                <c:pt idx="1654">
                  <c:v>805.50419999999997</c:v>
                </c:pt>
                <c:pt idx="1655">
                  <c:v>805.50019999999995</c:v>
                </c:pt>
                <c:pt idx="1656">
                  <c:v>805.49339999999995</c:v>
                </c:pt>
                <c:pt idx="1657">
                  <c:v>805.5222</c:v>
                </c:pt>
                <c:pt idx="1658">
                  <c:v>805.5222</c:v>
                </c:pt>
                <c:pt idx="1659">
                  <c:v>805.50710000000004</c:v>
                </c:pt>
                <c:pt idx="1660">
                  <c:v>805.52769999999998</c:v>
                </c:pt>
                <c:pt idx="1661">
                  <c:v>805.55</c:v>
                </c:pt>
                <c:pt idx="1662">
                  <c:v>805.5385</c:v>
                </c:pt>
                <c:pt idx="1663">
                  <c:v>805.52509999999995</c:v>
                </c:pt>
                <c:pt idx="1664">
                  <c:v>805.51980000000003</c:v>
                </c:pt>
                <c:pt idx="1665">
                  <c:v>805.5181</c:v>
                </c:pt>
                <c:pt idx="1666">
                  <c:v>805.51959999999997</c:v>
                </c:pt>
                <c:pt idx="1667">
                  <c:v>805.47670000000005</c:v>
                </c:pt>
                <c:pt idx="1668">
                  <c:v>805.48509999999999</c:v>
                </c:pt>
                <c:pt idx="1669">
                  <c:v>805.51689999999996</c:v>
                </c:pt>
                <c:pt idx="1670">
                  <c:v>805.572</c:v>
                </c:pt>
                <c:pt idx="1671">
                  <c:v>805.43970000000002</c:v>
                </c:pt>
                <c:pt idx="1672">
                  <c:v>805.52790000000005</c:v>
                </c:pt>
                <c:pt idx="1673">
                  <c:v>805.48929999999996</c:v>
                </c:pt>
                <c:pt idx="1674">
                  <c:v>805.48379999999997</c:v>
                </c:pt>
                <c:pt idx="1675">
                  <c:v>805.50419999999997</c:v>
                </c:pt>
                <c:pt idx="1676">
                  <c:v>805.49609999999996</c:v>
                </c:pt>
                <c:pt idx="1677">
                  <c:v>805.46990000000005</c:v>
                </c:pt>
                <c:pt idx="1678">
                  <c:v>805.51549999999997</c:v>
                </c:pt>
                <c:pt idx="1679">
                  <c:v>805.47140000000002</c:v>
                </c:pt>
                <c:pt idx="1680">
                  <c:v>805.48910000000001</c:v>
                </c:pt>
                <c:pt idx="1681">
                  <c:v>805.51279999999997</c:v>
                </c:pt>
                <c:pt idx="1682">
                  <c:v>805.50570000000005</c:v>
                </c:pt>
                <c:pt idx="1683">
                  <c:v>805.49059999999997</c:v>
                </c:pt>
                <c:pt idx="1684">
                  <c:v>805.49059999999997</c:v>
                </c:pt>
                <c:pt idx="1685">
                  <c:v>805.49080000000004</c:v>
                </c:pt>
                <c:pt idx="1686">
                  <c:v>805.52239999999995</c:v>
                </c:pt>
                <c:pt idx="1687">
                  <c:v>805.5059</c:v>
                </c:pt>
                <c:pt idx="1688">
                  <c:v>805.5059</c:v>
                </c:pt>
                <c:pt idx="1689">
                  <c:v>805.50869999999998</c:v>
                </c:pt>
                <c:pt idx="1690">
                  <c:v>805.51549999999997</c:v>
                </c:pt>
                <c:pt idx="1691">
                  <c:v>805.51980000000003</c:v>
                </c:pt>
                <c:pt idx="1692">
                  <c:v>805.52080000000001</c:v>
                </c:pt>
                <c:pt idx="1693">
                  <c:v>805.48220000000003</c:v>
                </c:pt>
                <c:pt idx="1694">
                  <c:v>805.51239999999996</c:v>
                </c:pt>
                <c:pt idx="1695">
                  <c:v>805.53920000000005</c:v>
                </c:pt>
                <c:pt idx="1696">
                  <c:v>805.48910000000001</c:v>
                </c:pt>
                <c:pt idx="1697">
                  <c:v>805.49080000000004</c:v>
                </c:pt>
                <c:pt idx="1698">
                  <c:v>805.49609999999996</c:v>
                </c:pt>
                <c:pt idx="1699">
                  <c:v>805.57489999999996</c:v>
                </c:pt>
                <c:pt idx="1700">
                  <c:v>805.50160000000005</c:v>
                </c:pt>
                <c:pt idx="1701">
                  <c:v>805.51279999999997</c:v>
                </c:pt>
                <c:pt idx="1702">
                  <c:v>805.51260000000002</c:v>
                </c:pt>
                <c:pt idx="1703">
                  <c:v>805.4479</c:v>
                </c:pt>
                <c:pt idx="1704">
                  <c:v>805.51430000000005</c:v>
                </c:pt>
                <c:pt idx="1705">
                  <c:v>805.49490000000003</c:v>
                </c:pt>
                <c:pt idx="1706">
                  <c:v>805.47550000000001</c:v>
                </c:pt>
                <c:pt idx="1707">
                  <c:v>805.49080000000004</c:v>
                </c:pt>
                <c:pt idx="1708">
                  <c:v>805.50040000000001</c:v>
                </c:pt>
                <c:pt idx="1709">
                  <c:v>805.49059999999997</c:v>
                </c:pt>
                <c:pt idx="1710">
                  <c:v>805.52509999999995</c:v>
                </c:pt>
                <c:pt idx="1711">
                  <c:v>805.50450000000001</c:v>
                </c:pt>
                <c:pt idx="1712">
                  <c:v>805.51430000000005</c:v>
                </c:pt>
                <c:pt idx="1713">
                  <c:v>805.48910000000001</c:v>
                </c:pt>
                <c:pt idx="1714">
                  <c:v>805.53319999999997</c:v>
                </c:pt>
                <c:pt idx="1715">
                  <c:v>805.4769</c:v>
                </c:pt>
                <c:pt idx="1716">
                  <c:v>805.52390000000003</c:v>
                </c:pt>
                <c:pt idx="1717">
                  <c:v>805.48119999999994</c:v>
                </c:pt>
                <c:pt idx="1718">
                  <c:v>805.48360000000002</c:v>
                </c:pt>
                <c:pt idx="1719">
                  <c:v>805.48220000000003</c:v>
                </c:pt>
                <c:pt idx="1720">
                  <c:v>805.51549999999997</c:v>
                </c:pt>
                <c:pt idx="1721">
                  <c:v>805.51689999999996</c:v>
                </c:pt>
                <c:pt idx="1722">
                  <c:v>805.49339999999995</c:v>
                </c:pt>
                <c:pt idx="1723">
                  <c:v>805.49770000000001</c:v>
                </c:pt>
                <c:pt idx="1724">
                  <c:v>805.52099999999996</c:v>
                </c:pt>
                <c:pt idx="1725">
                  <c:v>805.50450000000001</c:v>
                </c:pt>
                <c:pt idx="1726">
                  <c:v>805.50450000000001</c:v>
                </c:pt>
                <c:pt idx="1727">
                  <c:v>805.48509999999999</c:v>
                </c:pt>
                <c:pt idx="1728">
                  <c:v>805.46439999999996</c:v>
                </c:pt>
                <c:pt idx="1729">
                  <c:v>805.48929999999996</c:v>
                </c:pt>
                <c:pt idx="1730">
                  <c:v>805.51530000000002</c:v>
                </c:pt>
                <c:pt idx="1731">
                  <c:v>805.46749999999997</c:v>
                </c:pt>
                <c:pt idx="1732">
                  <c:v>805.50300000000004</c:v>
                </c:pt>
                <c:pt idx="1733">
                  <c:v>805.49890000000005</c:v>
                </c:pt>
                <c:pt idx="1734">
                  <c:v>805.49360000000001</c:v>
                </c:pt>
                <c:pt idx="1735">
                  <c:v>805.48789999999997</c:v>
                </c:pt>
                <c:pt idx="1736">
                  <c:v>805.51430000000005</c:v>
                </c:pt>
                <c:pt idx="1737">
                  <c:v>805.49630000000002</c:v>
                </c:pt>
                <c:pt idx="1738">
                  <c:v>805.53920000000005</c:v>
                </c:pt>
                <c:pt idx="1739">
                  <c:v>798.4393</c:v>
                </c:pt>
                <c:pt idx="1740">
                  <c:v>795.7405</c:v>
                </c:pt>
                <c:pt idx="1741">
                  <c:v>791.36540000000002</c:v>
                </c:pt>
                <c:pt idx="1742">
                  <c:v>786.37990000000002</c:v>
                </c:pt>
                <c:pt idx="1743">
                  <c:v>782.4778</c:v>
                </c:pt>
                <c:pt idx="1744">
                  <c:v>778.73739999999998</c:v>
                </c:pt>
                <c:pt idx="1745">
                  <c:v>773.80970000000002</c:v>
                </c:pt>
                <c:pt idx="1746">
                  <c:v>769.34889999999996</c:v>
                </c:pt>
                <c:pt idx="1747">
                  <c:v>765.23509999999999</c:v>
                </c:pt>
                <c:pt idx="1748">
                  <c:v>760.75490000000002</c:v>
                </c:pt>
                <c:pt idx="1749">
                  <c:v>756.21460000000002</c:v>
                </c:pt>
                <c:pt idx="1750">
                  <c:v>750.07989999999995</c:v>
                </c:pt>
                <c:pt idx="1751">
                  <c:v>749.94849999999997</c:v>
                </c:pt>
                <c:pt idx="1752">
                  <c:v>749.79089999999997</c:v>
                </c:pt>
                <c:pt idx="1753">
                  <c:v>749.66809999999998</c:v>
                </c:pt>
                <c:pt idx="1754">
                  <c:v>749.47040000000004</c:v>
                </c:pt>
                <c:pt idx="1755">
                  <c:v>749.35310000000004</c:v>
                </c:pt>
                <c:pt idx="1756">
                  <c:v>749.18060000000003</c:v>
                </c:pt>
                <c:pt idx="1757">
                  <c:v>749.03920000000005</c:v>
                </c:pt>
                <c:pt idx="1758">
                  <c:v>748.88149999999996</c:v>
                </c:pt>
                <c:pt idx="1759">
                  <c:v>748.71550000000002</c:v>
                </c:pt>
                <c:pt idx="1760">
                  <c:v>748.54769999999996</c:v>
                </c:pt>
                <c:pt idx="1761">
                  <c:v>748.44510000000002</c:v>
                </c:pt>
                <c:pt idx="1762">
                  <c:v>748.2654</c:v>
                </c:pt>
                <c:pt idx="1763">
                  <c:v>748.06489999999997</c:v>
                </c:pt>
                <c:pt idx="1764">
                  <c:v>747.93510000000003</c:v>
                </c:pt>
                <c:pt idx="1765">
                  <c:v>747.76649999999995</c:v>
                </c:pt>
                <c:pt idx="1766">
                  <c:v>747.57899999999995</c:v>
                </c:pt>
                <c:pt idx="1767">
                  <c:v>747.47080000000005</c:v>
                </c:pt>
                <c:pt idx="1768">
                  <c:v>747.26930000000004</c:v>
                </c:pt>
                <c:pt idx="1769">
                  <c:v>747.09839999999997</c:v>
                </c:pt>
                <c:pt idx="1770">
                  <c:v>746.95590000000004</c:v>
                </c:pt>
                <c:pt idx="1771">
                  <c:v>746.80550000000005</c:v>
                </c:pt>
                <c:pt idx="1772">
                  <c:v>746.67049999999995</c:v>
                </c:pt>
                <c:pt idx="1773">
                  <c:v>746.4828</c:v>
                </c:pt>
                <c:pt idx="1774">
                  <c:v>746.32579999999996</c:v>
                </c:pt>
                <c:pt idx="1775">
                  <c:v>746.14940000000001</c:v>
                </c:pt>
                <c:pt idx="1776">
                  <c:v>745.99639999999999</c:v>
                </c:pt>
                <c:pt idx="1777">
                  <c:v>745.80370000000005</c:v>
                </c:pt>
                <c:pt idx="1778">
                  <c:v>745.68780000000004</c:v>
                </c:pt>
                <c:pt idx="1779">
                  <c:v>745.53229999999996</c:v>
                </c:pt>
                <c:pt idx="1780">
                  <c:v>745.36689999999999</c:v>
                </c:pt>
                <c:pt idx="1781">
                  <c:v>745.19259999999997</c:v>
                </c:pt>
                <c:pt idx="1782">
                  <c:v>745.04390000000001</c:v>
                </c:pt>
                <c:pt idx="1783">
                  <c:v>744.89580000000001</c:v>
                </c:pt>
                <c:pt idx="1784">
                  <c:v>744.71759999999995</c:v>
                </c:pt>
                <c:pt idx="1785">
                  <c:v>744.5625</c:v>
                </c:pt>
                <c:pt idx="1786">
                  <c:v>744.43330000000003</c:v>
                </c:pt>
                <c:pt idx="1787">
                  <c:v>744.26859999999999</c:v>
                </c:pt>
                <c:pt idx="1788">
                  <c:v>744.12189999999998</c:v>
                </c:pt>
                <c:pt idx="1789">
                  <c:v>743.9049</c:v>
                </c:pt>
                <c:pt idx="1790">
                  <c:v>743.67330000000004</c:v>
                </c:pt>
                <c:pt idx="1791">
                  <c:v>743.51049999999998</c:v>
                </c:pt>
                <c:pt idx="1792">
                  <c:v>743.31889999999999</c:v>
                </c:pt>
                <c:pt idx="1793">
                  <c:v>743.14829999999995</c:v>
                </c:pt>
                <c:pt idx="1794">
                  <c:v>742.98159999999996</c:v>
                </c:pt>
                <c:pt idx="1795">
                  <c:v>742.81320000000005</c:v>
                </c:pt>
                <c:pt idx="1796">
                  <c:v>742.62639999999999</c:v>
                </c:pt>
                <c:pt idx="1797">
                  <c:v>742.4941</c:v>
                </c:pt>
                <c:pt idx="1798">
                  <c:v>742.36879999999996</c:v>
                </c:pt>
                <c:pt idx="1799">
                  <c:v>742.08839999999998</c:v>
                </c:pt>
                <c:pt idx="1800">
                  <c:v>741.96889999999996</c:v>
                </c:pt>
                <c:pt idx="1801">
                  <c:v>741.78499999999997</c:v>
                </c:pt>
                <c:pt idx="1802">
                  <c:v>741.57910000000004</c:v>
                </c:pt>
                <c:pt idx="1803">
                  <c:v>741.45159999999998</c:v>
                </c:pt>
                <c:pt idx="1804">
                  <c:v>741.30799999999999</c:v>
                </c:pt>
                <c:pt idx="1805">
                  <c:v>741.13379999999995</c:v>
                </c:pt>
                <c:pt idx="1806">
                  <c:v>740.9325</c:v>
                </c:pt>
                <c:pt idx="1807">
                  <c:v>740.75900000000001</c:v>
                </c:pt>
                <c:pt idx="1808">
                  <c:v>740.6259</c:v>
                </c:pt>
                <c:pt idx="1809">
                  <c:v>740.40959999999995</c:v>
                </c:pt>
                <c:pt idx="1810">
                  <c:v>740.28779999999995</c:v>
                </c:pt>
                <c:pt idx="1811">
                  <c:v>740.06740000000002</c:v>
                </c:pt>
                <c:pt idx="1812">
                  <c:v>739.96180000000004</c:v>
                </c:pt>
                <c:pt idx="1813">
                  <c:v>739.77829999999994</c:v>
                </c:pt>
                <c:pt idx="1814">
                  <c:v>739.53489999999999</c:v>
                </c:pt>
                <c:pt idx="1815">
                  <c:v>739.44870000000003</c:v>
                </c:pt>
                <c:pt idx="1816">
                  <c:v>739.24620000000004</c:v>
                </c:pt>
                <c:pt idx="1817">
                  <c:v>739.09069999999997</c:v>
                </c:pt>
                <c:pt idx="1818">
                  <c:v>738.928</c:v>
                </c:pt>
                <c:pt idx="1819">
                  <c:v>738.697</c:v>
                </c:pt>
                <c:pt idx="1820">
                  <c:v>738.55880000000002</c:v>
                </c:pt>
                <c:pt idx="1821">
                  <c:v>738.3691</c:v>
                </c:pt>
                <c:pt idx="1822">
                  <c:v>738.2242</c:v>
                </c:pt>
                <c:pt idx="1823">
                  <c:v>738.00869999999998</c:v>
                </c:pt>
                <c:pt idx="1824">
                  <c:v>737.85709999999995</c:v>
                </c:pt>
                <c:pt idx="1825">
                  <c:v>737.64279999999997</c:v>
                </c:pt>
                <c:pt idx="1826">
                  <c:v>737.47640000000001</c:v>
                </c:pt>
                <c:pt idx="1827">
                  <c:v>737.29560000000004</c:v>
                </c:pt>
                <c:pt idx="1828">
                  <c:v>737.11699999999996</c:v>
                </c:pt>
                <c:pt idx="1829">
                  <c:v>736.8922</c:v>
                </c:pt>
                <c:pt idx="1830">
                  <c:v>736.70989999999995</c:v>
                </c:pt>
                <c:pt idx="1831">
                  <c:v>736.52340000000004</c:v>
                </c:pt>
                <c:pt idx="1832">
                  <c:v>736.37530000000004</c:v>
                </c:pt>
                <c:pt idx="1833">
                  <c:v>736.18269999999995</c:v>
                </c:pt>
                <c:pt idx="1834">
                  <c:v>735.95780000000002</c:v>
                </c:pt>
                <c:pt idx="1835">
                  <c:v>735.8075</c:v>
                </c:pt>
                <c:pt idx="1836">
                  <c:v>735.51829999999995</c:v>
                </c:pt>
                <c:pt idx="1837">
                  <c:v>735.4008</c:v>
                </c:pt>
                <c:pt idx="1838">
                  <c:v>735.23929999999996</c:v>
                </c:pt>
                <c:pt idx="1839">
                  <c:v>735.1</c:v>
                </c:pt>
                <c:pt idx="1840">
                  <c:v>734.92380000000003</c:v>
                </c:pt>
                <c:pt idx="1841">
                  <c:v>734.73710000000005</c:v>
                </c:pt>
                <c:pt idx="1842">
                  <c:v>734.56740000000002</c:v>
                </c:pt>
                <c:pt idx="1843">
                  <c:v>734.40769999999998</c:v>
                </c:pt>
                <c:pt idx="1844">
                  <c:v>734.23969999999997</c:v>
                </c:pt>
                <c:pt idx="1845">
                  <c:v>734.07590000000005</c:v>
                </c:pt>
                <c:pt idx="1846">
                  <c:v>733.86440000000005</c:v>
                </c:pt>
                <c:pt idx="1847">
                  <c:v>733.68020000000001</c:v>
                </c:pt>
                <c:pt idx="1848">
                  <c:v>733.51549999999997</c:v>
                </c:pt>
                <c:pt idx="1849">
                  <c:v>733.36559999999997</c:v>
                </c:pt>
                <c:pt idx="1850">
                  <c:v>733.08500000000004</c:v>
                </c:pt>
                <c:pt idx="1851">
                  <c:v>732.91890000000001</c:v>
                </c:pt>
                <c:pt idx="1852">
                  <c:v>732.84860000000003</c:v>
                </c:pt>
                <c:pt idx="1853">
                  <c:v>732.69759999999997</c:v>
                </c:pt>
                <c:pt idx="1854">
                  <c:v>732.56679999999994</c:v>
                </c:pt>
                <c:pt idx="1855">
                  <c:v>732.42769999999996</c:v>
                </c:pt>
                <c:pt idx="1856">
                  <c:v>732.30340000000001</c:v>
                </c:pt>
                <c:pt idx="1857">
                  <c:v>732.20609999999999</c:v>
                </c:pt>
                <c:pt idx="1858">
                  <c:v>732.04600000000005</c:v>
                </c:pt>
                <c:pt idx="1859">
                  <c:v>731.9461</c:v>
                </c:pt>
                <c:pt idx="1860">
                  <c:v>731.80939999999998</c:v>
                </c:pt>
                <c:pt idx="1861">
                  <c:v>731.70410000000004</c:v>
                </c:pt>
                <c:pt idx="1862">
                  <c:v>731.55499999999995</c:v>
                </c:pt>
                <c:pt idx="1863">
                  <c:v>731.3682</c:v>
                </c:pt>
                <c:pt idx="1864">
                  <c:v>731.30359999999996</c:v>
                </c:pt>
                <c:pt idx="1865">
                  <c:v>731.11649999999997</c:v>
                </c:pt>
                <c:pt idx="1866">
                  <c:v>730.99120000000005</c:v>
                </c:pt>
                <c:pt idx="1867">
                  <c:v>730.80160000000001</c:v>
                </c:pt>
                <c:pt idx="1868">
                  <c:v>730.66420000000005</c:v>
                </c:pt>
                <c:pt idx="1869">
                  <c:v>730.47760000000005</c:v>
                </c:pt>
                <c:pt idx="1870">
                  <c:v>730.35389999999995</c:v>
                </c:pt>
                <c:pt idx="1871">
                  <c:v>730.22680000000003</c:v>
                </c:pt>
                <c:pt idx="1872">
                  <c:v>730.09140000000002</c:v>
                </c:pt>
                <c:pt idx="1873">
                  <c:v>729.95119999999997</c:v>
                </c:pt>
                <c:pt idx="1874">
                  <c:v>729.73119999999994</c:v>
                </c:pt>
                <c:pt idx="1875">
                  <c:v>729.59010000000001</c:v>
                </c:pt>
                <c:pt idx="1876">
                  <c:v>729.39739999999995</c:v>
                </c:pt>
                <c:pt idx="1877">
                  <c:v>729.23180000000002</c:v>
                </c:pt>
                <c:pt idx="1878">
                  <c:v>729.09010000000001</c:v>
                </c:pt>
                <c:pt idx="1879">
                  <c:v>728.87990000000002</c:v>
                </c:pt>
                <c:pt idx="1880">
                  <c:v>728.79229999999995</c:v>
                </c:pt>
                <c:pt idx="1881">
                  <c:v>728.62850000000003</c:v>
                </c:pt>
                <c:pt idx="1882">
                  <c:v>728.50040000000001</c:v>
                </c:pt>
                <c:pt idx="1883">
                  <c:v>728.29700000000003</c:v>
                </c:pt>
                <c:pt idx="1884">
                  <c:v>728.12019999999995</c:v>
                </c:pt>
                <c:pt idx="1885">
                  <c:v>727.96220000000005</c:v>
                </c:pt>
                <c:pt idx="1886">
                  <c:v>727.79079999999999</c:v>
                </c:pt>
                <c:pt idx="1887">
                  <c:v>727.62080000000003</c:v>
                </c:pt>
                <c:pt idx="1888">
                  <c:v>727.47249999999997</c:v>
                </c:pt>
                <c:pt idx="1889">
                  <c:v>727.28120000000001</c:v>
                </c:pt>
                <c:pt idx="1890">
                  <c:v>727.11509999999998</c:v>
                </c:pt>
                <c:pt idx="1891">
                  <c:v>726.9443</c:v>
                </c:pt>
                <c:pt idx="1892">
                  <c:v>726.79480000000001</c:v>
                </c:pt>
                <c:pt idx="1893">
                  <c:v>726.59</c:v>
                </c:pt>
                <c:pt idx="1894">
                  <c:v>726.39089999999999</c:v>
                </c:pt>
                <c:pt idx="1895">
                  <c:v>726.22820000000002</c:v>
                </c:pt>
                <c:pt idx="1896">
                  <c:v>726.00220000000002</c:v>
                </c:pt>
                <c:pt idx="1897">
                  <c:v>725.8682</c:v>
                </c:pt>
                <c:pt idx="1898">
                  <c:v>725.66240000000005</c:v>
                </c:pt>
                <c:pt idx="1899">
                  <c:v>725.51930000000004</c:v>
                </c:pt>
                <c:pt idx="1900">
                  <c:v>725.33</c:v>
                </c:pt>
                <c:pt idx="1901">
                  <c:v>725.15869999999995</c:v>
                </c:pt>
                <c:pt idx="1902">
                  <c:v>725.02200000000005</c:v>
                </c:pt>
                <c:pt idx="1903">
                  <c:v>724.83929999999998</c:v>
                </c:pt>
                <c:pt idx="1904">
                  <c:v>724.64739999999995</c:v>
                </c:pt>
                <c:pt idx="1905">
                  <c:v>724.4479</c:v>
                </c:pt>
                <c:pt idx="1906">
                  <c:v>724.33680000000004</c:v>
                </c:pt>
                <c:pt idx="1907">
                  <c:v>724.12459999999999</c:v>
                </c:pt>
                <c:pt idx="1908">
                  <c:v>723.94910000000004</c:v>
                </c:pt>
                <c:pt idx="1909">
                  <c:v>723.77769999999998</c:v>
                </c:pt>
                <c:pt idx="1910">
                  <c:v>723.59559999999999</c:v>
                </c:pt>
                <c:pt idx="1911">
                  <c:v>723.37990000000002</c:v>
                </c:pt>
                <c:pt idx="1912">
                  <c:v>723.15369999999996</c:v>
                </c:pt>
                <c:pt idx="1913">
                  <c:v>722.99210000000005</c:v>
                </c:pt>
                <c:pt idx="1914">
                  <c:v>722.78539999999998</c:v>
                </c:pt>
                <c:pt idx="1915">
                  <c:v>722.5702</c:v>
                </c:pt>
                <c:pt idx="1916">
                  <c:v>722.37950000000001</c:v>
                </c:pt>
                <c:pt idx="1917">
                  <c:v>722.2047</c:v>
                </c:pt>
                <c:pt idx="1918">
                  <c:v>722.01120000000003</c:v>
                </c:pt>
                <c:pt idx="1919">
                  <c:v>721.84640000000002</c:v>
                </c:pt>
                <c:pt idx="1920">
                  <c:v>721.68280000000004</c:v>
                </c:pt>
                <c:pt idx="1921">
                  <c:v>721.47370000000001</c:v>
                </c:pt>
                <c:pt idx="1922">
                  <c:v>721.22649999999999</c:v>
                </c:pt>
                <c:pt idx="1923">
                  <c:v>721.05550000000005</c:v>
                </c:pt>
                <c:pt idx="1924">
                  <c:v>720.86590000000001</c:v>
                </c:pt>
                <c:pt idx="1925">
                  <c:v>720.63160000000005</c:v>
                </c:pt>
                <c:pt idx="1926">
                  <c:v>720.42499999999995</c:v>
                </c:pt>
                <c:pt idx="1927">
                  <c:v>720.25289999999995</c:v>
                </c:pt>
                <c:pt idx="1928">
                  <c:v>720.07749999999999</c:v>
                </c:pt>
                <c:pt idx="1929">
                  <c:v>719.85329999999999</c:v>
                </c:pt>
                <c:pt idx="1930">
                  <c:v>719.64369999999997</c:v>
                </c:pt>
                <c:pt idx="1931">
                  <c:v>719.41869999999994</c:v>
                </c:pt>
                <c:pt idx="1932">
                  <c:v>719.25760000000002</c:v>
                </c:pt>
                <c:pt idx="1933">
                  <c:v>719.02949999999998</c:v>
                </c:pt>
                <c:pt idx="1934">
                  <c:v>718.77520000000004</c:v>
                </c:pt>
                <c:pt idx="1935">
                  <c:v>718.52279999999996</c:v>
                </c:pt>
                <c:pt idx="1936">
                  <c:v>718.34550000000002</c:v>
                </c:pt>
                <c:pt idx="1937">
                  <c:v>718.08349999999996</c:v>
                </c:pt>
                <c:pt idx="1938">
                  <c:v>717.94460000000004</c:v>
                </c:pt>
                <c:pt idx="1939">
                  <c:v>717.7251</c:v>
                </c:pt>
                <c:pt idx="1940">
                  <c:v>717.45979999999997</c:v>
                </c:pt>
                <c:pt idx="1941">
                  <c:v>717.22929999999997</c:v>
                </c:pt>
                <c:pt idx="1942">
                  <c:v>717.02080000000001</c:v>
                </c:pt>
                <c:pt idx="1943">
                  <c:v>716.82839999999999</c:v>
                </c:pt>
                <c:pt idx="1944">
                  <c:v>716.58609999999999</c:v>
                </c:pt>
                <c:pt idx="1945">
                  <c:v>716.36199999999997</c:v>
                </c:pt>
                <c:pt idx="1946">
                  <c:v>716.23329999999999</c:v>
                </c:pt>
                <c:pt idx="1947">
                  <c:v>715.98209999999995</c:v>
                </c:pt>
                <c:pt idx="1948">
                  <c:v>715.89430000000004</c:v>
                </c:pt>
                <c:pt idx="1949">
                  <c:v>715.71010000000001</c:v>
                </c:pt>
                <c:pt idx="1950">
                  <c:v>715.53949999999998</c:v>
                </c:pt>
                <c:pt idx="1951">
                  <c:v>715.26480000000004</c:v>
                </c:pt>
                <c:pt idx="1952">
                  <c:v>715.03740000000005</c:v>
                </c:pt>
                <c:pt idx="1953">
                  <c:v>714.77260000000001</c:v>
                </c:pt>
                <c:pt idx="1954">
                  <c:v>714.55029999999999</c:v>
                </c:pt>
                <c:pt idx="1955">
                  <c:v>714.31529999999998</c:v>
                </c:pt>
                <c:pt idx="1956">
                  <c:v>714.09749999999997</c:v>
                </c:pt>
                <c:pt idx="1957">
                  <c:v>713.89139999999998</c:v>
                </c:pt>
                <c:pt idx="1958">
                  <c:v>713.70989999999995</c:v>
                </c:pt>
                <c:pt idx="1959">
                  <c:v>713.55290000000002</c:v>
                </c:pt>
                <c:pt idx="1960">
                  <c:v>713.37670000000003</c:v>
                </c:pt>
                <c:pt idx="1961">
                  <c:v>713.20010000000002</c:v>
                </c:pt>
                <c:pt idx="1962">
                  <c:v>712.98239999999998</c:v>
                </c:pt>
                <c:pt idx="1963">
                  <c:v>712.83019999999999</c:v>
                </c:pt>
                <c:pt idx="1964">
                  <c:v>712.66070000000002</c:v>
                </c:pt>
                <c:pt idx="1965">
                  <c:v>712.47990000000004</c:v>
                </c:pt>
                <c:pt idx="1966">
                  <c:v>712.31870000000004</c:v>
                </c:pt>
                <c:pt idx="1967">
                  <c:v>712.09969999999998</c:v>
                </c:pt>
                <c:pt idx="1968">
                  <c:v>711.89750000000004</c:v>
                </c:pt>
                <c:pt idx="1969">
                  <c:v>711.71879999999999</c:v>
                </c:pt>
                <c:pt idx="1970">
                  <c:v>711.59180000000003</c:v>
                </c:pt>
                <c:pt idx="1971">
                  <c:v>711.39210000000003</c:v>
                </c:pt>
                <c:pt idx="1972">
                  <c:v>711.20609999999999</c:v>
                </c:pt>
                <c:pt idx="1973">
                  <c:v>711.01760000000002</c:v>
                </c:pt>
                <c:pt idx="1974">
                  <c:v>710.83</c:v>
                </c:pt>
                <c:pt idx="1975">
                  <c:v>710.69839999999999</c:v>
                </c:pt>
                <c:pt idx="1976">
                  <c:v>710.5231</c:v>
                </c:pt>
                <c:pt idx="1977">
                  <c:v>710.38710000000003</c:v>
                </c:pt>
                <c:pt idx="1978">
                  <c:v>710.17550000000006</c:v>
                </c:pt>
                <c:pt idx="1979">
                  <c:v>710.04639999999995</c:v>
                </c:pt>
                <c:pt idx="1980">
                  <c:v>709.83079999999995</c:v>
                </c:pt>
                <c:pt idx="1981">
                  <c:v>709.63900000000001</c:v>
                </c:pt>
                <c:pt idx="1982">
                  <c:v>709.55960000000005</c:v>
                </c:pt>
                <c:pt idx="1983">
                  <c:v>709.32029999999997</c:v>
                </c:pt>
                <c:pt idx="1984">
                  <c:v>709.18679999999995</c:v>
                </c:pt>
                <c:pt idx="1985">
                  <c:v>708.99919999999997</c:v>
                </c:pt>
                <c:pt idx="1986">
                  <c:v>708.76949999999999</c:v>
                </c:pt>
                <c:pt idx="1987">
                  <c:v>708.56650000000002</c:v>
                </c:pt>
                <c:pt idx="1988">
                  <c:v>708.44489999999996</c:v>
                </c:pt>
                <c:pt idx="1989">
                  <c:v>708.27919999999995</c:v>
                </c:pt>
                <c:pt idx="1990">
                  <c:v>708.08040000000005</c:v>
                </c:pt>
                <c:pt idx="1991">
                  <c:v>707.99490000000003</c:v>
                </c:pt>
                <c:pt idx="1992">
                  <c:v>707.86210000000005</c:v>
                </c:pt>
                <c:pt idx="1993">
                  <c:v>707.69240000000002</c:v>
                </c:pt>
                <c:pt idx="1994">
                  <c:v>707.63059999999996</c:v>
                </c:pt>
                <c:pt idx="1995">
                  <c:v>707.51710000000003</c:v>
                </c:pt>
                <c:pt idx="1996">
                  <c:v>707.35140000000001</c:v>
                </c:pt>
                <c:pt idx="1997">
                  <c:v>707.21310000000005</c:v>
                </c:pt>
                <c:pt idx="1998">
                  <c:v>707.03399999999999</c:v>
                </c:pt>
                <c:pt idx="1999">
                  <c:v>706.90269999999998</c:v>
                </c:pt>
                <c:pt idx="2000">
                  <c:v>706.74590000000001</c:v>
                </c:pt>
                <c:pt idx="2001">
                  <c:v>706.56230000000005</c:v>
                </c:pt>
                <c:pt idx="2002">
                  <c:v>706.38679999999999</c:v>
                </c:pt>
                <c:pt idx="2003">
                  <c:v>706.22910000000002</c:v>
                </c:pt>
                <c:pt idx="2004">
                  <c:v>706.07899999999995</c:v>
                </c:pt>
                <c:pt idx="2005">
                  <c:v>705.92769999999996</c:v>
                </c:pt>
                <c:pt idx="2006">
                  <c:v>705.70899999999995</c:v>
                </c:pt>
                <c:pt idx="2007">
                  <c:v>705.52670000000001</c:v>
                </c:pt>
                <c:pt idx="2008">
                  <c:v>705.404</c:v>
                </c:pt>
                <c:pt idx="2009">
                  <c:v>705.21669999999995</c:v>
                </c:pt>
                <c:pt idx="2010">
                  <c:v>705.07730000000004</c:v>
                </c:pt>
                <c:pt idx="2011">
                  <c:v>704.87900000000002</c:v>
                </c:pt>
                <c:pt idx="2012">
                  <c:v>704.65790000000004</c:v>
                </c:pt>
                <c:pt idx="2013">
                  <c:v>704.59259999999995</c:v>
                </c:pt>
                <c:pt idx="2014">
                  <c:v>704.46489999999994</c:v>
                </c:pt>
                <c:pt idx="2015">
                  <c:v>704.33339999999998</c:v>
                </c:pt>
                <c:pt idx="2016">
                  <c:v>704.20899999999995</c:v>
                </c:pt>
                <c:pt idx="2017">
                  <c:v>704.05010000000004</c:v>
                </c:pt>
                <c:pt idx="2018">
                  <c:v>703.87090000000001</c:v>
                </c:pt>
                <c:pt idx="2019">
                  <c:v>703.72119999999995</c:v>
                </c:pt>
                <c:pt idx="2020">
                  <c:v>703.57749999999999</c:v>
                </c:pt>
                <c:pt idx="2021">
                  <c:v>703.4579</c:v>
                </c:pt>
                <c:pt idx="2022">
                  <c:v>703.27959999999996</c:v>
                </c:pt>
                <c:pt idx="2023">
                  <c:v>703.13070000000005</c:v>
                </c:pt>
                <c:pt idx="2024">
                  <c:v>702.91309999999999</c:v>
                </c:pt>
                <c:pt idx="2025">
                  <c:v>702.82650000000001</c:v>
                </c:pt>
                <c:pt idx="2026">
                  <c:v>702.65210000000002</c:v>
                </c:pt>
                <c:pt idx="2027">
                  <c:v>702.53129999999999</c:v>
                </c:pt>
                <c:pt idx="2028">
                  <c:v>702.3682</c:v>
                </c:pt>
                <c:pt idx="2029">
                  <c:v>702.20759999999996</c:v>
                </c:pt>
                <c:pt idx="2030">
                  <c:v>702.03330000000005</c:v>
                </c:pt>
                <c:pt idx="2031">
                  <c:v>701.86429999999996</c:v>
                </c:pt>
                <c:pt idx="2032">
                  <c:v>701.73270000000002</c:v>
                </c:pt>
                <c:pt idx="2033">
                  <c:v>701.61379999999997</c:v>
                </c:pt>
                <c:pt idx="2034">
                  <c:v>701.43269999999995</c:v>
                </c:pt>
                <c:pt idx="2035">
                  <c:v>701.30799999999999</c:v>
                </c:pt>
                <c:pt idx="2036">
                  <c:v>701.11680000000001</c:v>
                </c:pt>
                <c:pt idx="2037">
                  <c:v>700.95429999999999</c:v>
                </c:pt>
                <c:pt idx="2038">
                  <c:v>700.84580000000005</c:v>
                </c:pt>
                <c:pt idx="2039">
                  <c:v>700.70190000000002</c:v>
                </c:pt>
                <c:pt idx="2040">
                  <c:v>700.61120000000005</c:v>
                </c:pt>
                <c:pt idx="2041">
                  <c:v>700.54459999999995</c:v>
                </c:pt>
                <c:pt idx="2042">
                  <c:v>700.47789999999998</c:v>
                </c:pt>
                <c:pt idx="2043">
                  <c:v>700.33640000000003</c:v>
                </c:pt>
                <c:pt idx="2044">
                  <c:v>700.29219999999998</c:v>
                </c:pt>
                <c:pt idx="2045">
                  <c:v>700.18690000000004</c:v>
                </c:pt>
                <c:pt idx="2046">
                  <c:v>700.05119999999999</c:v>
                </c:pt>
                <c:pt idx="2047">
                  <c:v>699.96910000000003</c:v>
                </c:pt>
                <c:pt idx="2048">
                  <c:v>699.87030000000004</c:v>
                </c:pt>
                <c:pt idx="2049">
                  <c:v>699.76220000000001</c:v>
                </c:pt>
                <c:pt idx="2050">
                  <c:v>699.65790000000004</c:v>
                </c:pt>
                <c:pt idx="2051">
                  <c:v>699.65049999999997</c:v>
                </c:pt>
                <c:pt idx="2052">
                  <c:v>699.54960000000005</c:v>
                </c:pt>
                <c:pt idx="2053">
                  <c:v>699.55309999999997</c:v>
                </c:pt>
                <c:pt idx="2054">
                  <c:v>699.54039999999998</c:v>
                </c:pt>
                <c:pt idx="2055">
                  <c:v>699.48519999999996</c:v>
                </c:pt>
                <c:pt idx="2056">
                  <c:v>699.4547</c:v>
                </c:pt>
                <c:pt idx="2057">
                  <c:v>699.45719999999994</c:v>
                </c:pt>
                <c:pt idx="2058">
                  <c:v>699.46540000000005</c:v>
                </c:pt>
                <c:pt idx="2059">
                  <c:v>699.52</c:v>
                </c:pt>
                <c:pt idx="2060">
                  <c:v>699.49540000000002</c:v>
                </c:pt>
                <c:pt idx="2061">
                  <c:v>699.49429999999995</c:v>
                </c:pt>
                <c:pt idx="2062">
                  <c:v>699.4597</c:v>
                </c:pt>
                <c:pt idx="2063">
                  <c:v>699.44619999999998</c:v>
                </c:pt>
                <c:pt idx="2064">
                  <c:v>699.49509999999998</c:v>
                </c:pt>
                <c:pt idx="2065">
                  <c:v>699.51890000000003</c:v>
                </c:pt>
                <c:pt idx="2066">
                  <c:v>699.46730000000002</c:v>
                </c:pt>
                <c:pt idx="2067">
                  <c:v>699.44749999999999</c:v>
                </c:pt>
                <c:pt idx="2068">
                  <c:v>699.51499999999999</c:v>
                </c:pt>
                <c:pt idx="2069">
                  <c:v>699.53719999999998</c:v>
                </c:pt>
                <c:pt idx="2070">
                  <c:v>699.52639999999997</c:v>
                </c:pt>
                <c:pt idx="2071">
                  <c:v>699.55179999999996</c:v>
                </c:pt>
                <c:pt idx="2072">
                  <c:v>699.55550000000005</c:v>
                </c:pt>
                <c:pt idx="2073">
                  <c:v>699.55420000000004</c:v>
                </c:pt>
                <c:pt idx="2074">
                  <c:v>699.56569999999999</c:v>
                </c:pt>
                <c:pt idx="2075">
                  <c:v>699.60619999999994</c:v>
                </c:pt>
                <c:pt idx="2076">
                  <c:v>699.6232</c:v>
                </c:pt>
                <c:pt idx="2077">
                  <c:v>699.57579999999996</c:v>
                </c:pt>
                <c:pt idx="2078">
                  <c:v>699.60490000000004</c:v>
                </c:pt>
                <c:pt idx="2079">
                  <c:v>699.58109999999999</c:v>
                </c:pt>
                <c:pt idx="2080">
                  <c:v>699.62559999999996</c:v>
                </c:pt>
                <c:pt idx="2081">
                  <c:v>699.62220000000002</c:v>
                </c:pt>
                <c:pt idx="2082">
                  <c:v>699.65250000000003</c:v>
                </c:pt>
                <c:pt idx="2083">
                  <c:v>673.93920000000003</c:v>
                </c:pt>
                <c:pt idx="2084">
                  <c:v>561.38</c:v>
                </c:pt>
                <c:pt idx="2085">
                  <c:v>445.52980000000002</c:v>
                </c:pt>
                <c:pt idx="2086">
                  <c:v>330.81319999999999</c:v>
                </c:pt>
                <c:pt idx="2087">
                  <c:v>222.53809999999999</c:v>
                </c:pt>
                <c:pt idx="2088">
                  <c:v>115.8519</c:v>
                </c:pt>
                <c:pt idx="2089">
                  <c:v>56.620199999999997</c:v>
                </c:pt>
                <c:pt idx="2090">
                  <c:v>26.8157</c:v>
                </c:pt>
                <c:pt idx="2091">
                  <c:v>14.836499999999999</c:v>
                </c:pt>
                <c:pt idx="2092">
                  <c:v>13.4383</c:v>
                </c:pt>
                <c:pt idx="2093">
                  <c:v>13.4361</c:v>
                </c:pt>
                <c:pt idx="2094">
                  <c:v>13.482200000000001</c:v>
                </c:pt>
                <c:pt idx="2095">
                  <c:v>13.4335</c:v>
                </c:pt>
                <c:pt idx="2096">
                  <c:v>13.433999999999999</c:v>
                </c:pt>
                <c:pt idx="2097">
                  <c:v>13.426399999999999</c:v>
                </c:pt>
                <c:pt idx="2098">
                  <c:v>13.443099999999999</c:v>
                </c:pt>
                <c:pt idx="2099">
                  <c:v>13.4268</c:v>
                </c:pt>
                <c:pt idx="2100">
                  <c:v>13.4511</c:v>
                </c:pt>
                <c:pt idx="2101">
                  <c:v>13.447800000000001</c:v>
                </c:pt>
                <c:pt idx="2102">
                  <c:v>13.423400000000001</c:v>
                </c:pt>
                <c:pt idx="2103">
                  <c:v>13.4091</c:v>
                </c:pt>
                <c:pt idx="2104">
                  <c:v>13.435600000000001</c:v>
                </c:pt>
                <c:pt idx="2105">
                  <c:v>13.411300000000001</c:v>
                </c:pt>
                <c:pt idx="2106">
                  <c:v>13.4244</c:v>
                </c:pt>
                <c:pt idx="2107">
                  <c:v>13.413</c:v>
                </c:pt>
                <c:pt idx="2108">
                  <c:v>13.4953</c:v>
                </c:pt>
                <c:pt idx="2109">
                  <c:v>13.4374</c:v>
                </c:pt>
                <c:pt idx="2110">
                  <c:v>13.436199999999999</c:v>
                </c:pt>
                <c:pt idx="2111">
                  <c:v>13.4298</c:v>
                </c:pt>
                <c:pt idx="2112">
                  <c:v>13.463100000000001</c:v>
                </c:pt>
                <c:pt idx="2113">
                  <c:v>13.386200000000001</c:v>
                </c:pt>
                <c:pt idx="2114">
                  <c:v>13.3703</c:v>
                </c:pt>
                <c:pt idx="2115">
                  <c:v>13.4223</c:v>
                </c:pt>
                <c:pt idx="2116">
                  <c:v>13.4156</c:v>
                </c:pt>
                <c:pt idx="2117">
                  <c:v>13.409599999999999</c:v>
                </c:pt>
                <c:pt idx="2118">
                  <c:v>13.4655</c:v>
                </c:pt>
                <c:pt idx="2119">
                  <c:v>13.3904</c:v>
                </c:pt>
                <c:pt idx="2120">
                  <c:v>13.445</c:v>
                </c:pt>
                <c:pt idx="2121">
                  <c:v>13.3903</c:v>
                </c:pt>
                <c:pt idx="2122">
                  <c:v>13.419499999999999</c:v>
                </c:pt>
                <c:pt idx="2123">
                  <c:v>13.428599999999999</c:v>
                </c:pt>
                <c:pt idx="2124">
                  <c:v>13.416700000000001</c:v>
                </c:pt>
                <c:pt idx="2125">
                  <c:v>13.4316</c:v>
                </c:pt>
                <c:pt idx="2126">
                  <c:v>13.4094</c:v>
                </c:pt>
                <c:pt idx="2127">
                  <c:v>13.450799999999999</c:v>
                </c:pt>
                <c:pt idx="2128">
                  <c:v>13.414199999999999</c:v>
                </c:pt>
                <c:pt idx="2129">
                  <c:v>13.388400000000001</c:v>
                </c:pt>
                <c:pt idx="2130">
                  <c:v>13.394600000000001</c:v>
                </c:pt>
                <c:pt idx="2131">
                  <c:v>13.415900000000001</c:v>
                </c:pt>
                <c:pt idx="2132">
                  <c:v>13.4284</c:v>
                </c:pt>
                <c:pt idx="2133">
                  <c:v>13.398</c:v>
                </c:pt>
                <c:pt idx="2134">
                  <c:v>13.4109</c:v>
                </c:pt>
                <c:pt idx="2135">
                  <c:v>13.4183</c:v>
                </c:pt>
                <c:pt idx="2136">
                  <c:v>13.395</c:v>
                </c:pt>
                <c:pt idx="2137">
                  <c:v>13.4499</c:v>
                </c:pt>
                <c:pt idx="2138">
                  <c:v>13.415100000000001</c:v>
                </c:pt>
                <c:pt idx="2139">
                  <c:v>13.4076</c:v>
                </c:pt>
                <c:pt idx="2140">
                  <c:v>13.414999999999999</c:v>
                </c:pt>
                <c:pt idx="2141">
                  <c:v>13.405200000000001</c:v>
                </c:pt>
                <c:pt idx="2142">
                  <c:v>13.4458</c:v>
                </c:pt>
                <c:pt idx="2143">
                  <c:v>13.437799999999999</c:v>
                </c:pt>
              </c:numCache>
            </c:numRef>
          </c:xVal>
          <c:yVal>
            <c:numRef>
              <c:f>'MG Data'!$B$10:$B$2153</c:f>
              <c:numCache>
                <c:formatCode>#,##0.000</c:formatCode>
                <c:ptCount val="2144"/>
                <c:pt idx="0">
                  <c:v>0</c:v>
                </c:pt>
                <c:pt idx="1">
                  <c:v>1.389E-3</c:v>
                </c:pt>
                <c:pt idx="2">
                  <c:v>2.7780000000000001E-3</c:v>
                </c:pt>
                <c:pt idx="3">
                  <c:v>4.1669999999999997E-3</c:v>
                </c:pt>
                <c:pt idx="4">
                  <c:v>5.5560000000000002E-3</c:v>
                </c:pt>
                <c:pt idx="5">
                  <c:v>6.9439999999999997E-3</c:v>
                </c:pt>
                <c:pt idx="6">
                  <c:v>8.3330000000000001E-3</c:v>
                </c:pt>
                <c:pt idx="7">
                  <c:v>9.7219999999999997E-3</c:v>
                </c:pt>
                <c:pt idx="8">
                  <c:v>1.1110999999999999E-2</c:v>
                </c:pt>
                <c:pt idx="9">
                  <c:v>1.2500000000000001E-2</c:v>
                </c:pt>
                <c:pt idx="10">
                  <c:v>1.3889E-2</c:v>
                </c:pt>
                <c:pt idx="11">
                  <c:v>1.5278E-2</c:v>
                </c:pt>
                <c:pt idx="12">
                  <c:v>1.6667000000000001E-2</c:v>
                </c:pt>
                <c:pt idx="13">
                  <c:v>1.8055999999999999E-2</c:v>
                </c:pt>
                <c:pt idx="14">
                  <c:v>1.9443999999999999E-2</c:v>
                </c:pt>
                <c:pt idx="15">
                  <c:v>2.0833000000000001E-2</c:v>
                </c:pt>
                <c:pt idx="16">
                  <c:v>2.2221999999999999E-2</c:v>
                </c:pt>
                <c:pt idx="17">
                  <c:v>2.3611E-2</c:v>
                </c:pt>
                <c:pt idx="18">
                  <c:v>2.5000000000000001E-2</c:v>
                </c:pt>
                <c:pt idx="19">
                  <c:v>2.6388999999999999E-2</c:v>
                </c:pt>
                <c:pt idx="20">
                  <c:v>2.7778000000000001E-2</c:v>
                </c:pt>
                <c:pt idx="21">
                  <c:v>2.9166999999999998E-2</c:v>
                </c:pt>
                <c:pt idx="22">
                  <c:v>3.0556E-2</c:v>
                </c:pt>
                <c:pt idx="23">
                  <c:v>3.1944E-2</c:v>
                </c:pt>
                <c:pt idx="24">
                  <c:v>3.3333000000000002E-2</c:v>
                </c:pt>
                <c:pt idx="25">
                  <c:v>3.4722000000000003E-2</c:v>
                </c:pt>
                <c:pt idx="26">
                  <c:v>3.6110999999999997E-2</c:v>
                </c:pt>
                <c:pt idx="27">
                  <c:v>3.7499999999999999E-2</c:v>
                </c:pt>
                <c:pt idx="28">
                  <c:v>3.8889E-2</c:v>
                </c:pt>
                <c:pt idx="29">
                  <c:v>4.0278000000000001E-2</c:v>
                </c:pt>
                <c:pt idx="30">
                  <c:v>4.1667000000000003E-2</c:v>
                </c:pt>
                <c:pt idx="31">
                  <c:v>4.3055999999999997E-2</c:v>
                </c:pt>
                <c:pt idx="32">
                  <c:v>4.4443999999999997E-2</c:v>
                </c:pt>
                <c:pt idx="33">
                  <c:v>4.5832999999999999E-2</c:v>
                </c:pt>
                <c:pt idx="34">
                  <c:v>4.7222E-2</c:v>
                </c:pt>
                <c:pt idx="35">
                  <c:v>4.8611000000000001E-2</c:v>
                </c:pt>
                <c:pt idx="36">
                  <c:v>0.05</c:v>
                </c:pt>
                <c:pt idx="37">
                  <c:v>5.1388999999999997E-2</c:v>
                </c:pt>
                <c:pt idx="38">
                  <c:v>5.2777999999999999E-2</c:v>
                </c:pt>
                <c:pt idx="39">
                  <c:v>5.4167E-2</c:v>
                </c:pt>
                <c:pt idx="40">
                  <c:v>5.5556000000000001E-2</c:v>
                </c:pt>
                <c:pt idx="41">
                  <c:v>5.6944000000000002E-2</c:v>
                </c:pt>
                <c:pt idx="42">
                  <c:v>5.8333000000000003E-2</c:v>
                </c:pt>
                <c:pt idx="43">
                  <c:v>5.9721999999999997E-2</c:v>
                </c:pt>
                <c:pt idx="44">
                  <c:v>6.1110999999999999E-2</c:v>
                </c:pt>
                <c:pt idx="45">
                  <c:v>6.25E-2</c:v>
                </c:pt>
                <c:pt idx="46">
                  <c:v>6.3889000000000001E-2</c:v>
                </c:pt>
                <c:pt idx="47">
                  <c:v>6.5278000000000003E-2</c:v>
                </c:pt>
                <c:pt idx="48">
                  <c:v>6.6667000000000004E-2</c:v>
                </c:pt>
                <c:pt idx="49">
                  <c:v>6.8056000000000005E-2</c:v>
                </c:pt>
                <c:pt idx="50">
                  <c:v>6.9444000000000006E-2</c:v>
                </c:pt>
                <c:pt idx="51">
                  <c:v>7.0832999999999993E-2</c:v>
                </c:pt>
                <c:pt idx="52">
                  <c:v>7.2221999999999995E-2</c:v>
                </c:pt>
                <c:pt idx="53">
                  <c:v>7.3610999999999996E-2</c:v>
                </c:pt>
                <c:pt idx="54">
                  <c:v>7.4999999999999997E-2</c:v>
                </c:pt>
                <c:pt idx="55">
                  <c:v>7.6388999999999999E-2</c:v>
                </c:pt>
                <c:pt idx="56">
                  <c:v>7.7778E-2</c:v>
                </c:pt>
                <c:pt idx="57">
                  <c:v>7.9167000000000001E-2</c:v>
                </c:pt>
                <c:pt idx="58">
                  <c:v>8.0556000000000003E-2</c:v>
                </c:pt>
                <c:pt idx="59">
                  <c:v>8.1944000000000003E-2</c:v>
                </c:pt>
                <c:pt idx="60">
                  <c:v>8.3333000000000004E-2</c:v>
                </c:pt>
                <c:pt idx="61">
                  <c:v>8.4722000000000006E-2</c:v>
                </c:pt>
                <c:pt idx="62">
                  <c:v>8.6110999999999993E-2</c:v>
                </c:pt>
                <c:pt idx="63">
                  <c:v>8.7499999999999994E-2</c:v>
                </c:pt>
                <c:pt idx="64">
                  <c:v>8.8888999999999996E-2</c:v>
                </c:pt>
                <c:pt idx="65">
                  <c:v>9.0277999999999997E-2</c:v>
                </c:pt>
                <c:pt idx="66">
                  <c:v>9.1666999999999998E-2</c:v>
                </c:pt>
                <c:pt idx="67">
                  <c:v>9.3056E-2</c:v>
                </c:pt>
                <c:pt idx="68">
                  <c:v>9.4444E-2</c:v>
                </c:pt>
                <c:pt idx="69">
                  <c:v>9.5833000000000002E-2</c:v>
                </c:pt>
                <c:pt idx="70">
                  <c:v>9.7222000000000003E-2</c:v>
                </c:pt>
                <c:pt idx="71">
                  <c:v>9.8611000000000004E-2</c:v>
                </c:pt>
                <c:pt idx="72">
                  <c:v>0.1</c:v>
                </c:pt>
                <c:pt idx="73">
                  <c:v>0.10138900000000001</c:v>
                </c:pt>
                <c:pt idx="74">
                  <c:v>0.10277799999999999</c:v>
                </c:pt>
                <c:pt idx="75">
                  <c:v>0.104167</c:v>
                </c:pt>
                <c:pt idx="76">
                  <c:v>0.105556</c:v>
                </c:pt>
                <c:pt idx="77">
                  <c:v>0.106944</c:v>
                </c:pt>
                <c:pt idx="78">
                  <c:v>0.108333</c:v>
                </c:pt>
                <c:pt idx="79">
                  <c:v>0.109722</c:v>
                </c:pt>
                <c:pt idx="80">
                  <c:v>0.111111</c:v>
                </c:pt>
                <c:pt idx="81">
                  <c:v>0.1125</c:v>
                </c:pt>
                <c:pt idx="82">
                  <c:v>0.113889</c:v>
                </c:pt>
                <c:pt idx="83">
                  <c:v>0.11527800000000001</c:v>
                </c:pt>
                <c:pt idx="84">
                  <c:v>0.11666700000000001</c:v>
                </c:pt>
                <c:pt idx="85">
                  <c:v>0.11805599999999999</c:v>
                </c:pt>
                <c:pt idx="86">
                  <c:v>0.11944399999999999</c:v>
                </c:pt>
                <c:pt idx="87">
                  <c:v>0.120833</c:v>
                </c:pt>
                <c:pt idx="88">
                  <c:v>0.122222</c:v>
                </c:pt>
                <c:pt idx="89">
                  <c:v>0.123611</c:v>
                </c:pt>
                <c:pt idx="90">
                  <c:v>0.125</c:v>
                </c:pt>
                <c:pt idx="91">
                  <c:v>0.126389</c:v>
                </c:pt>
                <c:pt idx="92">
                  <c:v>0.127778</c:v>
                </c:pt>
                <c:pt idx="93">
                  <c:v>0.129167</c:v>
                </c:pt>
                <c:pt idx="94">
                  <c:v>0.13055600000000001</c:v>
                </c:pt>
                <c:pt idx="95">
                  <c:v>0.13194400000000001</c:v>
                </c:pt>
                <c:pt idx="96">
                  <c:v>0.13333300000000001</c:v>
                </c:pt>
                <c:pt idx="97">
                  <c:v>0.13472200000000001</c:v>
                </c:pt>
                <c:pt idx="98">
                  <c:v>0.13611100000000001</c:v>
                </c:pt>
                <c:pt idx="99">
                  <c:v>0.13750000000000001</c:v>
                </c:pt>
                <c:pt idx="100">
                  <c:v>0.13888900000000001</c:v>
                </c:pt>
                <c:pt idx="101">
                  <c:v>0.14027800000000001</c:v>
                </c:pt>
                <c:pt idx="102">
                  <c:v>0.14166699999999999</c:v>
                </c:pt>
                <c:pt idx="103">
                  <c:v>0.14305599999999999</c:v>
                </c:pt>
                <c:pt idx="104">
                  <c:v>0.14444399999999999</c:v>
                </c:pt>
                <c:pt idx="105">
                  <c:v>0.14583299999999999</c:v>
                </c:pt>
                <c:pt idx="106">
                  <c:v>0.14722199999999999</c:v>
                </c:pt>
                <c:pt idx="107">
                  <c:v>0.14861099999999999</c:v>
                </c:pt>
                <c:pt idx="108">
                  <c:v>0.15</c:v>
                </c:pt>
                <c:pt idx="109">
                  <c:v>0.151389</c:v>
                </c:pt>
                <c:pt idx="110">
                  <c:v>0.152778</c:v>
                </c:pt>
                <c:pt idx="111">
                  <c:v>0.154167</c:v>
                </c:pt>
                <c:pt idx="112">
                  <c:v>0.155556</c:v>
                </c:pt>
                <c:pt idx="113">
                  <c:v>0.156944</c:v>
                </c:pt>
                <c:pt idx="114">
                  <c:v>0.158333</c:v>
                </c:pt>
                <c:pt idx="115">
                  <c:v>0.159722</c:v>
                </c:pt>
                <c:pt idx="116">
                  <c:v>0.161111</c:v>
                </c:pt>
                <c:pt idx="117">
                  <c:v>0.16250000000000001</c:v>
                </c:pt>
                <c:pt idx="118">
                  <c:v>0.16388900000000001</c:v>
                </c:pt>
                <c:pt idx="119">
                  <c:v>0.16527800000000001</c:v>
                </c:pt>
                <c:pt idx="120">
                  <c:v>0.16666700000000001</c:v>
                </c:pt>
                <c:pt idx="121">
                  <c:v>0.16805600000000001</c:v>
                </c:pt>
                <c:pt idx="122">
                  <c:v>0.16944400000000001</c:v>
                </c:pt>
                <c:pt idx="123">
                  <c:v>0.17083300000000001</c:v>
                </c:pt>
                <c:pt idx="124">
                  <c:v>0.17222199999999999</c:v>
                </c:pt>
                <c:pt idx="125">
                  <c:v>0.17361099999999999</c:v>
                </c:pt>
                <c:pt idx="126">
                  <c:v>0.17499999999999999</c:v>
                </c:pt>
                <c:pt idx="127">
                  <c:v>0.17638899999999999</c:v>
                </c:pt>
                <c:pt idx="128">
                  <c:v>0.17777799999999999</c:v>
                </c:pt>
                <c:pt idx="129">
                  <c:v>0.17916699999999999</c:v>
                </c:pt>
                <c:pt idx="130">
                  <c:v>0.18055599999999999</c:v>
                </c:pt>
                <c:pt idx="131">
                  <c:v>0.18194399999999999</c:v>
                </c:pt>
                <c:pt idx="132">
                  <c:v>0.183333</c:v>
                </c:pt>
                <c:pt idx="133">
                  <c:v>0.184722</c:v>
                </c:pt>
                <c:pt idx="134">
                  <c:v>0.186111</c:v>
                </c:pt>
                <c:pt idx="135">
                  <c:v>0.1875</c:v>
                </c:pt>
                <c:pt idx="136">
                  <c:v>0.188889</c:v>
                </c:pt>
                <c:pt idx="137">
                  <c:v>0.190278</c:v>
                </c:pt>
                <c:pt idx="138">
                  <c:v>0.191667</c:v>
                </c:pt>
                <c:pt idx="139">
                  <c:v>0.19305600000000001</c:v>
                </c:pt>
                <c:pt idx="140">
                  <c:v>0.19444400000000001</c:v>
                </c:pt>
                <c:pt idx="141">
                  <c:v>0.19583300000000001</c:v>
                </c:pt>
                <c:pt idx="142">
                  <c:v>0.19722200000000001</c:v>
                </c:pt>
                <c:pt idx="143">
                  <c:v>0.19861100000000001</c:v>
                </c:pt>
                <c:pt idx="144">
                  <c:v>0.2</c:v>
                </c:pt>
                <c:pt idx="145">
                  <c:v>0.20138900000000001</c:v>
                </c:pt>
                <c:pt idx="146">
                  <c:v>0.20277800000000001</c:v>
                </c:pt>
                <c:pt idx="147">
                  <c:v>0.20416699999999999</c:v>
                </c:pt>
                <c:pt idx="148">
                  <c:v>0.20555599999999999</c:v>
                </c:pt>
                <c:pt idx="149">
                  <c:v>0.20694399999999999</c:v>
                </c:pt>
                <c:pt idx="150">
                  <c:v>0.20833299999999999</c:v>
                </c:pt>
                <c:pt idx="151">
                  <c:v>0.20972199999999999</c:v>
                </c:pt>
                <c:pt idx="152">
                  <c:v>0.21111099999999999</c:v>
                </c:pt>
                <c:pt idx="153">
                  <c:v>0.21249999999999999</c:v>
                </c:pt>
                <c:pt idx="154">
                  <c:v>0.213889</c:v>
                </c:pt>
                <c:pt idx="155">
                  <c:v>0.215278</c:v>
                </c:pt>
                <c:pt idx="156">
                  <c:v>0.216667</c:v>
                </c:pt>
                <c:pt idx="157">
                  <c:v>0.218056</c:v>
                </c:pt>
                <c:pt idx="158">
                  <c:v>0.219444</c:v>
                </c:pt>
                <c:pt idx="159">
                  <c:v>0.220833</c:v>
                </c:pt>
                <c:pt idx="160">
                  <c:v>0.222222</c:v>
                </c:pt>
                <c:pt idx="161">
                  <c:v>0.223611</c:v>
                </c:pt>
                <c:pt idx="162">
                  <c:v>0.22500000000000001</c:v>
                </c:pt>
                <c:pt idx="163">
                  <c:v>0.22638900000000001</c:v>
                </c:pt>
                <c:pt idx="164">
                  <c:v>0.22777800000000001</c:v>
                </c:pt>
                <c:pt idx="165">
                  <c:v>0.22916700000000001</c:v>
                </c:pt>
                <c:pt idx="166">
                  <c:v>0.23055600000000001</c:v>
                </c:pt>
                <c:pt idx="167">
                  <c:v>0.23194400000000001</c:v>
                </c:pt>
                <c:pt idx="168">
                  <c:v>0.23333300000000001</c:v>
                </c:pt>
                <c:pt idx="169">
                  <c:v>0.23472199999999999</c:v>
                </c:pt>
                <c:pt idx="170">
                  <c:v>0.23611099999999999</c:v>
                </c:pt>
                <c:pt idx="171">
                  <c:v>0.23749999999999999</c:v>
                </c:pt>
                <c:pt idx="172">
                  <c:v>0.23888899999999999</c:v>
                </c:pt>
                <c:pt idx="173">
                  <c:v>0.24027799999999999</c:v>
                </c:pt>
                <c:pt idx="174">
                  <c:v>0.24166699999999999</c:v>
                </c:pt>
                <c:pt idx="175">
                  <c:v>0.24305599999999999</c:v>
                </c:pt>
                <c:pt idx="176">
                  <c:v>0.24444399999999999</c:v>
                </c:pt>
                <c:pt idx="177">
                  <c:v>0.245833</c:v>
                </c:pt>
                <c:pt idx="178">
                  <c:v>0.247222</c:v>
                </c:pt>
                <c:pt idx="179">
                  <c:v>0.248611</c:v>
                </c:pt>
                <c:pt idx="180">
                  <c:v>0.25</c:v>
                </c:pt>
                <c:pt idx="181">
                  <c:v>0.25138899999999997</c:v>
                </c:pt>
                <c:pt idx="182">
                  <c:v>0.252778</c:v>
                </c:pt>
                <c:pt idx="183">
                  <c:v>0.25416699999999998</c:v>
                </c:pt>
                <c:pt idx="184">
                  <c:v>0.25555600000000001</c:v>
                </c:pt>
                <c:pt idx="185">
                  <c:v>0.25694400000000001</c:v>
                </c:pt>
                <c:pt idx="186">
                  <c:v>0.25833299999999998</c:v>
                </c:pt>
                <c:pt idx="187">
                  <c:v>0.25972200000000001</c:v>
                </c:pt>
                <c:pt idx="188">
                  <c:v>0.26111099999999998</c:v>
                </c:pt>
                <c:pt idx="189">
                  <c:v>0.26250000000000001</c:v>
                </c:pt>
                <c:pt idx="190">
                  <c:v>0.26388899999999998</c:v>
                </c:pt>
                <c:pt idx="191">
                  <c:v>0.26527800000000001</c:v>
                </c:pt>
                <c:pt idx="192">
                  <c:v>0.26666699999999999</c:v>
                </c:pt>
                <c:pt idx="193">
                  <c:v>0.26805600000000002</c:v>
                </c:pt>
                <c:pt idx="194">
                  <c:v>0.26944400000000002</c:v>
                </c:pt>
                <c:pt idx="195">
                  <c:v>0.27083299999999999</c:v>
                </c:pt>
                <c:pt idx="196">
                  <c:v>0.27222200000000002</c:v>
                </c:pt>
                <c:pt idx="197">
                  <c:v>0.27361099999999999</c:v>
                </c:pt>
                <c:pt idx="198">
                  <c:v>0.27500000000000002</c:v>
                </c:pt>
                <c:pt idx="199">
                  <c:v>0.276389</c:v>
                </c:pt>
                <c:pt idx="200">
                  <c:v>0.27777800000000002</c:v>
                </c:pt>
                <c:pt idx="201">
                  <c:v>0.279167</c:v>
                </c:pt>
                <c:pt idx="202">
                  <c:v>0.28055600000000003</c:v>
                </c:pt>
                <c:pt idx="203">
                  <c:v>0.28194399999999997</c:v>
                </c:pt>
                <c:pt idx="204">
                  <c:v>0.283333</c:v>
                </c:pt>
                <c:pt idx="205">
                  <c:v>0.28472199999999998</c:v>
                </c:pt>
                <c:pt idx="206">
                  <c:v>0.286111</c:v>
                </c:pt>
                <c:pt idx="207">
                  <c:v>0.28749999999999998</c:v>
                </c:pt>
                <c:pt idx="208">
                  <c:v>0.28888900000000001</c:v>
                </c:pt>
                <c:pt idx="209">
                  <c:v>0.29027799999999998</c:v>
                </c:pt>
                <c:pt idx="210">
                  <c:v>0.29166700000000001</c:v>
                </c:pt>
                <c:pt idx="211">
                  <c:v>0.29305599999999998</c:v>
                </c:pt>
                <c:pt idx="212">
                  <c:v>0.29444399999999998</c:v>
                </c:pt>
                <c:pt idx="213">
                  <c:v>0.29583300000000001</c:v>
                </c:pt>
                <c:pt idx="214">
                  <c:v>0.29722199999999999</c:v>
                </c:pt>
                <c:pt idx="215">
                  <c:v>0.29861100000000002</c:v>
                </c:pt>
                <c:pt idx="216">
                  <c:v>0.3</c:v>
                </c:pt>
                <c:pt idx="217">
                  <c:v>0.30138900000000002</c:v>
                </c:pt>
                <c:pt idx="218">
                  <c:v>0.30277799999999999</c:v>
                </c:pt>
                <c:pt idx="219">
                  <c:v>0.30416700000000002</c:v>
                </c:pt>
                <c:pt idx="220">
                  <c:v>0.30555599999999999</c:v>
                </c:pt>
                <c:pt idx="221">
                  <c:v>0.30694399999999999</c:v>
                </c:pt>
                <c:pt idx="222">
                  <c:v>0.30833300000000002</c:v>
                </c:pt>
                <c:pt idx="223">
                  <c:v>0.309722</c:v>
                </c:pt>
                <c:pt idx="224">
                  <c:v>0.31111100000000003</c:v>
                </c:pt>
                <c:pt idx="225">
                  <c:v>0.3125</c:v>
                </c:pt>
                <c:pt idx="226">
                  <c:v>0.31388899999999997</c:v>
                </c:pt>
                <c:pt idx="227">
                  <c:v>0.315278</c:v>
                </c:pt>
                <c:pt idx="228">
                  <c:v>0.31666699999999998</c:v>
                </c:pt>
                <c:pt idx="229">
                  <c:v>0.31805600000000001</c:v>
                </c:pt>
                <c:pt idx="230">
                  <c:v>0.31944400000000001</c:v>
                </c:pt>
                <c:pt idx="231">
                  <c:v>0.32083299999999998</c:v>
                </c:pt>
                <c:pt idx="232">
                  <c:v>0.32222200000000001</c:v>
                </c:pt>
                <c:pt idx="233">
                  <c:v>0.32361099999999998</c:v>
                </c:pt>
                <c:pt idx="234">
                  <c:v>0.32500000000000001</c:v>
                </c:pt>
                <c:pt idx="235">
                  <c:v>0.32638899999999998</c:v>
                </c:pt>
                <c:pt idx="236">
                  <c:v>0.32777800000000001</c:v>
                </c:pt>
                <c:pt idx="237">
                  <c:v>0.32916699999999999</c:v>
                </c:pt>
                <c:pt idx="238">
                  <c:v>0.33055600000000002</c:v>
                </c:pt>
                <c:pt idx="239">
                  <c:v>0.33194400000000002</c:v>
                </c:pt>
                <c:pt idx="240">
                  <c:v>0.33333299999999999</c:v>
                </c:pt>
                <c:pt idx="241">
                  <c:v>0.33472200000000002</c:v>
                </c:pt>
                <c:pt idx="242">
                  <c:v>0.33611099999999999</c:v>
                </c:pt>
                <c:pt idx="243">
                  <c:v>0.33750000000000002</c:v>
                </c:pt>
                <c:pt idx="244">
                  <c:v>0.338889</c:v>
                </c:pt>
                <c:pt idx="245">
                  <c:v>0.34027800000000002</c:v>
                </c:pt>
                <c:pt idx="246">
                  <c:v>0.341667</c:v>
                </c:pt>
                <c:pt idx="247">
                  <c:v>0.34305600000000003</c:v>
                </c:pt>
                <c:pt idx="248">
                  <c:v>0.34444399999999997</c:v>
                </c:pt>
                <c:pt idx="249">
                  <c:v>0.345833</c:v>
                </c:pt>
                <c:pt idx="250">
                  <c:v>0.34722199999999998</c:v>
                </c:pt>
                <c:pt idx="251">
                  <c:v>0.348611</c:v>
                </c:pt>
                <c:pt idx="252">
                  <c:v>0.35</c:v>
                </c:pt>
                <c:pt idx="253">
                  <c:v>0.35138900000000001</c:v>
                </c:pt>
                <c:pt idx="254">
                  <c:v>0.35277799999999998</c:v>
                </c:pt>
                <c:pt idx="255">
                  <c:v>0.35416700000000001</c:v>
                </c:pt>
                <c:pt idx="256">
                  <c:v>0.35555599999999998</c:v>
                </c:pt>
                <c:pt idx="257">
                  <c:v>0.35694399999999998</c:v>
                </c:pt>
                <c:pt idx="258">
                  <c:v>0.35833300000000001</c:v>
                </c:pt>
                <c:pt idx="259">
                  <c:v>0.35972199999999999</c:v>
                </c:pt>
                <c:pt idx="260">
                  <c:v>0.36111100000000002</c:v>
                </c:pt>
                <c:pt idx="261">
                  <c:v>0.36249999999999999</c:v>
                </c:pt>
                <c:pt idx="262">
                  <c:v>0.36388900000000002</c:v>
                </c:pt>
                <c:pt idx="263">
                  <c:v>0.36527799999999999</c:v>
                </c:pt>
                <c:pt idx="264">
                  <c:v>0.36666700000000002</c:v>
                </c:pt>
                <c:pt idx="265">
                  <c:v>0.36805599999999999</c:v>
                </c:pt>
                <c:pt idx="266">
                  <c:v>0.36944399999999999</c:v>
                </c:pt>
                <c:pt idx="267">
                  <c:v>0.37083300000000002</c:v>
                </c:pt>
                <c:pt idx="268">
                  <c:v>0.372222</c:v>
                </c:pt>
                <c:pt idx="269">
                  <c:v>0.37361100000000003</c:v>
                </c:pt>
                <c:pt idx="270">
                  <c:v>0.375</c:v>
                </c:pt>
                <c:pt idx="271">
                  <c:v>0.37638899999999997</c:v>
                </c:pt>
                <c:pt idx="272">
                  <c:v>0.377778</c:v>
                </c:pt>
                <c:pt idx="273">
                  <c:v>0.37916699999999998</c:v>
                </c:pt>
                <c:pt idx="274">
                  <c:v>0.38055600000000001</c:v>
                </c:pt>
                <c:pt idx="275">
                  <c:v>0.38194400000000001</c:v>
                </c:pt>
                <c:pt idx="276">
                  <c:v>0.38333299999999998</c:v>
                </c:pt>
                <c:pt idx="277">
                  <c:v>0.38472200000000001</c:v>
                </c:pt>
                <c:pt idx="278">
                  <c:v>0.38611099999999998</c:v>
                </c:pt>
                <c:pt idx="279">
                  <c:v>0.38750000000000001</c:v>
                </c:pt>
                <c:pt idx="280">
                  <c:v>0.38888899999999998</c:v>
                </c:pt>
                <c:pt idx="281">
                  <c:v>0.39027800000000001</c:v>
                </c:pt>
                <c:pt idx="282">
                  <c:v>0.39166699999999999</c:v>
                </c:pt>
                <c:pt idx="283">
                  <c:v>0.39305600000000002</c:v>
                </c:pt>
                <c:pt idx="284">
                  <c:v>0.39444400000000002</c:v>
                </c:pt>
                <c:pt idx="285">
                  <c:v>0.39583299999999999</c:v>
                </c:pt>
                <c:pt idx="286">
                  <c:v>0.39722200000000002</c:v>
                </c:pt>
                <c:pt idx="287">
                  <c:v>0.39861099999999999</c:v>
                </c:pt>
                <c:pt idx="288">
                  <c:v>0.4</c:v>
                </c:pt>
                <c:pt idx="289">
                  <c:v>0.401389</c:v>
                </c:pt>
                <c:pt idx="290">
                  <c:v>0.40277800000000002</c:v>
                </c:pt>
                <c:pt idx="291">
                  <c:v>0.404167</c:v>
                </c:pt>
                <c:pt idx="292">
                  <c:v>0.40555600000000003</c:v>
                </c:pt>
                <c:pt idx="293">
                  <c:v>0.40694399999999997</c:v>
                </c:pt>
                <c:pt idx="294">
                  <c:v>0.408333</c:v>
                </c:pt>
                <c:pt idx="295">
                  <c:v>0.40972199999999998</c:v>
                </c:pt>
                <c:pt idx="296">
                  <c:v>0.411111</c:v>
                </c:pt>
                <c:pt idx="297">
                  <c:v>0.41249999999999998</c:v>
                </c:pt>
                <c:pt idx="298">
                  <c:v>0.41388900000000001</c:v>
                </c:pt>
                <c:pt idx="299">
                  <c:v>0.41527799999999998</c:v>
                </c:pt>
                <c:pt idx="300">
                  <c:v>0.41666700000000001</c:v>
                </c:pt>
                <c:pt idx="301">
                  <c:v>0.41805599999999998</c:v>
                </c:pt>
                <c:pt idx="302">
                  <c:v>0.41944399999999998</c:v>
                </c:pt>
                <c:pt idx="303">
                  <c:v>0.42083300000000001</c:v>
                </c:pt>
                <c:pt idx="304">
                  <c:v>0.42222199999999999</c:v>
                </c:pt>
                <c:pt idx="305">
                  <c:v>0.42361100000000002</c:v>
                </c:pt>
                <c:pt idx="306">
                  <c:v>0.42499999999999999</c:v>
                </c:pt>
                <c:pt idx="307">
                  <c:v>0.42638900000000002</c:v>
                </c:pt>
                <c:pt idx="308">
                  <c:v>0.42777799999999999</c:v>
                </c:pt>
                <c:pt idx="309">
                  <c:v>0.42916700000000002</c:v>
                </c:pt>
                <c:pt idx="310">
                  <c:v>0.43055599999999999</c:v>
                </c:pt>
                <c:pt idx="311">
                  <c:v>0.43194399999999999</c:v>
                </c:pt>
                <c:pt idx="312">
                  <c:v>0.43333300000000002</c:v>
                </c:pt>
                <c:pt idx="313">
                  <c:v>0.434722</c:v>
                </c:pt>
                <c:pt idx="314">
                  <c:v>0.43611100000000003</c:v>
                </c:pt>
                <c:pt idx="315">
                  <c:v>0.4375</c:v>
                </c:pt>
                <c:pt idx="316">
                  <c:v>0.43888899999999997</c:v>
                </c:pt>
                <c:pt idx="317">
                  <c:v>0.440278</c:v>
                </c:pt>
                <c:pt idx="318">
                  <c:v>0.44166699999999998</c:v>
                </c:pt>
                <c:pt idx="319">
                  <c:v>0.44305600000000001</c:v>
                </c:pt>
                <c:pt idx="320">
                  <c:v>0.44444400000000001</c:v>
                </c:pt>
                <c:pt idx="321">
                  <c:v>0.44583299999999998</c:v>
                </c:pt>
                <c:pt idx="322">
                  <c:v>0.44722200000000001</c:v>
                </c:pt>
                <c:pt idx="323">
                  <c:v>0.44861099999999998</c:v>
                </c:pt>
                <c:pt idx="324">
                  <c:v>0.45</c:v>
                </c:pt>
                <c:pt idx="325">
                  <c:v>0.45138899999999998</c:v>
                </c:pt>
                <c:pt idx="326">
                  <c:v>0.45277800000000001</c:v>
                </c:pt>
                <c:pt idx="327">
                  <c:v>0.45416699999999999</c:v>
                </c:pt>
                <c:pt idx="328">
                  <c:v>0.45555600000000002</c:v>
                </c:pt>
                <c:pt idx="329">
                  <c:v>0.45694400000000002</c:v>
                </c:pt>
                <c:pt idx="330">
                  <c:v>0.45833299999999999</c:v>
                </c:pt>
                <c:pt idx="331">
                  <c:v>0.45972200000000002</c:v>
                </c:pt>
                <c:pt idx="332">
                  <c:v>0.46111099999999999</c:v>
                </c:pt>
                <c:pt idx="333">
                  <c:v>0.46250000000000002</c:v>
                </c:pt>
                <c:pt idx="334">
                  <c:v>0.463889</c:v>
                </c:pt>
                <c:pt idx="335">
                  <c:v>0.46527800000000002</c:v>
                </c:pt>
                <c:pt idx="336">
                  <c:v>0.466667</c:v>
                </c:pt>
                <c:pt idx="337">
                  <c:v>0.46805600000000003</c:v>
                </c:pt>
                <c:pt idx="338">
                  <c:v>0.46944399999999997</c:v>
                </c:pt>
                <c:pt idx="339">
                  <c:v>0.470833</c:v>
                </c:pt>
                <c:pt idx="340">
                  <c:v>0.47222199999999998</c:v>
                </c:pt>
                <c:pt idx="341">
                  <c:v>0.473611</c:v>
                </c:pt>
                <c:pt idx="342">
                  <c:v>0.47499999999999998</c:v>
                </c:pt>
                <c:pt idx="343">
                  <c:v>0.47638900000000001</c:v>
                </c:pt>
                <c:pt idx="344">
                  <c:v>0.47777799999999998</c:v>
                </c:pt>
                <c:pt idx="345">
                  <c:v>0.47916700000000001</c:v>
                </c:pt>
                <c:pt idx="346">
                  <c:v>0.48055599999999998</c:v>
                </c:pt>
                <c:pt idx="347">
                  <c:v>0.48194399999999998</c:v>
                </c:pt>
                <c:pt idx="348">
                  <c:v>0.48333300000000001</c:v>
                </c:pt>
                <c:pt idx="349">
                  <c:v>0.48472199999999999</c:v>
                </c:pt>
                <c:pt idx="350">
                  <c:v>0.48611100000000002</c:v>
                </c:pt>
                <c:pt idx="351">
                  <c:v>0.48749999999999999</c:v>
                </c:pt>
                <c:pt idx="352">
                  <c:v>0.48888900000000002</c:v>
                </c:pt>
                <c:pt idx="353">
                  <c:v>0.49027799999999999</c:v>
                </c:pt>
                <c:pt idx="354">
                  <c:v>0.49166700000000002</c:v>
                </c:pt>
                <c:pt idx="355">
                  <c:v>0.49305599999999999</c:v>
                </c:pt>
                <c:pt idx="356">
                  <c:v>0.49444399999999999</c:v>
                </c:pt>
                <c:pt idx="357">
                  <c:v>0.49583300000000002</c:v>
                </c:pt>
                <c:pt idx="358">
                  <c:v>0.497222</c:v>
                </c:pt>
                <c:pt idx="359">
                  <c:v>0.49861100000000003</c:v>
                </c:pt>
                <c:pt idx="360">
                  <c:v>0.5</c:v>
                </c:pt>
                <c:pt idx="361">
                  <c:v>0.50138899999999997</c:v>
                </c:pt>
                <c:pt idx="362">
                  <c:v>0.50277799999999995</c:v>
                </c:pt>
                <c:pt idx="363">
                  <c:v>0.50416700000000003</c:v>
                </c:pt>
                <c:pt idx="364">
                  <c:v>0.50555600000000001</c:v>
                </c:pt>
                <c:pt idx="365">
                  <c:v>0.50694399999999995</c:v>
                </c:pt>
                <c:pt idx="366">
                  <c:v>0.50833300000000003</c:v>
                </c:pt>
                <c:pt idx="367">
                  <c:v>0.50972200000000001</c:v>
                </c:pt>
                <c:pt idx="368">
                  <c:v>0.51111099999999998</c:v>
                </c:pt>
                <c:pt idx="369">
                  <c:v>0.51249999999999996</c:v>
                </c:pt>
                <c:pt idx="370">
                  <c:v>0.51388900000000004</c:v>
                </c:pt>
                <c:pt idx="371">
                  <c:v>0.51527800000000001</c:v>
                </c:pt>
                <c:pt idx="372">
                  <c:v>0.51666699999999999</c:v>
                </c:pt>
                <c:pt idx="373">
                  <c:v>0.51805599999999996</c:v>
                </c:pt>
                <c:pt idx="374">
                  <c:v>0.51944400000000002</c:v>
                </c:pt>
                <c:pt idx="375">
                  <c:v>0.52083299999999999</c:v>
                </c:pt>
                <c:pt idx="376">
                  <c:v>0.52222199999999996</c:v>
                </c:pt>
                <c:pt idx="377">
                  <c:v>0.52361100000000005</c:v>
                </c:pt>
                <c:pt idx="378">
                  <c:v>0.52500000000000002</c:v>
                </c:pt>
                <c:pt idx="379">
                  <c:v>0.526389</c:v>
                </c:pt>
                <c:pt idx="380">
                  <c:v>0.52777799999999997</c:v>
                </c:pt>
                <c:pt idx="381">
                  <c:v>0.52916700000000005</c:v>
                </c:pt>
                <c:pt idx="382">
                  <c:v>0.53055600000000003</c:v>
                </c:pt>
                <c:pt idx="383">
                  <c:v>0.53194399999999997</c:v>
                </c:pt>
                <c:pt idx="384">
                  <c:v>0.53333299999999995</c:v>
                </c:pt>
                <c:pt idx="385">
                  <c:v>0.53472200000000003</c:v>
                </c:pt>
                <c:pt idx="386">
                  <c:v>0.536111</c:v>
                </c:pt>
                <c:pt idx="387">
                  <c:v>0.53749999999999998</c:v>
                </c:pt>
                <c:pt idx="388">
                  <c:v>0.53888899999999995</c:v>
                </c:pt>
                <c:pt idx="389">
                  <c:v>0.54027800000000004</c:v>
                </c:pt>
                <c:pt idx="390">
                  <c:v>0.54166700000000001</c:v>
                </c:pt>
                <c:pt idx="391">
                  <c:v>0.54305599999999998</c:v>
                </c:pt>
                <c:pt idx="392">
                  <c:v>0.54444400000000004</c:v>
                </c:pt>
                <c:pt idx="393">
                  <c:v>0.54583300000000001</c:v>
                </c:pt>
                <c:pt idx="394">
                  <c:v>0.54722199999999999</c:v>
                </c:pt>
                <c:pt idx="395">
                  <c:v>0.54861099999999996</c:v>
                </c:pt>
                <c:pt idx="396">
                  <c:v>0.55000000000000004</c:v>
                </c:pt>
                <c:pt idx="397">
                  <c:v>0.55138900000000002</c:v>
                </c:pt>
                <c:pt idx="398">
                  <c:v>0.55277799999999999</c:v>
                </c:pt>
                <c:pt idx="399">
                  <c:v>0.55416699999999997</c:v>
                </c:pt>
                <c:pt idx="400">
                  <c:v>0.55555600000000005</c:v>
                </c:pt>
                <c:pt idx="401">
                  <c:v>0.55694399999999999</c:v>
                </c:pt>
                <c:pt idx="402">
                  <c:v>0.55833299999999997</c:v>
                </c:pt>
                <c:pt idx="403">
                  <c:v>0.55972200000000005</c:v>
                </c:pt>
                <c:pt idx="404">
                  <c:v>0.56111100000000003</c:v>
                </c:pt>
                <c:pt idx="405">
                  <c:v>0.5625</c:v>
                </c:pt>
                <c:pt idx="406">
                  <c:v>0.56388899999999997</c:v>
                </c:pt>
                <c:pt idx="407">
                  <c:v>0.56527799999999995</c:v>
                </c:pt>
                <c:pt idx="408">
                  <c:v>0.56666700000000003</c:v>
                </c:pt>
                <c:pt idx="409">
                  <c:v>0.56805600000000001</c:v>
                </c:pt>
                <c:pt idx="410">
                  <c:v>0.56944399999999995</c:v>
                </c:pt>
                <c:pt idx="411">
                  <c:v>0.57083300000000003</c:v>
                </c:pt>
                <c:pt idx="412">
                  <c:v>0.57222200000000001</c:v>
                </c:pt>
                <c:pt idx="413">
                  <c:v>0.57361099999999998</c:v>
                </c:pt>
                <c:pt idx="414">
                  <c:v>0.57499999999999996</c:v>
                </c:pt>
                <c:pt idx="415">
                  <c:v>0.57638900000000004</c:v>
                </c:pt>
                <c:pt idx="416">
                  <c:v>0.57777800000000001</c:v>
                </c:pt>
                <c:pt idx="417">
                  <c:v>0.57916699999999999</c:v>
                </c:pt>
                <c:pt idx="418">
                  <c:v>0.58055599999999996</c:v>
                </c:pt>
                <c:pt idx="419">
                  <c:v>0.58194400000000002</c:v>
                </c:pt>
                <c:pt idx="420">
                  <c:v>0.58333299999999999</c:v>
                </c:pt>
                <c:pt idx="421">
                  <c:v>0.58472199999999996</c:v>
                </c:pt>
                <c:pt idx="422">
                  <c:v>0.58611100000000005</c:v>
                </c:pt>
                <c:pt idx="423">
                  <c:v>0.58750000000000002</c:v>
                </c:pt>
                <c:pt idx="424">
                  <c:v>0.588889</c:v>
                </c:pt>
                <c:pt idx="425">
                  <c:v>0.59027799999999997</c:v>
                </c:pt>
                <c:pt idx="426">
                  <c:v>0.59166700000000005</c:v>
                </c:pt>
                <c:pt idx="427">
                  <c:v>0.59305600000000003</c:v>
                </c:pt>
                <c:pt idx="428">
                  <c:v>0.59444399999999997</c:v>
                </c:pt>
                <c:pt idx="429">
                  <c:v>0.59583299999999995</c:v>
                </c:pt>
                <c:pt idx="430">
                  <c:v>0.59722200000000003</c:v>
                </c:pt>
                <c:pt idx="431">
                  <c:v>0.598611</c:v>
                </c:pt>
                <c:pt idx="432">
                  <c:v>0.6</c:v>
                </c:pt>
                <c:pt idx="433">
                  <c:v>0.60138899999999995</c:v>
                </c:pt>
                <c:pt idx="434">
                  <c:v>0.60277800000000004</c:v>
                </c:pt>
                <c:pt idx="435">
                  <c:v>0.60416700000000001</c:v>
                </c:pt>
                <c:pt idx="436">
                  <c:v>0.60555599999999998</c:v>
                </c:pt>
                <c:pt idx="437">
                  <c:v>0.60694400000000004</c:v>
                </c:pt>
                <c:pt idx="438">
                  <c:v>0.60833300000000001</c:v>
                </c:pt>
                <c:pt idx="439">
                  <c:v>0.60972199999999999</c:v>
                </c:pt>
                <c:pt idx="440">
                  <c:v>0.61111099999999996</c:v>
                </c:pt>
                <c:pt idx="441">
                  <c:v>0.61250000000000004</c:v>
                </c:pt>
                <c:pt idx="442">
                  <c:v>0.61388900000000002</c:v>
                </c:pt>
                <c:pt idx="443">
                  <c:v>0.61527799999999999</c:v>
                </c:pt>
                <c:pt idx="444">
                  <c:v>0.61666699999999997</c:v>
                </c:pt>
                <c:pt idx="445">
                  <c:v>0.61805600000000005</c:v>
                </c:pt>
                <c:pt idx="446">
                  <c:v>0.61944399999999999</c:v>
                </c:pt>
                <c:pt idx="447">
                  <c:v>0.62083299999999997</c:v>
                </c:pt>
                <c:pt idx="448">
                  <c:v>0.62222200000000005</c:v>
                </c:pt>
                <c:pt idx="449">
                  <c:v>0.62361100000000003</c:v>
                </c:pt>
                <c:pt idx="450">
                  <c:v>0.625</c:v>
                </c:pt>
                <c:pt idx="451">
                  <c:v>0.62638899999999997</c:v>
                </c:pt>
                <c:pt idx="452">
                  <c:v>0.62777799999999995</c:v>
                </c:pt>
                <c:pt idx="453">
                  <c:v>0.62916700000000003</c:v>
                </c:pt>
                <c:pt idx="454">
                  <c:v>0.63055600000000001</c:v>
                </c:pt>
                <c:pt idx="455">
                  <c:v>0.63194399999999995</c:v>
                </c:pt>
                <c:pt idx="456">
                  <c:v>0.63333300000000003</c:v>
                </c:pt>
                <c:pt idx="457">
                  <c:v>0.63472200000000001</c:v>
                </c:pt>
                <c:pt idx="458">
                  <c:v>0.63611099999999998</c:v>
                </c:pt>
                <c:pt idx="459">
                  <c:v>0.63749999999999996</c:v>
                </c:pt>
                <c:pt idx="460">
                  <c:v>0.63888900000000004</c:v>
                </c:pt>
                <c:pt idx="461">
                  <c:v>0.64027800000000001</c:v>
                </c:pt>
                <c:pt idx="462">
                  <c:v>0.64166699999999999</c:v>
                </c:pt>
                <c:pt idx="463">
                  <c:v>0.64305599999999996</c:v>
                </c:pt>
                <c:pt idx="464">
                  <c:v>0.64444400000000002</c:v>
                </c:pt>
                <c:pt idx="465">
                  <c:v>0.64583299999999999</c:v>
                </c:pt>
                <c:pt idx="466">
                  <c:v>0.64722199999999996</c:v>
                </c:pt>
                <c:pt idx="467">
                  <c:v>0.64861100000000005</c:v>
                </c:pt>
                <c:pt idx="468">
                  <c:v>0.65</c:v>
                </c:pt>
                <c:pt idx="469">
                  <c:v>0.651389</c:v>
                </c:pt>
                <c:pt idx="470">
                  <c:v>0.65277799999999997</c:v>
                </c:pt>
                <c:pt idx="471">
                  <c:v>0.65416700000000005</c:v>
                </c:pt>
                <c:pt idx="472">
                  <c:v>0.65555600000000003</c:v>
                </c:pt>
                <c:pt idx="473">
                  <c:v>0.65694399999999997</c:v>
                </c:pt>
                <c:pt idx="474">
                  <c:v>0.65833299999999995</c:v>
                </c:pt>
                <c:pt idx="475">
                  <c:v>0.65972200000000003</c:v>
                </c:pt>
                <c:pt idx="476">
                  <c:v>0.661111</c:v>
                </c:pt>
                <c:pt idx="477">
                  <c:v>0.66249999999999998</c:v>
                </c:pt>
                <c:pt idx="478">
                  <c:v>0.66388899999999995</c:v>
                </c:pt>
                <c:pt idx="479">
                  <c:v>0.66527800000000004</c:v>
                </c:pt>
                <c:pt idx="480">
                  <c:v>0.66666700000000001</c:v>
                </c:pt>
                <c:pt idx="481">
                  <c:v>0.66805599999999998</c:v>
                </c:pt>
                <c:pt idx="482">
                  <c:v>0.66944400000000004</c:v>
                </c:pt>
                <c:pt idx="483">
                  <c:v>0.67083300000000001</c:v>
                </c:pt>
                <c:pt idx="484">
                  <c:v>0.67222199999999999</c:v>
                </c:pt>
                <c:pt idx="485">
                  <c:v>0.67361099999999996</c:v>
                </c:pt>
                <c:pt idx="486">
                  <c:v>0.67500000000000004</c:v>
                </c:pt>
                <c:pt idx="487">
                  <c:v>0.67638900000000002</c:v>
                </c:pt>
                <c:pt idx="488">
                  <c:v>0.67777799999999999</c:v>
                </c:pt>
                <c:pt idx="489">
                  <c:v>0.67916699999999997</c:v>
                </c:pt>
                <c:pt idx="490">
                  <c:v>0.68055600000000005</c:v>
                </c:pt>
                <c:pt idx="491">
                  <c:v>0.68194399999999999</c:v>
                </c:pt>
                <c:pt idx="492">
                  <c:v>0.68333299999999997</c:v>
                </c:pt>
                <c:pt idx="493">
                  <c:v>0.68472200000000005</c:v>
                </c:pt>
                <c:pt idx="494">
                  <c:v>0.68611100000000003</c:v>
                </c:pt>
                <c:pt idx="495">
                  <c:v>0.6875</c:v>
                </c:pt>
                <c:pt idx="496">
                  <c:v>0.68888899999999997</c:v>
                </c:pt>
                <c:pt idx="497">
                  <c:v>0.69027799999999995</c:v>
                </c:pt>
                <c:pt idx="498">
                  <c:v>0.69166700000000003</c:v>
                </c:pt>
                <c:pt idx="499">
                  <c:v>0.69305600000000001</c:v>
                </c:pt>
                <c:pt idx="500">
                  <c:v>0.69444399999999995</c:v>
                </c:pt>
                <c:pt idx="501">
                  <c:v>0.69583300000000003</c:v>
                </c:pt>
                <c:pt idx="502">
                  <c:v>0.69722200000000001</c:v>
                </c:pt>
                <c:pt idx="503">
                  <c:v>0.69861099999999998</c:v>
                </c:pt>
                <c:pt idx="504">
                  <c:v>0.7</c:v>
                </c:pt>
                <c:pt idx="505">
                  <c:v>0.70138900000000004</c:v>
                </c:pt>
                <c:pt idx="506">
                  <c:v>0.70277800000000001</c:v>
                </c:pt>
                <c:pt idx="507">
                  <c:v>0.70416699999999999</c:v>
                </c:pt>
                <c:pt idx="508">
                  <c:v>0.70555599999999996</c:v>
                </c:pt>
                <c:pt idx="509">
                  <c:v>0.70694400000000002</c:v>
                </c:pt>
                <c:pt idx="510">
                  <c:v>0.70833299999999999</c:v>
                </c:pt>
                <c:pt idx="511">
                  <c:v>0.70972199999999996</c:v>
                </c:pt>
                <c:pt idx="512">
                  <c:v>0.71111100000000005</c:v>
                </c:pt>
                <c:pt idx="513">
                  <c:v>0.71250000000000002</c:v>
                </c:pt>
                <c:pt idx="514">
                  <c:v>0.713889</c:v>
                </c:pt>
                <c:pt idx="515">
                  <c:v>0.71527799999999997</c:v>
                </c:pt>
                <c:pt idx="516">
                  <c:v>0.71666700000000005</c:v>
                </c:pt>
                <c:pt idx="517">
                  <c:v>0.71805600000000003</c:v>
                </c:pt>
                <c:pt idx="518">
                  <c:v>0.71944399999999997</c:v>
                </c:pt>
                <c:pt idx="519">
                  <c:v>0.72083299999999995</c:v>
                </c:pt>
                <c:pt idx="520">
                  <c:v>0.72222200000000003</c:v>
                </c:pt>
                <c:pt idx="521">
                  <c:v>0.723611</c:v>
                </c:pt>
                <c:pt idx="522">
                  <c:v>0.72499999999999998</c:v>
                </c:pt>
                <c:pt idx="523">
                  <c:v>0.72638899999999995</c:v>
                </c:pt>
                <c:pt idx="524">
                  <c:v>0.72777800000000004</c:v>
                </c:pt>
                <c:pt idx="525">
                  <c:v>0.72916700000000001</c:v>
                </c:pt>
                <c:pt idx="526">
                  <c:v>0.73055599999999998</c:v>
                </c:pt>
                <c:pt idx="527">
                  <c:v>0.73194400000000004</c:v>
                </c:pt>
                <c:pt idx="528">
                  <c:v>0.73333300000000001</c:v>
                </c:pt>
                <c:pt idx="529">
                  <c:v>0.73472199999999999</c:v>
                </c:pt>
                <c:pt idx="530">
                  <c:v>0.73611099999999996</c:v>
                </c:pt>
                <c:pt idx="531">
                  <c:v>0.73750000000000004</c:v>
                </c:pt>
                <c:pt idx="532">
                  <c:v>0.73888900000000002</c:v>
                </c:pt>
                <c:pt idx="533">
                  <c:v>0.74027799999999999</c:v>
                </c:pt>
                <c:pt idx="534">
                  <c:v>0.74166699999999997</c:v>
                </c:pt>
                <c:pt idx="535">
                  <c:v>0.74305600000000005</c:v>
                </c:pt>
                <c:pt idx="536">
                  <c:v>0.74444399999999999</c:v>
                </c:pt>
                <c:pt idx="537">
                  <c:v>0.74583299999999997</c:v>
                </c:pt>
                <c:pt idx="538">
                  <c:v>0.74722200000000005</c:v>
                </c:pt>
                <c:pt idx="539">
                  <c:v>0.74861100000000003</c:v>
                </c:pt>
                <c:pt idx="540">
                  <c:v>0.75</c:v>
                </c:pt>
                <c:pt idx="541">
                  <c:v>0.75138899999999997</c:v>
                </c:pt>
                <c:pt idx="542">
                  <c:v>0.75277799999999995</c:v>
                </c:pt>
                <c:pt idx="543">
                  <c:v>0.75416700000000003</c:v>
                </c:pt>
                <c:pt idx="544">
                  <c:v>0.75555600000000001</c:v>
                </c:pt>
                <c:pt idx="545">
                  <c:v>0.75694399999999995</c:v>
                </c:pt>
                <c:pt idx="546">
                  <c:v>0.75833300000000003</c:v>
                </c:pt>
                <c:pt idx="547">
                  <c:v>0.75972200000000001</c:v>
                </c:pt>
                <c:pt idx="548">
                  <c:v>0.76111099999999998</c:v>
                </c:pt>
                <c:pt idx="549">
                  <c:v>0.76249999999999996</c:v>
                </c:pt>
                <c:pt idx="550">
                  <c:v>0.76388900000000004</c:v>
                </c:pt>
                <c:pt idx="551">
                  <c:v>0.76527800000000001</c:v>
                </c:pt>
                <c:pt idx="552">
                  <c:v>0.76666699999999999</c:v>
                </c:pt>
                <c:pt idx="553">
                  <c:v>0.76805599999999996</c:v>
                </c:pt>
                <c:pt idx="554">
                  <c:v>0.76944400000000002</c:v>
                </c:pt>
                <c:pt idx="555">
                  <c:v>0.77083299999999999</c:v>
                </c:pt>
                <c:pt idx="556">
                  <c:v>0.77222199999999996</c:v>
                </c:pt>
                <c:pt idx="557">
                  <c:v>0.77361100000000005</c:v>
                </c:pt>
                <c:pt idx="558">
                  <c:v>0.77500000000000002</c:v>
                </c:pt>
                <c:pt idx="559">
                  <c:v>0.776389</c:v>
                </c:pt>
                <c:pt idx="560">
                  <c:v>0.77777799999999997</c:v>
                </c:pt>
                <c:pt idx="561">
                  <c:v>0.77916700000000005</c:v>
                </c:pt>
                <c:pt idx="562">
                  <c:v>0.78055600000000003</c:v>
                </c:pt>
                <c:pt idx="563">
                  <c:v>0.78194399999999997</c:v>
                </c:pt>
                <c:pt idx="564">
                  <c:v>0.78333299999999995</c:v>
                </c:pt>
                <c:pt idx="565">
                  <c:v>0.78472200000000003</c:v>
                </c:pt>
                <c:pt idx="566">
                  <c:v>0.786111</c:v>
                </c:pt>
                <c:pt idx="567">
                  <c:v>0.78749999999999998</c:v>
                </c:pt>
                <c:pt idx="568">
                  <c:v>0.78888899999999995</c:v>
                </c:pt>
                <c:pt idx="569">
                  <c:v>0.79027800000000004</c:v>
                </c:pt>
                <c:pt idx="570">
                  <c:v>0.79166700000000001</c:v>
                </c:pt>
                <c:pt idx="571">
                  <c:v>0.79305599999999998</c:v>
                </c:pt>
                <c:pt idx="572">
                  <c:v>0.79444400000000004</c:v>
                </c:pt>
                <c:pt idx="573">
                  <c:v>0.79583300000000001</c:v>
                </c:pt>
                <c:pt idx="574">
                  <c:v>0.79722199999999999</c:v>
                </c:pt>
                <c:pt idx="575">
                  <c:v>0.79861099999999996</c:v>
                </c:pt>
                <c:pt idx="576">
                  <c:v>0.8</c:v>
                </c:pt>
                <c:pt idx="577">
                  <c:v>0.80138900000000002</c:v>
                </c:pt>
                <c:pt idx="578">
                  <c:v>0.80277799999999999</c:v>
                </c:pt>
                <c:pt idx="579">
                  <c:v>0.80416699999999997</c:v>
                </c:pt>
                <c:pt idx="580">
                  <c:v>0.80555600000000005</c:v>
                </c:pt>
                <c:pt idx="581">
                  <c:v>0.80694399999999999</c:v>
                </c:pt>
                <c:pt idx="582">
                  <c:v>0.80833299999999997</c:v>
                </c:pt>
                <c:pt idx="583">
                  <c:v>0.80972200000000005</c:v>
                </c:pt>
                <c:pt idx="584">
                  <c:v>0.81111100000000003</c:v>
                </c:pt>
                <c:pt idx="585">
                  <c:v>0.8125</c:v>
                </c:pt>
                <c:pt idx="586">
                  <c:v>0.81388899999999997</c:v>
                </c:pt>
                <c:pt idx="587">
                  <c:v>0.81527799999999995</c:v>
                </c:pt>
                <c:pt idx="588">
                  <c:v>0.81666700000000003</c:v>
                </c:pt>
                <c:pt idx="589">
                  <c:v>0.81805600000000001</c:v>
                </c:pt>
                <c:pt idx="590">
                  <c:v>0.81944399999999995</c:v>
                </c:pt>
                <c:pt idx="591">
                  <c:v>0.82083300000000003</c:v>
                </c:pt>
                <c:pt idx="592">
                  <c:v>0.82222200000000001</c:v>
                </c:pt>
                <c:pt idx="593">
                  <c:v>0.82361099999999998</c:v>
                </c:pt>
                <c:pt idx="594">
                  <c:v>0.82499999999999996</c:v>
                </c:pt>
                <c:pt idx="595">
                  <c:v>0.82638900000000004</c:v>
                </c:pt>
                <c:pt idx="596">
                  <c:v>0.82777800000000001</c:v>
                </c:pt>
                <c:pt idx="597">
                  <c:v>0.82916699999999999</c:v>
                </c:pt>
                <c:pt idx="598">
                  <c:v>0.83055599999999996</c:v>
                </c:pt>
                <c:pt idx="599">
                  <c:v>0.83194400000000002</c:v>
                </c:pt>
                <c:pt idx="600">
                  <c:v>0.83333299999999999</c:v>
                </c:pt>
                <c:pt idx="601">
                  <c:v>0.83472199999999996</c:v>
                </c:pt>
                <c:pt idx="602">
                  <c:v>0.83611100000000005</c:v>
                </c:pt>
                <c:pt idx="603">
                  <c:v>0.83750000000000002</c:v>
                </c:pt>
                <c:pt idx="604">
                  <c:v>0.838889</c:v>
                </c:pt>
                <c:pt idx="605">
                  <c:v>0.84027799999999997</c:v>
                </c:pt>
                <c:pt idx="606">
                  <c:v>0.84166700000000005</c:v>
                </c:pt>
                <c:pt idx="607">
                  <c:v>0.84305600000000003</c:v>
                </c:pt>
                <c:pt idx="608">
                  <c:v>0.84444399999999997</c:v>
                </c:pt>
                <c:pt idx="609">
                  <c:v>0.84583299999999995</c:v>
                </c:pt>
                <c:pt idx="610">
                  <c:v>0.84722200000000003</c:v>
                </c:pt>
                <c:pt idx="611">
                  <c:v>0.848611</c:v>
                </c:pt>
                <c:pt idx="612">
                  <c:v>0.85</c:v>
                </c:pt>
                <c:pt idx="613">
                  <c:v>0.85138899999999995</c:v>
                </c:pt>
                <c:pt idx="614">
                  <c:v>0.85277800000000004</c:v>
                </c:pt>
                <c:pt idx="615">
                  <c:v>0.85416700000000001</c:v>
                </c:pt>
                <c:pt idx="616">
                  <c:v>0.85555599999999998</c:v>
                </c:pt>
                <c:pt idx="617">
                  <c:v>0.85694400000000004</c:v>
                </c:pt>
                <c:pt idx="618">
                  <c:v>0.85833300000000001</c:v>
                </c:pt>
                <c:pt idx="619">
                  <c:v>0.85972199999999999</c:v>
                </c:pt>
                <c:pt idx="620">
                  <c:v>0.86111099999999996</c:v>
                </c:pt>
                <c:pt idx="621">
                  <c:v>0.86250000000000004</c:v>
                </c:pt>
                <c:pt idx="622">
                  <c:v>0.86388900000000002</c:v>
                </c:pt>
                <c:pt idx="623">
                  <c:v>0.86527799999999999</c:v>
                </c:pt>
                <c:pt idx="624">
                  <c:v>0.86666699999999997</c:v>
                </c:pt>
                <c:pt idx="625">
                  <c:v>0.86805600000000005</c:v>
                </c:pt>
                <c:pt idx="626">
                  <c:v>0.86944399999999999</c:v>
                </c:pt>
                <c:pt idx="627">
                  <c:v>0.87083299999999997</c:v>
                </c:pt>
                <c:pt idx="628">
                  <c:v>0.87222200000000005</c:v>
                </c:pt>
                <c:pt idx="629">
                  <c:v>0.87361100000000003</c:v>
                </c:pt>
                <c:pt idx="630">
                  <c:v>0.875</c:v>
                </c:pt>
                <c:pt idx="631">
                  <c:v>0.87638899999999997</c:v>
                </c:pt>
                <c:pt idx="632">
                  <c:v>0.87777799999999995</c:v>
                </c:pt>
                <c:pt idx="633">
                  <c:v>0.87916700000000003</c:v>
                </c:pt>
                <c:pt idx="634">
                  <c:v>0.88055600000000001</c:v>
                </c:pt>
                <c:pt idx="635">
                  <c:v>0.88194399999999995</c:v>
                </c:pt>
                <c:pt idx="636">
                  <c:v>0.88333300000000003</c:v>
                </c:pt>
                <c:pt idx="637">
                  <c:v>0.88472200000000001</c:v>
                </c:pt>
                <c:pt idx="638">
                  <c:v>0.88611099999999998</c:v>
                </c:pt>
                <c:pt idx="639">
                  <c:v>0.88749999999999996</c:v>
                </c:pt>
                <c:pt idx="640">
                  <c:v>0.88888900000000004</c:v>
                </c:pt>
                <c:pt idx="641">
                  <c:v>0.89027800000000001</c:v>
                </c:pt>
                <c:pt idx="642">
                  <c:v>0.89166699999999999</c:v>
                </c:pt>
                <c:pt idx="643">
                  <c:v>0.89305599999999996</c:v>
                </c:pt>
                <c:pt idx="644">
                  <c:v>0.89444400000000002</c:v>
                </c:pt>
                <c:pt idx="645">
                  <c:v>0.89583299999999999</c:v>
                </c:pt>
                <c:pt idx="646">
                  <c:v>0.89722199999999996</c:v>
                </c:pt>
                <c:pt idx="647">
                  <c:v>0.89861100000000005</c:v>
                </c:pt>
                <c:pt idx="648">
                  <c:v>0.9</c:v>
                </c:pt>
                <c:pt idx="649">
                  <c:v>0.901389</c:v>
                </c:pt>
                <c:pt idx="650">
                  <c:v>0.90277799999999997</c:v>
                </c:pt>
                <c:pt idx="651">
                  <c:v>0.90416700000000005</c:v>
                </c:pt>
                <c:pt idx="652">
                  <c:v>0.90555600000000003</c:v>
                </c:pt>
                <c:pt idx="653">
                  <c:v>0.90694399999999997</c:v>
                </c:pt>
                <c:pt idx="654">
                  <c:v>0.90833299999999995</c:v>
                </c:pt>
                <c:pt idx="655">
                  <c:v>0.90972200000000003</c:v>
                </c:pt>
                <c:pt idx="656">
                  <c:v>0.911111</c:v>
                </c:pt>
                <c:pt idx="657">
                  <c:v>0.91249999999999998</c:v>
                </c:pt>
                <c:pt idx="658">
                  <c:v>0.91388899999999995</c:v>
                </c:pt>
                <c:pt idx="659">
                  <c:v>0.91527800000000004</c:v>
                </c:pt>
                <c:pt idx="660">
                  <c:v>0.91666700000000001</c:v>
                </c:pt>
                <c:pt idx="661">
                  <c:v>0.91805599999999998</c:v>
                </c:pt>
                <c:pt idx="662">
                  <c:v>0.91944400000000004</c:v>
                </c:pt>
                <c:pt idx="663">
                  <c:v>0.92083300000000001</c:v>
                </c:pt>
                <c:pt idx="664">
                  <c:v>0.92222199999999999</c:v>
                </c:pt>
                <c:pt idx="665">
                  <c:v>0.92361099999999996</c:v>
                </c:pt>
                <c:pt idx="666">
                  <c:v>0.92500000000000004</c:v>
                </c:pt>
                <c:pt idx="667">
                  <c:v>0.92638900000000002</c:v>
                </c:pt>
                <c:pt idx="668">
                  <c:v>0.92777799999999999</c:v>
                </c:pt>
                <c:pt idx="669">
                  <c:v>0.92916699999999997</c:v>
                </c:pt>
                <c:pt idx="670">
                  <c:v>0.93055600000000005</c:v>
                </c:pt>
                <c:pt idx="671">
                  <c:v>0.93194399999999999</c:v>
                </c:pt>
                <c:pt idx="672">
                  <c:v>0.93333299999999997</c:v>
                </c:pt>
                <c:pt idx="673">
                  <c:v>0.93472200000000005</c:v>
                </c:pt>
                <c:pt idx="674">
                  <c:v>0.93611100000000003</c:v>
                </c:pt>
                <c:pt idx="675">
                  <c:v>0.9375</c:v>
                </c:pt>
                <c:pt idx="676">
                  <c:v>0.93888899999999997</c:v>
                </c:pt>
                <c:pt idx="677">
                  <c:v>0.94027799999999995</c:v>
                </c:pt>
                <c:pt idx="678">
                  <c:v>0.94166700000000003</c:v>
                </c:pt>
                <c:pt idx="679">
                  <c:v>0.94305600000000001</c:v>
                </c:pt>
                <c:pt idx="680">
                  <c:v>0.94444399999999995</c:v>
                </c:pt>
                <c:pt idx="681">
                  <c:v>0.94583300000000003</c:v>
                </c:pt>
                <c:pt idx="682">
                  <c:v>0.94722200000000001</c:v>
                </c:pt>
                <c:pt idx="683">
                  <c:v>0.94861099999999998</c:v>
                </c:pt>
                <c:pt idx="684">
                  <c:v>0.95</c:v>
                </c:pt>
                <c:pt idx="685">
                  <c:v>0.95138900000000004</c:v>
                </c:pt>
                <c:pt idx="686">
                  <c:v>0.95277800000000001</c:v>
                </c:pt>
                <c:pt idx="687">
                  <c:v>0.95416699999999999</c:v>
                </c:pt>
                <c:pt idx="688">
                  <c:v>0.95555599999999996</c:v>
                </c:pt>
                <c:pt idx="689">
                  <c:v>0.95694400000000002</c:v>
                </c:pt>
                <c:pt idx="690">
                  <c:v>0.95833299999999999</c:v>
                </c:pt>
                <c:pt idx="691">
                  <c:v>0.95972199999999996</c:v>
                </c:pt>
                <c:pt idx="692">
                  <c:v>0.96111100000000005</c:v>
                </c:pt>
                <c:pt idx="693">
                  <c:v>0.96250000000000002</c:v>
                </c:pt>
                <c:pt idx="694">
                  <c:v>0.963889</c:v>
                </c:pt>
                <c:pt idx="695">
                  <c:v>0.96527799999999997</c:v>
                </c:pt>
                <c:pt idx="696">
                  <c:v>0.96666700000000005</c:v>
                </c:pt>
                <c:pt idx="697">
                  <c:v>0.96805600000000003</c:v>
                </c:pt>
                <c:pt idx="698">
                  <c:v>0.96944399999999997</c:v>
                </c:pt>
                <c:pt idx="699">
                  <c:v>0.97083299999999995</c:v>
                </c:pt>
                <c:pt idx="700">
                  <c:v>0.97222200000000003</c:v>
                </c:pt>
                <c:pt idx="701">
                  <c:v>0.973611</c:v>
                </c:pt>
                <c:pt idx="702">
                  <c:v>0.97499999999999998</c:v>
                </c:pt>
                <c:pt idx="703">
                  <c:v>0.97638899999999995</c:v>
                </c:pt>
                <c:pt idx="704">
                  <c:v>0.97777800000000004</c:v>
                </c:pt>
                <c:pt idx="705">
                  <c:v>0.97916700000000001</c:v>
                </c:pt>
                <c:pt idx="706">
                  <c:v>0.98055599999999998</c:v>
                </c:pt>
                <c:pt idx="707">
                  <c:v>0.98194400000000004</c:v>
                </c:pt>
                <c:pt idx="708">
                  <c:v>0.98333300000000001</c:v>
                </c:pt>
                <c:pt idx="709">
                  <c:v>0.98472199999999999</c:v>
                </c:pt>
                <c:pt idx="710">
                  <c:v>0.98611099999999996</c:v>
                </c:pt>
                <c:pt idx="711">
                  <c:v>0.98750000000000004</c:v>
                </c:pt>
                <c:pt idx="712">
                  <c:v>0.98888900000000002</c:v>
                </c:pt>
                <c:pt idx="713">
                  <c:v>0.99027799999999999</c:v>
                </c:pt>
                <c:pt idx="714">
                  <c:v>0.99166699999999997</c:v>
                </c:pt>
                <c:pt idx="715">
                  <c:v>0.99305600000000005</c:v>
                </c:pt>
                <c:pt idx="716">
                  <c:v>0.99444399999999999</c:v>
                </c:pt>
                <c:pt idx="717">
                  <c:v>0.99583299999999997</c:v>
                </c:pt>
                <c:pt idx="718">
                  <c:v>0.99722200000000005</c:v>
                </c:pt>
                <c:pt idx="719">
                  <c:v>0.99861100000000003</c:v>
                </c:pt>
                <c:pt idx="720">
                  <c:v>1</c:v>
                </c:pt>
                <c:pt idx="721">
                  <c:v>1.0013890000000001</c:v>
                </c:pt>
                <c:pt idx="722">
                  <c:v>1.0027779999999999</c:v>
                </c:pt>
                <c:pt idx="723">
                  <c:v>1.004167</c:v>
                </c:pt>
                <c:pt idx="724">
                  <c:v>1.0055559999999999</c:v>
                </c:pt>
                <c:pt idx="725">
                  <c:v>1.0069440000000001</c:v>
                </c:pt>
                <c:pt idx="726">
                  <c:v>1.0083329999999999</c:v>
                </c:pt>
                <c:pt idx="727">
                  <c:v>1.009722</c:v>
                </c:pt>
                <c:pt idx="728">
                  <c:v>1.0111110000000001</c:v>
                </c:pt>
                <c:pt idx="729">
                  <c:v>1.0125</c:v>
                </c:pt>
                <c:pt idx="730">
                  <c:v>1.013889</c:v>
                </c:pt>
                <c:pt idx="731">
                  <c:v>1.0152779999999999</c:v>
                </c:pt>
                <c:pt idx="732">
                  <c:v>1.016667</c:v>
                </c:pt>
                <c:pt idx="733">
                  <c:v>1.0180560000000001</c:v>
                </c:pt>
                <c:pt idx="734">
                  <c:v>1.019444</c:v>
                </c:pt>
                <c:pt idx="735">
                  <c:v>1.0208330000000001</c:v>
                </c:pt>
                <c:pt idx="736">
                  <c:v>1.022222</c:v>
                </c:pt>
                <c:pt idx="737">
                  <c:v>1.023611</c:v>
                </c:pt>
                <c:pt idx="738">
                  <c:v>1.0249999999999999</c:v>
                </c:pt>
                <c:pt idx="739">
                  <c:v>1.026389</c:v>
                </c:pt>
                <c:pt idx="740">
                  <c:v>1.0277780000000001</c:v>
                </c:pt>
                <c:pt idx="741">
                  <c:v>1.0291669999999999</c:v>
                </c:pt>
                <c:pt idx="742">
                  <c:v>1.030556</c:v>
                </c:pt>
                <c:pt idx="743">
                  <c:v>1.031944</c:v>
                </c:pt>
                <c:pt idx="744">
                  <c:v>1.0333330000000001</c:v>
                </c:pt>
                <c:pt idx="745">
                  <c:v>1.0347219999999999</c:v>
                </c:pt>
                <c:pt idx="746">
                  <c:v>1.036111</c:v>
                </c:pt>
                <c:pt idx="747">
                  <c:v>1.0375000000000001</c:v>
                </c:pt>
                <c:pt idx="748">
                  <c:v>1.038889</c:v>
                </c:pt>
                <c:pt idx="749">
                  <c:v>1.040278</c:v>
                </c:pt>
                <c:pt idx="750">
                  <c:v>1.0416669999999999</c:v>
                </c:pt>
                <c:pt idx="751">
                  <c:v>1.043056</c:v>
                </c:pt>
                <c:pt idx="752">
                  <c:v>1.0444439999999999</c:v>
                </c:pt>
                <c:pt idx="753">
                  <c:v>1.045833</c:v>
                </c:pt>
                <c:pt idx="754">
                  <c:v>1.0472220000000001</c:v>
                </c:pt>
                <c:pt idx="755">
                  <c:v>1.048611</c:v>
                </c:pt>
                <c:pt idx="756">
                  <c:v>1.05</c:v>
                </c:pt>
                <c:pt idx="757">
                  <c:v>1.0513889999999999</c:v>
                </c:pt>
                <c:pt idx="758">
                  <c:v>1.052778</c:v>
                </c:pt>
                <c:pt idx="759">
                  <c:v>1.0541670000000001</c:v>
                </c:pt>
                <c:pt idx="760">
                  <c:v>1.0555559999999999</c:v>
                </c:pt>
                <c:pt idx="761">
                  <c:v>1.0569440000000001</c:v>
                </c:pt>
                <c:pt idx="762">
                  <c:v>1.058333</c:v>
                </c:pt>
                <c:pt idx="763">
                  <c:v>1.0597220000000001</c:v>
                </c:pt>
                <c:pt idx="764">
                  <c:v>1.0611109999999999</c:v>
                </c:pt>
                <c:pt idx="765">
                  <c:v>1.0625</c:v>
                </c:pt>
                <c:pt idx="766">
                  <c:v>1.0638890000000001</c:v>
                </c:pt>
                <c:pt idx="767">
                  <c:v>1.0652779999999999</c:v>
                </c:pt>
                <c:pt idx="768">
                  <c:v>1.066667</c:v>
                </c:pt>
                <c:pt idx="769">
                  <c:v>1.0680559999999999</c:v>
                </c:pt>
                <c:pt idx="770">
                  <c:v>1.0694440000000001</c:v>
                </c:pt>
                <c:pt idx="771">
                  <c:v>1.0708329999999999</c:v>
                </c:pt>
                <c:pt idx="772">
                  <c:v>1.072222</c:v>
                </c:pt>
                <c:pt idx="773">
                  <c:v>1.0736110000000001</c:v>
                </c:pt>
                <c:pt idx="774">
                  <c:v>1.075</c:v>
                </c:pt>
                <c:pt idx="775">
                  <c:v>1.076389</c:v>
                </c:pt>
                <c:pt idx="776">
                  <c:v>1.0777779999999999</c:v>
                </c:pt>
                <c:pt idx="777">
                  <c:v>1.079167</c:v>
                </c:pt>
                <c:pt idx="778">
                  <c:v>1.0805560000000001</c:v>
                </c:pt>
                <c:pt idx="779">
                  <c:v>1.081944</c:v>
                </c:pt>
                <c:pt idx="780">
                  <c:v>1.0833330000000001</c:v>
                </c:pt>
                <c:pt idx="781">
                  <c:v>1.084722</c:v>
                </c:pt>
                <c:pt idx="782">
                  <c:v>1.086111</c:v>
                </c:pt>
                <c:pt idx="783">
                  <c:v>1.0874999999999999</c:v>
                </c:pt>
                <c:pt idx="784">
                  <c:v>1.088889</c:v>
                </c:pt>
                <c:pt idx="785">
                  <c:v>1.0902780000000001</c:v>
                </c:pt>
                <c:pt idx="786">
                  <c:v>1.0916669999999999</c:v>
                </c:pt>
                <c:pt idx="787">
                  <c:v>1.093056</c:v>
                </c:pt>
                <c:pt idx="788">
                  <c:v>1.094444</c:v>
                </c:pt>
                <c:pt idx="789">
                  <c:v>1.0958330000000001</c:v>
                </c:pt>
                <c:pt idx="790">
                  <c:v>1.0972219999999999</c:v>
                </c:pt>
                <c:pt idx="791">
                  <c:v>1.098611</c:v>
                </c:pt>
                <c:pt idx="792">
                  <c:v>1.1000000000000001</c:v>
                </c:pt>
                <c:pt idx="793">
                  <c:v>1.101389</c:v>
                </c:pt>
                <c:pt idx="794">
                  <c:v>1.102778</c:v>
                </c:pt>
                <c:pt idx="795">
                  <c:v>1.1041669999999999</c:v>
                </c:pt>
                <c:pt idx="796">
                  <c:v>1.105556</c:v>
                </c:pt>
                <c:pt idx="797">
                  <c:v>1.1069439999999999</c:v>
                </c:pt>
                <c:pt idx="798">
                  <c:v>1.108333</c:v>
                </c:pt>
                <c:pt idx="799">
                  <c:v>1.1097220000000001</c:v>
                </c:pt>
                <c:pt idx="800">
                  <c:v>1.111111</c:v>
                </c:pt>
                <c:pt idx="801">
                  <c:v>1.1125</c:v>
                </c:pt>
                <c:pt idx="802">
                  <c:v>1.1138889999999999</c:v>
                </c:pt>
                <c:pt idx="803">
                  <c:v>1.115278</c:v>
                </c:pt>
                <c:pt idx="804">
                  <c:v>1.1166670000000001</c:v>
                </c:pt>
                <c:pt idx="805">
                  <c:v>1.1180559999999999</c:v>
                </c:pt>
                <c:pt idx="806">
                  <c:v>1.1194440000000001</c:v>
                </c:pt>
                <c:pt idx="807">
                  <c:v>1.120833</c:v>
                </c:pt>
                <c:pt idx="808">
                  <c:v>1.1222220000000001</c:v>
                </c:pt>
                <c:pt idx="809">
                  <c:v>1.1236109999999999</c:v>
                </c:pt>
                <c:pt idx="810">
                  <c:v>1.125</c:v>
                </c:pt>
                <c:pt idx="811">
                  <c:v>1.1263890000000001</c:v>
                </c:pt>
                <c:pt idx="812">
                  <c:v>1.1277779999999999</c:v>
                </c:pt>
                <c:pt idx="813">
                  <c:v>1.129167</c:v>
                </c:pt>
                <c:pt idx="814">
                  <c:v>1.1305559999999999</c:v>
                </c:pt>
                <c:pt idx="815">
                  <c:v>1.1319440000000001</c:v>
                </c:pt>
                <c:pt idx="816">
                  <c:v>1.1333329999999999</c:v>
                </c:pt>
                <c:pt idx="817">
                  <c:v>1.134722</c:v>
                </c:pt>
                <c:pt idx="818">
                  <c:v>1.1361110000000001</c:v>
                </c:pt>
                <c:pt idx="819">
                  <c:v>1.1375</c:v>
                </c:pt>
                <c:pt idx="820">
                  <c:v>1.138889</c:v>
                </c:pt>
                <c:pt idx="821">
                  <c:v>1.1402779999999999</c:v>
                </c:pt>
                <c:pt idx="822">
                  <c:v>1.141667</c:v>
                </c:pt>
                <c:pt idx="823">
                  <c:v>1.1430560000000001</c:v>
                </c:pt>
                <c:pt idx="824">
                  <c:v>1.144444</c:v>
                </c:pt>
                <c:pt idx="825">
                  <c:v>1.1458330000000001</c:v>
                </c:pt>
                <c:pt idx="826">
                  <c:v>1.147222</c:v>
                </c:pt>
                <c:pt idx="827">
                  <c:v>1.148611</c:v>
                </c:pt>
                <c:pt idx="828">
                  <c:v>1.1499999999999999</c:v>
                </c:pt>
                <c:pt idx="829">
                  <c:v>1.151389</c:v>
                </c:pt>
                <c:pt idx="830">
                  <c:v>1.1527780000000001</c:v>
                </c:pt>
                <c:pt idx="831">
                  <c:v>1.1541669999999999</c:v>
                </c:pt>
                <c:pt idx="832">
                  <c:v>1.155556</c:v>
                </c:pt>
                <c:pt idx="833">
                  <c:v>1.156944</c:v>
                </c:pt>
                <c:pt idx="834">
                  <c:v>1.1583330000000001</c:v>
                </c:pt>
                <c:pt idx="835">
                  <c:v>1.1597219999999999</c:v>
                </c:pt>
                <c:pt idx="836">
                  <c:v>1.161111</c:v>
                </c:pt>
                <c:pt idx="837">
                  <c:v>1.1625000000000001</c:v>
                </c:pt>
                <c:pt idx="838">
                  <c:v>1.163889</c:v>
                </c:pt>
                <c:pt idx="839">
                  <c:v>1.165278</c:v>
                </c:pt>
                <c:pt idx="840">
                  <c:v>1.1666669999999999</c:v>
                </c:pt>
                <c:pt idx="841">
                  <c:v>1.168056</c:v>
                </c:pt>
                <c:pt idx="842">
                  <c:v>1.1694439999999999</c:v>
                </c:pt>
                <c:pt idx="843">
                  <c:v>1.170833</c:v>
                </c:pt>
                <c:pt idx="844">
                  <c:v>1.1722220000000001</c:v>
                </c:pt>
                <c:pt idx="845">
                  <c:v>1.173611</c:v>
                </c:pt>
                <c:pt idx="846">
                  <c:v>1.175</c:v>
                </c:pt>
                <c:pt idx="847">
                  <c:v>1.1763889999999999</c:v>
                </c:pt>
                <c:pt idx="848">
                  <c:v>1.177778</c:v>
                </c:pt>
                <c:pt idx="849">
                  <c:v>1.1791670000000001</c:v>
                </c:pt>
                <c:pt idx="850">
                  <c:v>1.1805559999999999</c:v>
                </c:pt>
                <c:pt idx="851">
                  <c:v>1.1819440000000001</c:v>
                </c:pt>
                <c:pt idx="852">
                  <c:v>1.183333</c:v>
                </c:pt>
                <c:pt idx="853">
                  <c:v>1.1847220000000001</c:v>
                </c:pt>
                <c:pt idx="854">
                  <c:v>1.1861109999999999</c:v>
                </c:pt>
                <c:pt idx="855">
                  <c:v>1.1875</c:v>
                </c:pt>
                <c:pt idx="856">
                  <c:v>1.1888890000000001</c:v>
                </c:pt>
                <c:pt idx="857">
                  <c:v>1.1902779999999999</c:v>
                </c:pt>
                <c:pt idx="858">
                  <c:v>1.191667</c:v>
                </c:pt>
                <c:pt idx="859">
                  <c:v>1.1930559999999999</c:v>
                </c:pt>
                <c:pt idx="860">
                  <c:v>1.1944440000000001</c:v>
                </c:pt>
                <c:pt idx="861">
                  <c:v>1.1958329999999999</c:v>
                </c:pt>
                <c:pt idx="862">
                  <c:v>1.197222</c:v>
                </c:pt>
                <c:pt idx="863">
                  <c:v>1.1986110000000001</c:v>
                </c:pt>
                <c:pt idx="864">
                  <c:v>1.2</c:v>
                </c:pt>
                <c:pt idx="865">
                  <c:v>1.201389</c:v>
                </c:pt>
                <c:pt idx="866">
                  <c:v>1.2027779999999999</c:v>
                </c:pt>
                <c:pt idx="867">
                  <c:v>1.204167</c:v>
                </c:pt>
                <c:pt idx="868">
                  <c:v>1.2055560000000001</c:v>
                </c:pt>
                <c:pt idx="869">
                  <c:v>1.206944</c:v>
                </c:pt>
                <c:pt idx="870">
                  <c:v>1.2083330000000001</c:v>
                </c:pt>
                <c:pt idx="871">
                  <c:v>1.209722</c:v>
                </c:pt>
                <c:pt idx="872">
                  <c:v>1.211111</c:v>
                </c:pt>
                <c:pt idx="873">
                  <c:v>1.2124999999999999</c:v>
                </c:pt>
                <c:pt idx="874">
                  <c:v>1.213889</c:v>
                </c:pt>
                <c:pt idx="875">
                  <c:v>1.2152780000000001</c:v>
                </c:pt>
                <c:pt idx="876">
                  <c:v>1.2166669999999999</c:v>
                </c:pt>
                <c:pt idx="877">
                  <c:v>1.218056</c:v>
                </c:pt>
                <c:pt idx="878">
                  <c:v>1.219444</c:v>
                </c:pt>
                <c:pt idx="879">
                  <c:v>1.2208330000000001</c:v>
                </c:pt>
                <c:pt idx="880">
                  <c:v>1.2222219999999999</c:v>
                </c:pt>
                <c:pt idx="881">
                  <c:v>1.223611</c:v>
                </c:pt>
                <c:pt idx="882">
                  <c:v>1.2250000000000001</c:v>
                </c:pt>
                <c:pt idx="883">
                  <c:v>1.226389</c:v>
                </c:pt>
                <c:pt idx="884">
                  <c:v>1.227778</c:v>
                </c:pt>
                <c:pt idx="885">
                  <c:v>1.2291669999999999</c:v>
                </c:pt>
                <c:pt idx="886">
                  <c:v>1.230556</c:v>
                </c:pt>
                <c:pt idx="887">
                  <c:v>1.2319439999999999</c:v>
                </c:pt>
                <c:pt idx="888">
                  <c:v>1.233333</c:v>
                </c:pt>
                <c:pt idx="889">
                  <c:v>1.2347220000000001</c:v>
                </c:pt>
                <c:pt idx="890">
                  <c:v>1.236111</c:v>
                </c:pt>
                <c:pt idx="891">
                  <c:v>1.2375</c:v>
                </c:pt>
                <c:pt idx="892">
                  <c:v>1.2388889999999999</c:v>
                </c:pt>
                <c:pt idx="893">
                  <c:v>1.240278</c:v>
                </c:pt>
                <c:pt idx="894">
                  <c:v>1.2416670000000001</c:v>
                </c:pt>
                <c:pt idx="895">
                  <c:v>1.2430559999999999</c:v>
                </c:pt>
                <c:pt idx="896">
                  <c:v>1.2444440000000001</c:v>
                </c:pt>
                <c:pt idx="897">
                  <c:v>1.245833</c:v>
                </c:pt>
                <c:pt idx="898">
                  <c:v>1.2472220000000001</c:v>
                </c:pt>
                <c:pt idx="899">
                  <c:v>1.2486109999999999</c:v>
                </c:pt>
                <c:pt idx="900">
                  <c:v>1.25</c:v>
                </c:pt>
                <c:pt idx="901">
                  <c:v>1.2513890000000001</c:v>
                </c:pt>
                <c:pt idx="902">
                  <c:v>1.2527779999999999</c:v>
                </c:pt>
                <c:pt idx="903">
                  <c:v>1.254167</c:v>
                </c:pt>
                <c:pt idx="904">
                  <c:v>1.2555559999999999</c:v>
                </c:pt>
                <c:pt idx="905">
                  <c:v>1.2569440000000001</c:v>
                </c:pt>
                <c:pt idx="906">
                  <c:v>1.2583329999999999</c:v>
                </c:pt>
                <c:pt idx="907">
                  <c:v>1.259722</c:v>
                </c:pt>
                <c:pt idx="908">
                  <c:v>1.2611110000000001</c:v>
                </c:pt>
                <c:pt idx="909">
                  <c:v>1.2625</c:v>
                </c:pt>
                <c:pt idx="910">
                  <c:v>1.263889</c:v>
                </c:pt>
                <c:pt idx="911">
                  <c:v>1.2652779999999999</c:v>
                </c:pt>
                <c:pt idx="912">
                  <c:v>1.266667</c:v>
                </c:pt>
                <c:pt idx="913">
                  <c:v>1.2680560000000001</c:v>
                </c:pt>
                <c:pt idx="914">
                  <c:v>1.269444</c:v>
                </c:pt>
                <c:pt idx="915">
                  <c:v>1.2708330000000001</c:v>
                </c:pt>
                <c:pt idx="916">
                  <c:v>1.272222</c:v>
                </c:pt>
                <c:pt idx="917">
                  <c:v>1.273611</c:v>
                </c:pt>
                <c:pt idx="918">
                  <c:v>1.2749999999999999</c:v>
                </c:pt>
                <c:pt idx="919">
                  <c:v>1.276389</c:v>
                </c:pt>
                <c:pt idx="920">
                  <c:v>1.2777780000000001</c:v>
                </c:pt>
                <c:pt idx="921">
                  <c:v>1.2791669999999999</c:v>
                </c:pt>
                <c:pt idx="922">
                  <c:v>1.280556</c:v>
                </c:pt>
                <c:pt idx="923">
                  <c:v>1.281944</c:v>
                </c:pt>
                <c:pt idx="924">
                  <c:v>1.2833330000000001</c:v>
                </c:pt>
                <c:pt idx="925">
                  <c:v>1.2847219999999999</c:v>
                </c:pt>
                <c:pt idx="926">
                  <c:v>1.286111</c:v>
                </c:pt>
                <c:pt idx="927">
                  <c:v>1.2875000000000001</c:v>
                </c:pt>
                <c:pt idx="928">
                  <c:v>1.288889</c:v>
                </c:pt>
                <c:pt idx="929">
                  <c:v>1.290278</c:v>
                </c:pt>
                <c:pt idx="930">
                  <c:v>1.2916669999999999</c:v>
                </c:pt>
                <c:pt idx="931">
                  <c:v>1.293056</c:v>
                </c:pt>
                <c:pt idx="932">
                  <c:v>1.2944439999999999</c:v>
                </c:pt>
                <c:pt idx="933">
                  <c:v>1.295833</c:v>
                </c:pt>
                <c:pt idx="934">
                  <c:v>1.2972220000000001</c:v>
                </c:pt>
                <c:pt idx="935">
                  <c:v>1.298611</c:v>
                </c:pt>
                <c:pt idx="936">
                  <c:v>1.3</c:v>
                </c:pt>
                <c:pt idx="937">
                  <c:v>1.3013889999999999</c:v>
                </c:pt>
                <c:pt idx="938">
                  <c:v>1.302778</c:v>
                </c:pt>
                <c:pt idx="939">
                  <c:v>1.3041670000000001</c:v>
                </c:pt>
                <c:pt idx="940">
                  <c:v>1.3055559999999999</c:v>
                </c:pt>
                <c:pt idx="941">
                  <c:v>1.3069440000000001</c:v>
                </c:pt>
                <c:pt idx="942">
                  <c:v>1.308333</c:v>
                </c:pt>
                <c:pt idx="943">
                  <c:v>1.3097220000000001</c:v>
                </c:pt>
                <c:pt idx="944">
                  <c:v>1.3111109999999999</c:v>
                </c:pt>
                <c:pt idx="945">
                  <c:v>1.3125</c:v>
                </c:pt>
                <c:pt idx="946">
                  <c:v>1.3138890000000001</c:v>
                </c:pt>
                <c:pt idx="947">
                  <c:v>1.3152779999999999</c:v>
                </c:pt>
                <c:pt idx="948">
                  <c:v>1.316667</c:v>
                </c:pt>
                <c:pt idx="949">
                  <c:v>1.3180559999999999</c:v>
                </c:pt>
                <c:pt idx="950">
                  <c:v>1.3194440000000001</c:v>
                </c:pt>
                <c:pt idx="951">
                  <c:v>1.3208329999999999</c:v>
                </c:pt>
                <c:pt idx="952">
                  <c:v>1.322222</c:v>
                </c:pt>
                <c:pt idx="953">
                  <c:v>1.3236110000000001</c:v>
                </c:pt>
                <c:pt idx="954">
                  <c:v>1.325</c:v>
                </c:pt>
                <c:pt idx="955">
                  <c:v>1.326389</c:v>
                </c:pt>
                <c:pt idx="956">
                  <c:v>1.3277779999999999</c:v>
                </c:pt>
                <c:pt idx="957">
                  <c:v>1.329167</c:v>
                </c:pt>
                <c:pt idx="958">
                  <c:v>1.3305560000000001</c:v>
                </c:pt>
                <c:pt idx="959">
                  <c:v>1.331944</c:v>
                </c:pt>
                <c:pt idx="960">
                  <c:v>1.3333330000000001</c:v>
                </c:pt>
                <c:pt idx="961">
                  <c:v>1.334722</c:v>
                </c:pt>
                <c:pt idx="962">
                  <c:v>1.336111</c:v>
                </c:pt>
                <c:pt idx="963">
                  <c:v>1.3374999999999999</c:v>
                </c:pt>
                <c:pt idx="964">
                  <c:v>1.338889</c:v>
                </c:pt>
                <c:pt idx="965">
                  <c:v>1.3402780000000001</c:v>
                </c:pt>
                <c:pt idx="966">
                  <c:v>1.3416669999999999</c:v>
                </c:pt>
                <c:pt idx="967">
                  <c:v>1.343056</c:v>
                </c:pt>
                <c:pt idx="968">
                  <c:v>1.344444</c:v>
                </c:pt>
                <c:pt idx="969">
                  <c:v>1.3458330000000001</c:v>
                </c:pt>
                <c:pt idx="970">
                  <c:v>1.3472219999999999</c:v>
                </c:pt>
                <c:pt idx="971">
                  <c:v>1.348611</c:v>
                </c:pt>
                <c:pt idx="972">
                  <c:v>1.35</c:v>
                </c:pt>
                <c:pt idx="973">
                  <c:v>1.351389</c:v>
                </c:pt>
                <c:pt idx="974">
                  <c:v>1.352778</c:v>
                </c:pt>
                <c:pt idx="975">
                  <c:v>1.3541669999999999</c:v>
                </c:pt>
                <c:pt idx="976">
                  <c:v>1.355556</c:v>
                </c:pt>
                <c:pt idx="977">
                  <c:v>1.3569439999999999</c:v>
                </c:pt>
                <c:pt idx="978">
                  <c:v>1.358333</c:v>
                </c:pt>
                <c:pt idx="979">
                  <c:v>1.3597220000000001</c:v>
                </c:pt>
                <c:pt idx="980">
                  <c:v>1.361111</c:v>
                </c:pt>
                <c:pt idx="981">
                  <c:v>1.3625</c:v>
                </c:pt>
                <c:pt idx="982">
                  <c:v>1.3638889999999999</c:v>
                </c:pt>
                <c:pt idx="983">
                  <c:v>1.365278</c:v>
                </c:pt>
                <c:pt idx="984">
                  <c:v>1.3666670000000001</c:v>
                </c:pt>
                <c:pt idx="985">
                  <c:v>1.3680559999999999</c:v>
                </c:pt>
                <c:pt idx="986">
                  <c:v>1.3694440000000001</c:v>
                </c:pt>
                <c:pt idx="987">
                  <c:v>1.370833</c:v>
                </c:pt>
                <c:pt idx="988">
                  <c:v>1.3722220000000001</c:v>
                </c:pt>
                <c:pt idx="989">
                  <c:v>1.3736109999999999</c:v>
                </c:pt>
                <c:pt idx="990">
                  <c:v>1.375</c:v>
                </c:pt>
                <c:pt idx="991">
                  <c:v>1.3763890000000001</c:v>
                </c:pt>
                <c:pt idx="992">
                  <c:v>1.3777779999999999</c:v>
                </c:pt>
                <c:pt idx="993">
                  <c:v>1.379167</c:v>
                </c:pt>
                <c:pt idx="994">
                  <c:v>1.3805559999999999</c:v>
                </c:pt>
                <c:pt idx="995">
                  <c:v>1.3819440000000001</c:v>
                </c:pt>
                <c:pt idx="996">
                  <c:v>1.3833329999999999</c:v>
                </c:pt>
                <c:pt idx="997">
                  <c:v>1.384722</c:v>
                </c:pt>
                <c:pt idx="998">
                  <c:v>1.3861110000000001</c:v>
                </c:pt>
                <c:pt idx="999">
                  <c:v>1.3875</c:v>
                </c:pt>
                <c:pt idx="1000">
                  <c:v>1.388889</c:v>
                </c:pt>
                <c:pt idx="1001">
                  <c:v>1.3902779999999999</c:v>
                </c:pt>
                <c:pt idx="1002">
                  <c:v>1.391667</c:v>
                </c:pt>
                <c:pt idx="1003">
                  <c:v>1.3930560000000001</c:v>
                </c:pt>
                <c:pt idx="1004">
                  <c:v>1.394444</c:v>
                </c:pt>
                <c:pt idx="1005">
                  <c:v>1.3958330000000001</c:v>
                </c:pt>
                <c:pt idx="1006">
                  <c:v>1.397222</c:v>
                </c:pt>
                <c:pt idx="1007">
                  <c:v>1.398611</c:v>
                </c:pt>
                <c:pt idx="1008">
                  <c:v>1.4</c:v>
                </c:pt>
                <c:pt idx="1009">
                  <c:v>1.401389</c:v>
                </c:pt>
                <c:pt idx="1010">
                  <c:v>1.4027780000000001</c:v>
                </c:pt>
                <c:pt idx="1011">
                  <c:v>1.4041669999999999</c:v>
                </c:pt>
                <c:pt idx="1012">
                  <c:v>1.405556</c:v>
                </c:pt>
                <c:pt idx="1013">
                  <c:v>1.406944</c:v>
                </c:pt>
                <c:pt idx="1014">
                  <c:v>1.4083330000000001</c:v>
                </c:pt>
                <c:pt idx="1015">
                  <c:v>1.4097219999999999</c:v>
                </c:pt>
                <c:pt idx="1016">
                  <c:v>1.411111</c:v>
                </c:pt>
                <c:pt idx="1017">
                  <c:v>1.4125000000000001</c:v>
                </c:pt>
                <c:pt idx="1018">
                  <c:v>1.413889</c:v>
                </c:pt>
                <c:pt idx="1019">
                  <c:v>1.415278</c:v>
                </c:pt>
                <c:pt idx="1020">
                  <c:v>1.4166669999999999</c:v>
                </c:pt>
                <c:pt idx="1021">
                  <c:v>1.418056</c:v>
                </c:pt>
                <c:pt idx="1022">
                  <c:v>1.4194439999999999</c:v>
                </c:pt>
                <c:pt idx="1023">
                  <c:v>1.420833</c:v>
                </c:pt>
                <c:pt idx="1024">
                  <c:v>1.4222220000000001</c:v>
                </c:pt>
                <c:pt idx="1025">
                  <c:v>1.423611</c:v>
                </c:pt>
                <c:pt idx="1026">
                  <c:v>1.425</c:v>
                </c:pt>
                <c:pt idx="1027">
                  <c:v>1.4263889999999999</c:v>
                </c:pt>
                <c:pt idx="1028">
                  <c:v>1.427778</c:v>
                </c:pt>
                <c:pt idx="1029">
                  <c:v>1.4291670000000001</c:v>
                </c:pt>
                <c:pt idx="1030">
                  <c:v>1.4305559999999999</c:v>
                </c:pt>
                <c:pt idx="1031">
                  <c:v>1.4319440000000001</c:v>
                </c:pt>
                <c:pt idx="1032">
                  <c:v>1.433333</c:v>
                </c:pt>
                <c:pt idx="1033">
                  <c:v>1.4347220000000001</c:v>
                </c:pt>
                <c:pt idx="1034">
                  <c:v>1.4361109999999999</c:v>
                </c:pt>
                <c:pt idx="1035">
                  <c:v>1.4375</c:v>
                </c:pt>
                <c:pt idx="1036">
                  <c:v>1.4388890000000001</c:v>
                </c:pt>
                <c:pt idx="1037">
                  <c:v>1.4402779999999999</c:v>
                </c:pt>
                <c:pt idx="1038">
                  <c:v>1.441667</c:v>
                </c:pt>
                <c:pt idx="1039">
                  <c:v>1.4430559999999999</c:v>
                </c:pt>
                <c:pt idx="1040">
                  <c:v>1.4444440000000001</c:v>
                </c:pt>
                <c:pt idx="1041">
                  <c:v>1.4458329999999999</c:v>
                </c:pt>
                <c:pt idx="1042">
                  <c:v>1.447222</c:v>
                </c:pt>
                <c:pt idx="1043">
                  <c:v>1.4486110000000001</c:v>
                </c:pt>
                <c:pt idx="1044">
                  <c:v>1.45</c:v>
                </c:pt>
                <c:pt idx="1045">
                  <c:v>1.451389</c:v>
                </c:pt>
                <c:pt idx="1046">
                  <c:v>1.4527779999999999</c:v>
                </c:pt>
                <c:pt idx="1047">
                  <c:v>1.454167</c:v>
                </c:pt>
                <c:pt idx="1048">
                  <c:v>1.4555560000000001</c:v>
                </c:pt>
                <c:pt idx="1049">
                  <c:v>1.456944</c:v>
                </c:pt>
                <c:pt idx="1050">
                  <c:v>1.4583330000000001</c:v>
                </c:pt>
                <c:pt idx="1051">
                  <c:v>1.459722</c:v>
                </c:pt>
                <c:pt idx="1052">
                  <c:v>1.461111</c:v>
                </c:pt>
                <c:pt idx="1053">
                  <c:v>1.4624999999999999</c:v>
                </c:pt>
                <c:pt idx="1054">
                  <c:v>1.463889</c:v>
                </c:pt>
                <c:pt idx="1055">
                  <c:v>1.4652780000000001</c:v>
                </c:pt>
                <c:pt idx="1056">
                  <c:v>1.4666669999999999</c:v>
                </c:pt>
                <c:pt idx="1057">
                  <c:v>1.468056</c:v>
                </c:pt>
                <c:pt idx="1058">
                  <c:v>1.469444</c:v>
                </c:pt>
                <c:pt idx="1059">
                  <c:v>1.4708330000000001</c:v>
                </c:pt>
                <c:pt idx="1060">
                  <c:v>1.4722219999999999</c:v>
                </c:pt>
                <c:pt idx="1061">
                  <c:v>1.473611</c:v>
                </c:pt>
                <c:pt idx="1062">
                  <c:v>1.4750000000000001</c:v>
                </c:pt>
                <c:pt idx="1063">
                  <c:v>1.476389</c:v>
                </c:pt>
                <c:pt idx="1064">
                  <c:v>1.477778</c:v>
                </c:pt>
                <c:pt idx="1065">
                  <c:v>1.4791669999999999</c:v>
                </c:pt>
                <c:pt idx="1066">
                  <c:v>1.480556</c:v>
                </c:pt>
                <c:pt idx="1067">
                  <c:v>1.4819439999999999</c:v>
                </c:pt>
                <c:pt idx="1068">
                  <c:v>1.483333</c:v>
                </c:pt>
                <c:pt idx="1069">
                  <c:v>1.4847220000000001</c:v>
                </c:pt>
                <c:pt idx="1070">
                  <c:v>1.486111</c:v>
                </c:pt>
                <c:pt idx="1071">
                  <c:v>1.4875</c:v>
                </c:pt>
                <c:pt idx="1072">
                  <c:v>1.4888889999999999</c:v>
                </c:pt>
                <c:pt idx="1073">
                  <c:v>1.490278</c:v>
                </c:pt>
                <c:pt idx="1074">
                  <c:v>1.4916670000000001</c:v>
                </c:pt>
                <c:pt idx="1075">
                  <c:v>1.4930559999999999</c:v>
                </c:pt>
                <c:pt idx="1076">
                  <c:v>1.4944440000000001</c:v>
                </c:pt>
                <c:pt idx="1077">
                  <c:v>1.495833</c:v>
                </c:pt>
                <c:pt idx="1078">
                  <c:v>1.4972220000000001</c:v>
                </c:pt>
                <c:pt idx="1079">
                  <c:v>1.4986109999999999</c:v>
                </c:pt>
                <c:pt idx="1080">
                  <c:v>1.5</c:v>
                </c:pt>
                <c:pt idx="1081">
                  <c:v>1.5013890000000001</c:v>
                </c:pt>
                <c:pt idx="1082">
                  <c:v>1.5027779999999999</c:v>
                </c:pt>
                <c:pt idx="1083">
                  <c:v>1.504167</c:v>
                </c:pt>
                <c:pt idx="1084">
                  <c:v>1.5055559999999999</c:v>
                </c:pt>
                <c:pt idx="1085">
                  <c:v>1.5069440000000001</c:v>
                </c:pt>
                <c:pt idx="1086">
                  <c:v>1.5083329999999999</c:v>
                </c:pt>
                <c:pt idx="1087">
                  <c:v>1.509722</c:v>
                </c:pt>
                <c:pt idx="1088">
                  <c:v>1.5111110000000001</c:v>
                </c:pt>
                <c:pt idx="1089">
                  <c:v>1.5125</c:v>
                </c:pt>
                <c:pt idx="1090">
                  <c:v>1.513889</c:v>
                </c:pt>
                <c:pt idx="1091">
                  <c:v>1.5152779999999999</c:v>
                </c:pt>
                <c:pt idx="1092">
                  <c:v>1.516667</c:v>
                </c:pt>
                <c:pt idx="1093">
                  <c:v>1.5180560000000001</c:v>
                </c:pt>
                <c:pt idx="1094">
                  <c:v>1.519444</c:v>
                </c:pt>
                <c:pt idx="1095">
                  <c:v>1.5208330000000001</c:v>
                </c:pt>
                <c:pt idx="1096">
                  <c:v>1.522222</c:v>
                </c:pt>
                <c:pt idx="1097">
                  <c:v>1.523611</c:v>
                </c:pt>
                <c:pt idx="1098">
                  <c:v>1.5249999999999999</c:v>
                </c:pt>
                <c:pt idx="1099">
                  <c:v>1.526389</c:v>
                </c:pt>
                <c:pt idx="1100">
                  <c:v>1.5277780000000001</c:v>
                </c:pt>
                <c:pt idx="1101">
                  <c:v>1.5291669999999999</c:v>
                </c:pt>
                <c:pt idx="1102">
                  <c:v>1.530556</c:v>
                </c:pt>
                <c:pt idx="1103">
                  <c:v>1.531944</c:v>
                </c:pt>
                <c:pt idx="1104">
                  <c:v>1.5333330000000001</c:v>
                </c:pt>
                <c:pt idx="1105">
                  <c:v>1.5347219999999999</c:v>
                </c:pt>
                <c:pt idx="1106">
                  <c:v>1.536111</c:v>
                </c:pt>
                <c:pt idx="1107">
                  <c:v>1.5375000000000001</c:v>
                </c:pt>
                <c:pt idx="1108">
                  <c:v>1.538889</c:v>
                </c:pt>
                <c:pt idx="1109">
                  <c:v>1.540278</c:v>
                </c:pt>
                <c:pt idx="1110">
                  <c:v>1.5416669999999999</c:v>
                </c:pt>
                <c:pt idx="1111">
                  <c:v>1.543056</c:v>
                </c:pt>
                <c:pt idx="1112">
                  <c:v>1.5444439999999999</c:v>
                </c:pt>
                <c:pt idx="1113">
                  <c:v>1.545833</c:v>
                </c:pt>
                <c:pt idx="1114">
                  <c:v>1.5472220000000001</c:v>
                </c:pt>
                <c:pt idx="1115">
                  <c:v>1.548611</c:v>
                </c:pt>
                <c:pt idx="1116">
                  <c:v>1.55</c:v>
                </c:pt>
                <c:pt idx="1117">
                  <c:v>1.5513889999999999</c:v>
                </c:pt>
                <c:pt idx="1118">
                  <c:v>1.552778</c:v>
                </c:pt>
                <c:pt idx="1119">
                  <c:v>1.5541670000000001</c:v>
                </c:pt>
                <c:pt idx="1120">
                  <c:v>1.5555559999999999</c:v>
                </c:pt>
                <c:pt idx="1121">
                  <c:v>1.5569440000000001</c:v>
                </c:pt>
                <c:pt idx="1122">
                  <c:v>1.558333</c:v>
                </c:pt>
                <c:pt idx="1123">
                  <c:v>1.5597220000000001</c:v>
                </c:pt>
                <c:pt idx="1124">
                  <c:v>1.5611109999999999</c:v>
                </c:pt>
                <c:pt idx="1125">
                  <c:v>1.5625</c:v>
                </c:pt>
                <c:pt idx="1126">
                  <c:v>1.5638890000000001</c:v>
                </c:pt>
                <c:pt idx="1127">
                  <c:v>1.5652779999999999</c:v>
                </c:pt>
                <c:pt idx="1128">
                  <c:v>1.566667</c:v>
                </c:pt>
                <c:pt idx="1129">
                  <c:v>1.5680559999999999</c:v>
                </c:pt>
                <c:pt idx="1130">
                  <c:v>1.5694440000000001</c:v>
                </c:pt>
                <c:pt idx="1131">
                  <c:v>1.5708329999999999</c:v>
                </c:pt>
                <c:pt idx="1132">
                  <c:v>1.572222</c:v>
                </c:pt>
                <c:pt idx="1133">
                  <c:v>1.5736110000000001</c:v>
                </c:pt>
                <c:pt idx="1134">
                  <c:v>1.575</c:v>
                </c:pt>
                <c:pt idx="1135">
                  <c:v>1.576389</c:v>
                </c:pt>
                <c:pt idx="1136">
                  <c:v>1.5777779999999999</c:v>
                </c:pt>
                <c:pt idx="1137">
                  <c:v>1.579167</c:v>
                </c:pt>
                <c:pt idx="1138">
                  <c:v>1.5805560000000001</c:v>
                </c:pt>
                <c:pt idx="1139">
                  <c:v>1.581944</c:v>
                </c:pt>
                <c:pt idx="1140">
                  <c:v>1.5833330000000001</c:v>
                </c:pt>
                <c:pt idx="1141">
                  <c:v>1.584722</c:v>
                </c:pt>
                <c:pt idx="1142">
                  <c:v>1.586111</c:v>
                </c:pt>
                <c:pt idx="1143">
                  <c:v>1.5874999999999999</c:v>
                </c:pt>
                <c:pt idx="1144">
                  <c:v>1.588889</c:v>
                </c:pt>
                <c:pt idx="1145">
                  <c:v>1.5902780000000001</c:v>
                </c:pt>
                <c:pt idx="1146">
                  <c:v>1.5916669999999999</c:v>
                </c:pt>
                <c:pt idx="1147">
                  <c:v>1.593056</c:v>
                </c:pt>
                <c:pt idx="1148">
                  <c:v>1.594444</c:v>
                </c:pt>
                <c:pt idx="1149">
                  <c:v>1.5958330000000001</c:v>
                </c:pt>
                <c:pt idx="1150">
                  <c:v>1.5972219999999999</c:v>
                </c:pt>
                <c:pt idx="1151">
                  <c:v>1.598611</c:v>
                </c:pt>
                <c:pt idx="1152">
                  <c:v>1.6</c:v>
                </c:pt>
                <c:pt idx="1153">
                  <c:v>1.601389</c:v>
                </c:pt>
                <c:pt idx="1154">
                  <c:v>1.602778</c:v>
                </c:pt>
                <c:pt idx="1155">
                  <c:v>1.6041669999999999</c:v>
                </c:pt>
                <c:pt idx="1156">
                  <c:v>1.605556</c:v>
                </c:pt>
                <c:pt idx="1157">
                  <c:v>1.6069439999999999</c:v>
                </c:pt>
                <c:pt idx="1158">
                  <c:v>1.608333</c:v>
                </c:pt>
                <c:pt idx="1159">
                  <c:v>1.6097220000000001</c:v>
                </c:pt>
                <c:pt idx="1160">
                  <c:v>1.611111</c:v>
                </c:pt>
                <c:pt idx="1161">
                  <c:v>1.6125</c:v>
                </c:pt>
                <c:pt idx="1162">
                  <c:v>1.6138889999999999</c:v>
                </c:pt>
                <c:pt idx="1163">
                  <c:v>1.615278</c:v>
                </c:pt>
                <c:pt idx="1164">
                  <c:v>1.6166670000000001</c:v>
                </c:pt>
                <c:pt idx="1165">
                  <c:v>1.6180559999999999</c:v>
                </c:pt>
                <c:pt idx="1166">
                  <c:v>1.6194440000000001</c:v>
                </c:pt>
                <c:pt idx="1167">
                  <c:v>1.620833</c:v>
                </c:pt>
                <c:pt idx="1168">
                  <c:v>1.6222220000000001</c:v>
                </c:pt>
                <c:pt idx="1169">
                  <c:v>1.6236109999999999</c:v>
                </c:pt>
                <c:pt idx="1170">
                  <c:v>1.625</c:v>
                </c:pt>
                <c:pt idx="1171">
                  <c:v>1.6263890000000001</c:v>
                </c:pt>
                <c:pt idx="1172">
                  <c:v>1.6277779999999999</c:v>
                </c:pt>
                <c:pt idx="1173">
                  <c:v>1.629167</c:v>
                </c:pt>
                <c:pt idx="1174">
                  <c:v>1.6305559999999999</c:v>
                </c:pt>
                <c:pt idx="1175">
                  <c:v>1.6319440000000001</c:v>
                </c:pt>
                <c:pt idx="1176">
                  <c:v>1.6333329999999999</c:v>
                </c:pt>
                <c:pt idx="1177">
                  <c:v>1.634722</c:v>
                </c:pt>
                <c:pt idx="1178">
                  <c:v>1.6361110000000001</c:v>
                </c:pt>
                <c:pt idx="1179">
                  <c:v>1.6375</c:v>
                </c:pt>
                <c:pt idx="1180">
                  <c:v>1.638889</c:v>
                </c:pt>
                <c:pt idx="1181">
                  <c:v>1.6402779999999999</c:v>
                </c:pt>
                <c:pt idx="1182">
                  <c:v>1.641667</c:v>
                </c:pt>
                <c:pt idx="1183">
                  <c:v>1.6430560000000001</c:v>
                </c:pt>
                <c:pt idx="1184">
                  <c:v>1.644444</c:v>
                </c:pt>
                <c:pt idx="1185">
                  <c:v>1.6458330000000001</c:v>
                </c:pt>
                <c:pt idx="1186">
                  <c:v>1.647222</c:v>
                </c:pt>
                <c:pt idx="1187">
                  <c:v>1.648611</c:v>
                </c:pt>
                <c:pt idx="1188">
                  <c:v>1.65</c:v>
                </c:pt>
                <c:pt idx="1189">
                  <c:v>1.651389</c:v>
                </c:pt>
                <c:pt idx="1190">
                  <c:v>1.6527780000000001</c:v>
                </c:pt>
                <c:pt idx="1191">
                  <c:v>1.6541669999999999</c:v>
                </c:pt>
                <c:pt idx="1192">
                  <c:v>1.655556</c:v>
                </c:pt>
                <c:pt idx="1193">
                  <c:v>1.656944</c:v>
                </c:pt>
                <c:pt idx="1194">
                  <c:v>1.6583330000000001</c:v>
                </c:pt>
                <c:pt idx="1195">
                  <c:v>1.6597219999999999</c:v>
                </c:pt>
                <c:pt idx="1196">
                  <c:v>1.661111</c:v>
                </c:pt>
                <c:pt idx="1197">
                  <c:v>1.6625000000000001</c:v>
                </c:pt>
                <c:pt idx="1198">
                  <c:v>1.663889</c:v>
                </c:pt>
                <c:pt idx="1199">
                  <c:v>1.665278</c:v>
                </c:pt>
                <c:pt idx="1200">
                  <c:v>1.6666669999999999</c:v>
                </c:pt>
                <c:pt idx="1201">
                  <c:v>1.668056</c:v>
                </c:pt>
                <c:pt idx="1202">
                  <c:v>1.6694439999999999</c:v>
                </c:pt>
                <c:pt idx="1203">
                  <c:v>1.670833</c:v>
                </c:pt>
                <c:pt idx="1204">
                  <c:v>1.6722220000000001</c:v>
                </c:pt>
                <c:pt idx="1205">
                  <c:v>1.673611</c:v>
                </c:pt>
                <c:pt idx="1206">
                  <c:v>1.675</c:v>
                </c:pt>
                <c:pt idx="1207">
                  <c:v>1.6763889999999999</c:v>
                </c:pt>
                <c:pt idx="1208">
                  <c:v>1.677778</c:v>
                </c:pt>
                <c:pt idx="1209">
                  <c:v>1.6791670000000001</c:v>
                </c:pt>
                <c:pt idx="1210">
                  <c:v>1.6805559999999999</c:v>
                </c:pt>
                <c:pt idx="1211">
                  <c:v>1.6819440000000001</c:v>
                </c:pt>
                <c:pt idx="1212">
                  <c:v>1.683333</c:v>
                </c:pt>
                <c:pt idx="1213">
                  <c:v>1.6847220000000001</c:v>
                </c:pt>
                <c:pt idx="1214">
                  <c:v>1.6861109999999999</c:v>
                </c:pt>
                <c:pt idx="1215">
                  <c:v>1.6875</c:v>
                </c:pt>
                <c:pt idx="1216">
                  <c:v>1.6888890000000001</c:v>
                </c:pt>
                <c:pt idx="1217">
                  <c:v>1.6902779999999999</c:v>
                </c:pt>
                <c:pt idx="1218">
                  <c:v>1.691667</c:v>
                </c:pt>
                <c:pt idx="1219">
                  <c:v>1.6930559999999999</c:v>
                </c:pt>
                <c:pt idx="1220">
                  <c:v>1.6944440000000001</c:v>
                </c:pt>
                <c:pt idx="1221">
                  <c:v>1.6958329999999999</c:v>
                </c:pt>
                <c:pt idx="1222">
                  <c:v>1.697222</c:v>
                </c:pt>
                <c:pt idx="1223">
                  <c:v>1.6986110000000001</c:v>
                </c:pt>
                <c:pt idx="1224">
                  <c:v>1.7</c:v>
                </c:pt>
                <c:pt idx="1225">
                  <c:v>1.701389</c:v>
                </c:pt>
                <c:pt idx="1226">
                  <c:v>1.7027779999999999</c:v>
                </c:pt>
                <c:pt idx="1227">
                  <c:v>1.704167</c:v>
                </c:pt>
                <c:pt idx="1228">
                  <c:v>1.7055560000000001</c:v>
                </c:pt>
                <c:pt idx="1229">
                  <c:v>1.706944</c:v>
                </c:pt>
                <c:pt idx="1230">
                  <c:v>1.7083330000000001</c:v>
                </c:pt>
                <c:pt idx="1231">
                  <c:v>1.709722</c:v>
                </c:pt>
                <c:pt idx="1232">
                  <c:v>1.711111</c:v>
                </c:pt>
                <c:pt idx="1233">
                  <c:v>1.7124999999999999</c:v>
                </c:pt>
                <c:pt idx="1234">
                  <c:v>1.713889</c:v>
                </c:pt>
                <c:pt idx="1235">
                  <c:v>1.7152780000000001</c:v>
                </c:pt>
                <c:pt idx="1236">
                  <c:v>1.7166669999999999</c:v>
                </c:pt>
                <c:pt idx="1237">
                  <c:v>1.718056</c:v>
                </c:pt>
                <c:pt idx="1238">
                  <c:v>1.719444</c:v>
                </c:pt>
                <c:pt idx="1239">
                  <c:v>1.7208330000000001</c:v>
                </c:pt>
                <c:pt idx="1240">
                  <c:v>1.7222219999999999</c:v>
                </c:pt>
                <c:pt idx="1241">
                  <c:v>1.723611</c:v>
                </c:pt>
                <c:pt idx="1242">
                  <c:v>1.7250000000000001</c:v>
                </c:pt>
                <c:pt idx="1243">
                  <c:v>1.726389</c:v>
                </c:pt>
                <c:pt idx="1244">
                  <c:v>1.727778</c:v>
                </c:pt>
                <c:pt idx="1245">
                  <c:v>1.7291669999999999</c:v>
                </c:pt>
                <c:pt idx="1246">
                  <c:v>1.730556</c:v>
                </c:pt>
                <c:pt idx="1247">
                  <c:v>1.7319439999999999</c:v>
                </c:pt>
                <c:pt idx="1248">
                  <c:v>1.733333</c:v>
                </c:pt>
                <c:pt idx="1249">
                  <c:v>1.7347220000000001</c:v>
                </c:pt>
                <c:pt idx="1250">
                  <c:v>1.736111</c:v>
                </c:pt>
                <c:pt idx="1251">
                  <c:v>1.7375</c:v>
                </c:pt>
                <c:pt idx="1252">
                  <c:v>1.7388889999999999</c:v>
                </c:pt>
                <c:pt idx="1253">
                  <c:v>1.740278</c:v>
                </c:pt>
                <c:pt idx="1254">
                  <c:v>1.7416670000000001</c:v>
                </c:pt>
                <c:pt idx="1255">
                  <c:v>1.7430559999999999</c:v>
                </c:pt>
                <c:pt idx="1256">
                  <c:v>1.7444440000000001</c:v>
                </c:pt>
                <c:pt idx="1257">
                  <c:v>1.745833</c:v>
                </c:pt>
                <c:pt idx="1258">
                  <c:v>1.7472220000000001</c:v>
                </c:pt>
                <c:pt idx="1259">
                  <c:v>1.7486109999999999</c:v>
                </c:pt>
                <c:pt idx="1260">
                  <c:v>1.75</c:v>
                </c:pt>
                <c:pt idx="1261">
                  <c:v>1.7513890000000001</c:v>
                </c:pt>
                <c:pt idx="1262">
                  <c:v>1.7527779999999999</c:v>
                </c:pt>
                <c:pt idx="1263">
                  <c:v>1.754167</c:v>
                </c:pt>
                <c:pt idx="1264">
                  <c:v>1.7555559999999999</c:v>
                </c:pt>
                <c:pt idx="1265">
                  <c:v>1.7569440000000001</c:v>
                </c:pt>
                <c:pt idx="1266">
                  <c:v>1.7583329999999999</c:v>
                </c:pt>
                <c:pt idx="1267">
                  <c:v>1.759722</c:v>
                </c:pt>
                <c:pt idx="1268">
                  <c:v>1.7611110000000001</c:v>
                </c:pt>
                <c:pt idx="1269">
                  <c:v>1.7625</c:v>
                </c:pt>
                <c:pt idx="1270">
                  <c:v>1.763889</c:v>
                </c:pt>
                <c:pt idx="1271">
                  <c:v>1.7652779999999999</c:v>
                </c:pt>
                <c:pt idx="1272">
                  <c:v>1.766667</c:v>
                </c:pt>
                <c:pt idx="1273">
                  <c:v>1.7680560000000001</c:v>
                </c:pt>
                <c:pt idx="1274">
                  <c:v>1.769444</c:v>
                </c:pt>
                <c:pt idx="1275">
                  <c:v>1.7708330000000001</c:v>
                </c:pt>
                <c:pt idx="1276">
                  <c:v>1.772222</c:v>
                </c:pt>
                <c:pt idx="1277">
                  <c:v>1.773611</c:v>
                </c:pt>
                <c:pt idx="1278">
                  <c:v>1.7749999999999999</c:v>
                </c:pt>
                <c:pt idx="1279">
                  <c:v>1.776389</c:v>
                </c:pt>
                <c:pt idx="1280">
                  <c:v>1.7777780000000001</c:v>
                </c:pt>
                <c:pt idx="1281">
                  <c:v>1.7791669999999999</c:v>
                </c:pt>
                <c:pt idx="1282">
                  <c:v>1.780556</c:v>
                </c:pt>
                <c:pt idx="1283">
                  <c:v>1.781944</c:v>
                </c:pt>
                <c:pt idx="1284">
                  <c:v>1.7833330000000001</c:v>
                </c:pt>
                <c:pt idx="1285">
                  <c:v>1.7847219999999999</c:v>
                </c:pt>
                <c:pt idx="1286">
                  <c:v>1.786111</c:v>
                </c:pt>
                <c:pt idx="1287">
                  <c:v>1.7875000000000001</c:v>
                </c:pt>
                <c:pt idx="1288">
                  <c:v>1.788889</c:v>
                </c:pt>
                <c:pt idx="1289">
                  <c:v>1.790278</c:v>
                </c:pt>
                <c:pt idx="1290">
                  <c:v>1.7916669999999999</c:v>
                </c:pt>
                <c:pt idx="1291">
                  <c:v>1.793056</c:v>
                </c:pt>
                <c:pt idx="1292">
                  <c:v>1.7944439999999999</c:v>
                </c:pt>
                <c:pt idx="1293">
                  <c:v>1.795833</c:v>
                </c:pt>
                <c:pt idx="1294">
                  <c:v>1.7972220000000001</c:v>
                </c:pt>
                <c:pt idx="1295">
                  <c:v>1.798611</c:v>
                </c:pt>
                <c:pt idx="1296">
                  <c:v>1.8</c:v>
                </c:pt>
                <c:pt idx="1297">
                  <c:v>1.8013889999999999</c:v>
                </c:pt>
                <c:pt idx="1298">
                  <c:v>1.802778</c:v>
                </c:pt>
                <c:pt idx="1299">
                  <c:v>1.8041670000000001</c:v>
                </c:pt>
                <c:pt idx="1300">
                  <c:v>1.8055559999999999</c:v>
                </c:pt>
                <c:pt idx="1301">
                  <c:v>1.8069440000000001</c:v>
                </c:pt>
                <c:pt idx="1302">
                  <c:v>1.808333</c:v>
                </c:pt>
                <c:pt idx="1303">
                  <c:v>1.8097220000000001</c:v>
                </c:pt>
                <c:pt idx="1304">
                  <c:v>1.8111109999999999</c:v>
                </c:pt>
                <c:pt idx="1305">
                  <c:v>1.8125</c:v>
                </c:pt>
                <c:pt idx="1306">
                  <c:v>1.8138890000000001</c:v>
                </c:pt>
                <c:pt idx="1307">
                  <c:v>1.8152779999999999</c:v>
                </c:pt>
                <c:pt idx="1308">
                  <c:v>1.816667</c:v>
                </c:pt>
                <c:pt idx="1309">
                  <c:v>1.8180559999999999</c:v>
                </c:pt>
                <c:pt idx="1310">
                  <c:v>1.8194440000000001</c:v>
                </c:pt>
                <c:pt idx="1311">
                  <c:v>1.8208329999999999</c:v>
                </c:pt>
                <c:pt idx="1312">
                  <c:v>1.822222</c:v>
                </c:pt>
                <c:pt idx="1313">
                  <c:v>1.8236110000000001</c:v>
                </c:pt>
                <c:pt idx="1314">
                  <c:v>1.825</c:v>
                </c:pt>
                <c:pt idx="1315">
                  <c:v>1.826389</c:v>
                </c:pt>
                <c:pt idx="1316">
                  <c:v>1.8277779999999999</c:v>
                </c:pt>
                <c:pt idx="1317">
                  <c:v>1.829167</c:v>
                </c:pt>
                <c:pt idx="1318">
                  <c:v>1.8305560000000001</c:v>
                </c:pt>
                <c:pt idx="1319">
                  <c:v>1.831944</c:v>
                </c:pt>
                <c:pt idx="1320">
                  <c:v>1.8333330000000001</c:v>
                </c:pt>
                <c:pt idx="1321">
                  <c:v>1.834722</c:v>
                </c:pt>
                <c:pt idx="1322">
                  <c:v>1.836111</c:v>
                </c:pt>
                <c:pt idx="1323">
                  <c:v>1.8374999999999999</c:v>
                </c:pt>
                <c:pt idx="1324">
                  <c:v>1.838889</c:v>
                </c:pt>
                <c:pt idx="1325">
                  <c:v>1.8402780000000001</c:v>
                </c:pt>
                <c:pt idx="1326">
                  <c:v>1.8416669999999999</c:v>
                </c:pt>
                <c:pt idx="1327">
                  <c:v>1.843056</c:v>
                </c:pt>
                <c:pt idx="1328">
                  <c:v>1.844444</c:v>
                </c:pt>
                <c:pt idx="1329">
                  <c:v>1.8458330000000001</c:v>
                </c:pt>
                <c:pt idx="1330">
                  <c:v>1.8472219999999999</c:v>
                </c:pt>
                <c:pt idx="1331">
                  <c:v>1.848611</c:v>
                </c:pt>
                <c:pt idx="1332">
                  <c:v>1.85</c:v>
                </c:pt>
                <c:pt idx="1333">
                  <c:v>1.851389</c:v>
                </c:pt>
                <c:pt idx="1334">
                  <c:v>1.852778</c:v>
                </c:pt>
                <c:pt idx="1335">
                  <c:v>1.8541669999999999</c:v>
                </c:pt>
                <c:pt idx="1336">
                  <c:v>1.855556</c:v>
                </c:pt>
                <c:pt idx="1337">
                  <c:v>1.8569439999999999</c:v>
                </c:pt>
                <c:pt idx="1338">
                  <c:v>1.858333</c:v>
                </c:pt>
                <c:pt idx="1339">
                  <c:v>1.8597220000000001</c:v>
                </c:pt>
                <c:pt idx="1340">
                  <c:v>1.861111</c:v>
                </c:pt>
                <c:pt idx="1341">
                  <c:v>1.8625</c:v>
                </c:pt>
                <c:pt idx="1342">
                  <c:v>1.8638889999999999</c:v>
                </c:pt>
                <c:pt idx="1343">
                  <c:v>1.865278</c:v>
                </c:pt>
                <c:pt idx="1344">
                  <c:v>1.8666670000000001</c:v>
                </c:pt>
                <c:pt idx="1345">
                  <c:v>1.8680559999999999</c:v>
                </c:pt>
                <c:pt idx="1346">
                  <c:v>1.8694440000000001</c:v>
                </c:pt>
                <c:pt idx="1347">
                  <c:v>1.870833</c:v>
                </c:pt>
                <c:pt idx="1348">
                  <c:v>1.8722220000000001</c:v>
                </c:pt>
                <c:pt idx="1349">
                  <c:v>1.8736109999999999</c:v>
                </c:pt>
                <c:pt idx="1350">
                  <c:v>1.875</c:v>
                </c:pt>
                <c:pt idx="1351">
                  <c:v>1.8763890000000001</c:v>
                </c:pt>
                <c:pt idx="1352">
                  <c:v>1.8777779999999999</c:v>
                </c:pt>
                <c:pt idx="1353">
                  <c:v>1.879167</c:v>
                </c:pt>
                <c:pt idx="1354">
                  <c:v>1.8805559999999999</c:v>
                </c:pt>
                <c:pt idx="1355">
                  <c:v>1.8819440000000001</c:v>
                </c:pt>
                <c:pt idx="1356">
                  <c:v>1.8833329999999999</c:v>
                </c:pt>
                <c:pt idx="1357">
                  <c:v>1.884722</c:v>
                </c:pt>
                <c:pt idx="1358">
                  <c:v>1.8861110000000001</c:v>
                </c:pt>
                <c:pt idx="1359">
                  <c:v>1.8875</c:v>
                </c:pt>
                <c:pt idx="1360">
                  <c:v>1.888889</c:v>
                </c:pt>
                <c:pt idx="1361">
                  <c:v>1.8902779999999999</c:v>
                </c:pt>
                <c:pt idx="1362">
                  <c:v>1.891667</c:v>
                </c:pt>
                <c:pt idx="1363">
                  <c:v>1.8930560000000001</c:v>
                </c:pt>
                <c:pt idx="1364">
                  <c:v>1.894444</c:v>
                </c:pt>
                <c:pt idx="1365">
                  <c:v>1.8958330000000001</c:v>
                </c:pt>
                <c:pt idx="1366">
                  <c:v>1.897222</c:v>
                </c:pt>
                <c:pt idx="1367">
                  <c:v>1.898611</c:v>
                </c:pt>
                <c:pt idx="1368">
                  <c:v>1.9</c:v>
                </c:pt>
                <c:pt idx="1369">
                  <c:v>1.901389</c:v>
                </c:pt>
                <c:pt idx="1370">
                  <c:v>1.9027780000000001</c:v>
                </c:pt>
                <c:pt idx="1371">
                  <c:v>1.9041669999999999</c:v>
                </c:pt>
                <c:pt idx="1372">
                  <c:v>1.905556</c:v>
                </c:pt>
                <c:pt idx="1373">
                  <c:v>1.906944</c:v>
                </c:pt>
                <c:pt idx="1374">
                  <c:v>1.9083330000000001</c:v>
                </c:pt>
                <c:pt idx="1375">
                  <c:v>1.9097219999999999</c:v>
                </c:pt>
                <c:pt idx="1376">
                  <c:v>1.911111</c:v>
                </c:pt>
                <c:pt idx="1377">
                  <c:v>1.9125000000000001</c:v>
                </c:pt>
                <c:pt idx="1378">
                  <c:v>1.913889</c:v>
                </c:pt>
                <c:pt idx="1379">
                  <c:v>1.915278</c:v>
                </c:pt>
                <c:pt idx="1380">
                  <c:v>1.9166669999999999</c:v>
                </c:pt>
                <c:pt idx="1381">
                  <c:v>1.918056</c:v>
                </c:pt>
                <c:pt idx="1382">
                  <c:v>1.9194439999999999</c:v>
                </c:pt>
                <c:pt idx="1383">
                  <c:v>1.920833</c:v>
                </c:pt>
                <c:pt idx="1384">
                  <c:v>1.9222220000000001</c:v>
                </c:pt>
                <c:pt idx="1385">
                  <c:v>1.923611</c:v>
                </c:pt>
                <c:pt idx="1386">
                  <c:v>1.925</c:v>
                </c:pt>
                <c:pt idx="1387">
                  <c:v>1.9263889999999999</c:v>
                </c:pt>
                <c:pt idx="1388">
                  <c:v>1.927778</c:v>
                </c:pt>
                <c:pt idx="1389">
                  <c:v>1.9291670000000001</c:v>
                </c:pt>
                <c:pt idx="1390">
                  <c:v>1.9305559999999999</c:v>
                </c:pt>
                <c:pt idx="1391">
                  <c:v>1.9319440000000001</c:v>
                </c:pt>
                <c:pt idx="1392">
                  <c:v>1.933333</c:v>
                </c:pt>
                <c:pt idx="1393">
                  <c:v>1.9347220000000001</c:v>
                </c:pt>
                <c:pt idx="1394">
                  <c:v>1.9361109999999999</c:v>
                </c:pt>
                <c:pt idx="1395">
                  <c:v>1.9375</c:v>
                </c:pt>
                <c:pt idx="1396">
                  <c:v>1.9388890000000001</c:v>
                </c:pt>
                <c:pt idx="1397">
                  <c:v>1.9402779999999999</c:v>
                </c:pt>
                <c:pt idx="1398">
                  <c:v>1.941667</c:v>
                </c:pt>
                <c:pt idx="1399">
                  <c:v>1.9430559999999999</c:v>
                </c:pt>
                <c:pt idx="1400">
                  <c:v>1.9444440000000001</c:v>
                </c:pt>
                <c:pt idx="1401">
                  <c:v>1.9458329999999999</c:v>
                </c:pt>
                <c:pt idx="1402">
                  <c:v>1.947222</c:v>
                </c:pt>
                <c:pt idx="1403">
                  <c:v>1.9486110000000001</c:v>
                </c:pt>
                <c:pt idx="1404">
                  <c:v>1.95</c:v>
                </c:pt>
                <c:pt idx="1405">
                  <c:v>1.951389</c:v>
                </c:pt>
                <c:pt idx="1406">
                  <c:v>1.9527779999999999</c:v>
                </c:pt>
                <c:pt idx="1407">
                  <c:v>1.954167</c:v>
                </c:pt>
                <c:pt idx="1408">
                  <c:v>1.9555560000000001</c:v>
                </c:pt>
                <c:pt idx="1409">
                  <c:v>1.956944</c:v>
                </c:pt>
                <c:pt idx="1410">
                  <c:v>1.9583330000000001</c:v>
                </c:pt>
                <c:pt idx="1411">
                  <c:v>1.959722</c:v>
                </c:pt>
                <c:pt idx="1412">
                  <c:v>1.961111</c:v>
                </c:pt>
                <c:pt idx="1413">
                  <c:v>1.9624999999999999</c:v>
                </c:pt>
                <c:pt idx="1414">
                  <c:v>1.963889</c:v>
                </c:pt>
                <c:pt idx="1415">
                  <c:v>1.9652780000000001</c:v>
                </c:pt>
                <c:pt idx="1416">
                  <c:v>1.9666669999999999</c:v>
                </c:pt>
                <c:pt idx="1417">
                  <c:v>1.968056</c:v>
                </c:pt>
                <c:pt idx="1418">
                  <c:v>1.969444</c:v>
                </c:pt>
                <c:pt idx="1419">
                  <c:v>1.9708330000000001</c:v>
                </c:pt>
                <c:pt idx="1420">
                  <c:v>1.9722219999999999</c:v>
                </c:pt>
                <c:pt idx="1421">
                  <c:v>1.973611</c:v>
                </c:pt>
                <c:pt idx="1422">
                  <c:v>1.9750000000000001</c:v>
                </c:pt>
                <c:pt idx="1423">
                  <c:v>1.976389</c:v>
                </c:pt>
                <c:pt idx="1424">
                  <c:v>1.977778</c:v>
                </c:pt>
                <c:pt idx="1425">
                  <c:v>1.9791669999999999</c:v>
                </c:pt>
                <c:pt idx="1426">
                  <c:v>1.980556</c:v>
                </c:pt>
                <c:pt idx="1427">
                  <c:v>1.9819439999999999</c:v>
                </c:pt>
                <c:pt idx="1428">
                  <c:v>1.983333</c:v>
                </c:pt>
                <c:pt idx="1429">
                  <c:v>1.9847220000000001</c:v>
                </c:pt>
                <c:pt idx="1430">
                  <c:v>1.986111</c:v>
                </c:pt>
                <c:pt idx="1431">
                  <c:v>1.9875</c:v>
                </c:pt>
                <c:pt idx="1432">
                  <c:v>1.9888889999999999</c:v>
                </c:pt>
                <c:pt idx="1433">
                  <c:v>1.990278</c:v>
                </c:pt>
                <c:pt idx="1434">
                  <c:v>1.9916670000000001</c:v>
                </c:pt>
                <c:pt idx="1435">
                  <c:v>1.9930559999999999</c:v>
                </c:pt>
                <c:pt idx="1436">
                  <c:v>1.9944440000000001</c:v>
                </c:pt>
                <c:pt idx="1437">
                  <c:v>1.995833</c:v>
                </c:pt>
                <c:pt idx="1438">
                  <c:v>1.9972220000000001</c:v>
                </c:pt>
                <c:pt idx="1439">
                  <c:v>1.9986109999999999</c:v>
                </c:pt>
                <c:pt idx="1440">
                  <c:v>2</c:v>
                </c:pt>
                <c:pt idx="1441">
                  <c:v>2.0013890000000001</c:v>
                </c:pt>
                <c:pt idx="1442">
                  <c:v>2.0027780000000002</c:v>
                </c:pt>
                <c:pt idx="1443">
                  <c:v>2.0041669999999998</c:v>
                </c:pt>
                <c:pt idx="1444">
                  <c:v>2.0055559999999999</c:v>
                </c:pt>
                <c:pt idx="1445">
                  <c:v>2.0069439999999998</c:v>
                </c:pt>
                <c:pt idx="1446">
                  <c:v>2.0083329999999999</c:v>
                </c:pt>
                <c:pt idx="1447">
                  <c:v>2.009722</c:v>
                </c:pt>
                <c:pt idx="1448">
                  <c:v>2.0111110000000001</c:v>
                </c:pt>
                <c:pt idx="1449">
                  <c:v>2.0125000000000002</c:v>
                </c:pt>
                <c:pt idx="1450">
                  <c:v>2.0138889999999998</c:v>
                </c:pt>
                <c:pt idx="1451">
                  <c:v>2.0152779999999999</c:v>
                </c:pt>
                <c:pt idx="1452">
                  <c:v>2.016667</c:v>
                </c:pt>
                <c:pt idx="1453">
                  <c:v>2.0180560000000001</c:v>
                </c:pt>
                <c:pt idx="1454">
                  <c:v>2.019444</c:v>
                </c:pt>
                <c:pt idx="1455">
                  <c:v>2.0208330000000001</c:v>
                </c:pt>
                <c:pt idx="1456">
                  <c:v>2.0222220000000002</c:v>
                </c:pt>
                <c:pt idx="1457">
                  <c:v>2.0236109999999998</c:v>
                </c:pt>
                <c:pt idx="1458">
                  <c:v>2.0249999999999999</c:v>
                </c:pt>
                <c:pt idx="1459">
                  <c:v>2.026389</c:v>
                </c:pt>
                <c:pt idx="1460">
                  <c:v>2.0277780000000001</c:v>
                </c:pt>
                <c:pt idx="1461">
                  <c:v>2.0291670000000002</c:v>
                </c:pt>
                <c:pt idx="1462">
                  <c:v>2.0305559999999998</c:v>
                </c:pt>
                <c:pt idx="1463">
                  <c:v>2.0319440000000002</c:v>
                </c:pt>
                <c:pt idx="1464">
                  <c:v>2.0333329999999998</c:v>
                </c:pt>
                <c:pt idx="1465">
                  <c:v>2.0347219999999999</c:v>
                </c:pt>
                <c:pt idx="1466">
                  <c:v>2.036111</c:v>
                </c:pt>
                <c:pt idx="1467">
                  <c:v>2.0375000000000001</c:v>
                </c:pt>
                <c:pt idx="1468">
                  <c:v>2.0388890000000002</c:v>
                </c:pt>
                <c:pt idx="1469">
                  <c:v>2.0402779999999998</c:v>
                </c:pt>
                <c:pt idx="1470">
                  <c:v>2.0416669999999999</c:v>
                </c:pt>
                <c:pt idx="1471">
                  <c:v>2.043056</c:v>
                </c:pt>
                <c:pt idx="1472">
                  <c:v>2.0444439999999999</c:v>
                </c:pt>
                <c:pt idx="1473">
                  <c:v>2.045833</c:v>
                </c:pt>
                <c:pt idx="1474">
                  <c:v>2.0472220000000001</c:v>
                </c:pt>
                <c:pt idx="1475">
                  <c:v>2.0486110000000002</c:v>
                </c:pt>
                <c:pt idx="1476">
                  <c:v>2.0499999999999998</c:v>
                </c:pt>
                <c:pt idx="1477">
                  <c:v>2.0513889999999999</c:v>
                </c:pt>
                <c:pt idx="1478">
                  <c:v>2.052778</c:v>
                </c:pt>
                <c:pt idx="1479">
                  <c:v>2.0541670000000001</c:v>
                </c:pt>
                <c:pt idx="1480">
                  <c:v>2.0555560000000002</c:v>
                </c:pt>
                <c:pt idx="1481">
                  <c:v>2.0569440000000001</c:v>
                </c:pt>
                <c:pt idx="1482">
                  <c:v>2.0583330000000002</c:v>
                </c:pt>
                <c:pt idx="1483">
                  <c:v>2.0597219999999998</c:v>
                </c:pt>
                <c:pt idx="1484">
                  <c:v>2.0611109999999999</c:v>
                </c:pt>
                <c:pt idx="1485">
                  <c:v>2.0625</c:v>
                </c:pt>
                <c:pt idx="1486">
                  <c:v>2.0638890000000001</c:v>
                </c:pt>
                <c:pt idx="1487">
                  <c:v>2.0652780000000002</c:v>
                </c:pt>
                <c:pt idx="1488">
                  <c:v>2.0666669999999998</c:v>
                </c:pt>
                <c:pt idx="1489">
                  <c:v>2.0680559999999999</c:v>
                </c:pt>
                <c:pt idx="1490">
                  <c:v>2.0694439999999998</c:v>
                </c:pt>
                <c:pt idx="1491">
                  <c:v>2.0708329999999999</c:v>
                </c:pt>
                <c:pt idx="1492">
                  <c:v>2.072222</c:v>
                </c:pt>
                <c:pt idx="1493">
                  <c:v>2.0736110000000001</c:v>
                </c:pt>
                <c:pt idx="1494">
                  <c:v>2.0750000000000002</c:v>
                </c:pt>
                <c:pt idx="1495">
                  <c:v>2.0763889999999998</c:v>
                </c:pt>
                <c:pt idx="1496">
                  <c:v>2.0777779999999999</c:v>
                </c:pt>
                <c:pt idx="1497">
                  <c:v>2.079167</c:v>
                </c:pt>
                <c:pt idx="1498">
                  <c:v>2.0805560000000001</c:v>
                </c:pt>
                <c:pt idx="1499">
                  <c:v>2.081944</c:v>
                </c:pt>
                <c:pt idx="1500">
                  <c:v>2.0833330000000001</c:v>
                </c:pt>
                <c:pt idx="1501">
                  <c:v>2.0847220000000002</c:v>
                </c:pt>
                <c:pt idx="1502">
                  <c:v>2.0861109999999998</c:v>
                </c:pt>
                <c:pt idx="1503">
                  <c:v>2.0874999999999999</c:v>
                </c:pt>
                <c:pt idx="1504">
                  <c:v>2.088889</c:v>
                </c:pt>
                <c:pt idx="1505">
                  <c:v>2.0902780000000001</c:v>
                </c:pt>
                <c:pt idx="1506">
                  <c:v>2.0916670000000002</c:v>
                </c:pt>
                <c:pt idx="1507">
                  <c:v>2.0930559999999998</c:v>
                </c:pt>
                <c:pt idx="1508">
                  <c:v>2.0944440000000002</c:v>
                </c:pt>
                <c:pt idx="1509">
                  <c:v>2.0958329999999998</c:v>
                </c:pt>
                <c:pt idx="1510">
                  <c:v>2.0972219999999999</c:v>
                </c:pt>
                <c:pt idx="1511">
                  <c:v>2.098611</c:v>
                </c:pt>
                <c:pt idx="1512">
                  <c:v>2.1</c:v>
                </c:pt>
                <c:pt idx="1513">
                  <c:v>2.1013890000000002</c:v>
                </c:pt>
                <c:pt idx="1514">
                  <c:v>2.1027779999999998</c:v>
                </c:pt>
                <c:pt idx="1515">
                  <c:v>2.1041669999999999</c:v>
                </c:pt>
                <c:pt idx="1516">
                  <c:v>2.105556</c:v>
                </c:pt>
                <c:pt idx="1517">
                  <c:v>2.1069439999999999</c:v>
                </c:pt>
                <c:pt idx="1518">
                  <c:v>2.108333</c:v>
                </c:pt>
                <c:pt idx="1519">
                  <c:v>2.1097220000000001</c:v>
                </c:pt>
                <c:pt idx="1520">
                  <c:v>2.1111110000000002</c:v>
                </c:pt>
                <c:pt idx="1521">
                  <c:v>2.1124999999999998</c:v>
                </c:pt>
                <c:pt idx="1522">
                  <c:v>2.1138889999999999</c:v>
                </c:pt>
                <c:pt idx="1523">
                  <c:v>2.115278</c:v>
                </c:pt>
                <c:pt idx="1524">
                  <c:v>2.1166670000000001</c:v>
                </c:pt>
                <c:pt idx="1525">
                  <c:v>2.1180560000000002</c:v>
                </c:pt>
                <c:pt idx="1526">
                  <c:v>2.1194440000000001</c:v>
                </c:pt>
                <c:pt idx="1527">
                  <c:v>2.1208330000000002</c:v>
                </c:pt>
                <c:pt idx="1528">
                  <c:v>2.1222219999999998</c:v>
                </c:pt>
                <c:pt idx="1529">
                  <c:v>2.1236109999999999</c:v>
                </c:pt>
                <c:pt idx="1530">
                  <c:v>2.125</c:v>
                </c:pt>
                <c:pt idx="1531">
                  <c:v>2.1263890000000001</c:v>
                </c:pt>
                <c:pt idx="1532">
                  <c:v>2.1277780000000002</c:v>
                </c:pt>
                <c:pt idx="1533">
                  <c:v>2.1291669999999998</c:v>
                </c:pt>
                <c:pt idx="1534">
                  <c:v>2.1305559999999999</c:v>
                </c:pt>
                <c:pt idx="1535">
                  <c:v>2.1319439999999998</c:v>
                </c:pt>
                <c:pt idx="1536">
                  <c:v>2.1333329999999999</c:v>
                </c:pt>
                <c:pt idx="1537">
                  <c:v>2.134722</c:v>
                </c:pt>
                <c:pt idx="1538">
                  <c:v>2.1361110000000001</c:v>
                </c:pt>
                <c:pt idx="1539">
                  <c:v>2.1375000000000002</c:v>
                </c:pt>
                <c:pt idx="1540">
                  <c:v>2.1388889999999998</c:v>
                </c:pt>
                <c:pt idx="1541">
                  <c:v>2.1402779999999999</c:v>
                </c:pt>
                <c:pt idx="1542">
                  <c:v>2.141667</c:v>
                </c:pt>
                <c:pt idx="1543">
                  <c:v>2.1430560000000001</c:v>
                </c:pt>
                <c:pt idx="1544">
                  <c:v>2.144444</c:v>
                </c:pt>
                <c:pt idx="1545">
                  <c:v>2.1458330000000001</c:v>
                </c:pt>
                <c:pt idx="1546">
                  <c:v>2.1472220000000002</c:v>
                </c:pt>
                <c:pt idx="1547">
                  <c:v>2.1486109999999998</c:v>
                </c:pt>
                <c:pt idx="1548">
                  <c:v>2.15</c:v>
                </c:pt>
                <c:pt idx="1549">
                  <c:v>2.151389</c:v>
                </c:pt>
                <c:pt idx="1550">
                  <c:v>2.1527780000000001</c:v>
                </c:pt>
                <c:pt idx="1551">
                  <c:v>2.1541670000000002</c:v>
                </c:pt>
                <c:pt idx="1552">
                  <c:v>2.1555559999999998</c:v>
                </c:pt>
                <c:pt idx="1553">
                  <c:v>2.1569440000000002</c:v>
                </c:pt>
                <c:pt idx="1554">
                  <c:v>2.1583329999999998</c:v>
                </c:pt>
                <c:pt idx="1555">
                  <c:v>2.1597219999999999</c:v>
                </c:pt>
                <c:pt idx="1556">
                  <c:v>2.161111</c:v>
                </c:pt>
                <c:pt idx="1557">
                  <c:v>2.1625000000000001</c:v>
                </c:pt>
                <c:pt idx="1558">
                  <c:v>2.1638890000000002</c:v>
                </c:pt>
                <c:pt idx="1559">
                  <c:v>2.1652779999999998</c:v>
                </c:pt>
                <c:pt idx="1560">
                  <c:v>2.1666669999999999</c:v>
                </c:pt>
                <c:pt idx="1561">
                  <c:v>2.168056</c:v>
                </c:pt>
                <c:pt idx="1562">
                  <c:v>2.1694439999999999</c:v>
                </c:pt>
                <c:pt idx="1563">
                  <c:v>2.170833</c:v>
                </c:pt>
                <c:pt idx="1564">
                  <c:v>2.1722220000000001</c:v>
                </c:pt>
                <c:pt idx="1565">
                  <c:v>2.1736110000000002</c:v>
                </c:pt>
                <c:pt idx="1566">
                  <c:v>2.1749999999999998</c:v>
                </c:pt>
                <c:pt idx="1567">
                  <c:v>2.1763889999999999</c:v>
                </c:pt>
                <c:pt idx="1568">
                  <c:v>2.177778</c:v>
                </c:pt>
                <c:pt idx="1569">
                  <c:v>2.1791670000000001</c:v>
                </c:pt>
                <c:pt idx="1570">
                  <c:v>2.1805560000000002</c:v>
                </c:pt>
                <c:pt idx="1571">
                  <c:v>2.1819440000000001</c:v>
                </c:pt>
                <c:pt idx="1572">
                  <c:v>2.1833330000000002</c:v>
                </c:pt>
                <c:pt idx="1573">
                  <c:v>2.1847219999999998</c:v>
                </c:pt>
                <c:pt idx="1574">
                  <c:v>2.1861109999999999</c:v>
                </c:pt>
                <c:pt idx="1575">
                  <c:v>2.1875</c:v>
                </c:pt>
                <c:pt idx="1576">
                  <c:v>2.1888890000000001</c:v>
                </c:pt>
                <c:pt idx="1577">
                  <c:v>2.1902780000000002</c:v>
                </c:pt>
                <c:pt idx="1578">
                  <c:v>2.1916669999999998</c:v>
                </c:pt>
                <c:pt idx="1579">
                  <c:v>2.1930559999999999</c:v>
                </c:pt>
                <c:pt idx="1580">
                  <c:v>2.1944439999999998</c:v>
                </c:pt>
                <c:pt idx="1581">
                  <c:v>2.1958329999999999</c:v>
                </c:pt>
                <c:pt idx="1582">
                  <c:v>2.197222</c:v>
                </c:pt>
                <c:pt idx="1583">
                  <c:v>2.1986110000000001</c:v>
                </c:pt>
                <c:pt idx="1584">
                  <c:v>2.2000000000000002</c:v>
                </c:pt>
                <c:pt idx="1585">
                  <c:v>2.2013889999999998</c:v>
                </c:pt>
                <c:pt idx="1586">
                  <c:v>2.2027779999999999</c:v>
                </c:pt>
                <c:pt idx="1587">
                  <c:v>2.204167</c:v>
                </c:pt>
                <c:pt idx="1588">
                  <c:v>2.2055560000000001</c:v>
                </c:pt>
                <c:pt idx="1589">
                  <c:v>2.206944</c:v>
                </c:pt>
                <c:pt idx="1590">
                  <c:v>2.2083330000000001</c:v>
                </c:pt>
                <c:pt idx="1591">
                  <c:v>2.2097220000000002</c:v>
                </c:pt>
                <c:pt idx="1592">
                  <c:v>2.2111109999999998</c:v>
                </c:pt>
                <c:pt idx="1593">
                  <c:v>2.2124999999999999</c:v>
                </c:pt>
                <c:pt idx="1594">
                  <c:v>2.213889</c:v>
                </c:pt>
                <c:pt idx="1595">
                  <c:v>2.2152780000000001</c:v>
                </c:pt>
                <c:pt idx="1596">
                  <c:v>2.2166670000000002</c:v>
                </c:pt>
                <c:pt idx="1597">
                  <c:v>2.2180559999999998</c:v>
                </c:pt>
                <c:pt idx="1598">
                  <c:v>2.2194440000000002</c:v>
                </c:pt>
                <c:pt idx="1599">
                  <c:v>2.2208329999999998</c:v>
                </c:pt>
                <c:pt idx="1600">
                  <c:v>2.2222219999999999</c:v>
                </c:pt>
                <c:pt idx="1601">
                  <c:v>2.223611</c:v>
                </c:pt>
                <c:pt idx="1602">
                  <c:v>2.2250000000000001</c:v>
                </c:pt>
                <c:pt idx="1603">
                  <c:v>2.2263890000000002</c:v>
                </c:pt>
                <c:pt idx="1604">
                  <c:v>2.2277779999999998</c:v>
                </c:pt>
                <c:pt idx="1605">
                  <c:v>2.2291669999999999</c:v>
                </c:pt>
                <c:pt idx="1606">
                  <c:v>2.230556</c:v>
                </c:pt>
                <c:pt idx="1607">
                  <c:v>2.2319439999999999</c:v>
                </c:pt>
                <c:pt idx="1608">
                  <c:v>2.233333</c:v>
                </c:pt>
                <c:pt idx="1609">
                  <c:v>2.2347220000000001</c:v>
                </c:pt>
                <c:pt idx="1610">
                  <c:v>2.2361110000000002</c:v>
                </c:pt>
                <c:pt idx="1611">
                  <c:v>2.2374999999999998</c:v>
                </c:pt>
                <c:pt idx="1612">
                  <c:v>2.2388889999999999</c:v>
                </c:pt>
                <c:pt idx="1613">
                  <c:v>2.240278</c:v>
                </c:pt>
                <c:pt idx="1614">
                  <c:v>2.2416670000000001</c:v>
                </c:pt>
                <c:pt idx="1615">
                  <c:v>2.2430560000000002</c:v>
                </c:pt>
                <c:pt idx="1616">
                  <c:v>2.2444440000000001</c:v>
                </c:pt>
                <c:pt idx="1617">
                  <c:v>2.2458330000000002</c:v>
                </c:pt>
                <c:pt idx="1618">
                  <c:v>2.2472219999999998</c:v>
                </c:pt>
                <c:pt idx="1619">
                  <c:v>2.2486109999999999</c:v>
                </c:pt>
                <c:pt idx="1620">
                  <c:v>2.25</c:v>
                </c:pt>
                <c:pt idx="1621">
                  <c:v>2.2513890000000001</c:v>
                </c:pt>
                <c:pt idx="1622">
                  <c:v>2.2527780000000002</c:v>
                </c:pt>
                <c:pt idx="1623">
                  <c:v>2.2541669999999998</c:v>
                </c:pt>
                <c:pt idx="1624">
                  <c:v>2.2555559999999999</c:v>
                </c:pt>
                <c:pt idx="1625">
                  <c:v>2.2569439999999998</c:v>
                </c:pt>
                <c:pt idx="1626">
                  <c:v>2.2583329999999999</c:v>
                </c:pt>
                <c:pt idx="1627">
                  <c:v>2.259722</c:v>
                </c:pt>
                <c:pt idx="1628">
                  <c:v>2.2611110000000001</c:v>
                </c:pt>
                <c:pt idx="1629">
                  <c:v>2.2625000000000002</c:v>
                </c:pt>
                <c:pt idx="1630">
                  <c:v>2.2638889999999998</c:v>
                </c:pt>
                <c:pt idx="1631">
                  <c:v>2.2652779999999999</c:v>
                </c:pt>
                <c:pt idx="1632">
                  <c:v>2.266667</c:v>
                </c:pt>
                <c:pt idx="1633">
                  <c:v>2.2680560000000001</c:v>
                </c:pt>
                <c:pt idx="1634">
                  <c:v>2.269444</c:v>
                </c:pt>
                <c:pt idx="1635">
                  <c:v>2.2708330000000001</c:v>
                </c:pt>
                <c:pt idx="1636">
                  <c:v>2.2722220000000002</c:v>
                </c:pt>
                <c:pt idx="1637">
                  <c:v>2.2736109999999998</c:v>
                </c:pt>
                <c:pt idx="1638">
                  <c:v>2.2749999999999999</c:v>
                </c:pt>
                <c:pt idx="1639">
                  <c:v>2.276389</c:v>
                </c:pt>
                <c:pt idx="1640">
                  <c:v>2.2777780000000001</c:v>
                </c:pt>
                <c:pt idx="1641">
                  <c:v>2.2791670000000002</c:v>
                </c:pt>
                <c:pt idx="1642">
                  <c:v>2.2805559999999998</c:v>
                </c:pt>
                <c:pt idx="1643">
                  <c:v>2.2819440000000002</c:v>
                </c:pt>
                <c:pt idx="1644">
                  <c:v>2.2833329999999998</c:v>
                </c:pt>
                <c:pt idx="1645">
                  <c:v>2.2847219999999999</c:v>
                </c:pt>
                <c:pt idx="1646">
                  <c:v>2.286111</c:v>
                </c:pt>
                <c:pt idx="1647">
                  <c:v>2.2875000000000001</c:v>
                </c:pt>
                <c:pt idx="1648">
                  <c:v>2.2888890000000002</c:v>
                </c:pt>
                <c:pt idx="1649">
                  <c:v>2.2902779999999998</c:v>
                </c:pt>
                <c:pt idx="1650">
                  <c:v>2.2916669999999999</c:v>
                </c:pt>
                <c:pt idx="1651">
                  <c:v>2.293056</c:v>
                </c:pt>
                <c:pt idx="1652">
                  <c:v>2.2944439999999999</c:v>
                </c:pt>
                <c:pt idx="1653">
                  <c:v>2.295833</c:v>
                </c:pt>
                <c:pt idx="1654">
                  <c:v>2.2972220000000001</c:v>
                </c:pt>
                <c:pt idx="1655">
                  <c:v>2.2986110000000002</c:v>
                </c:pt>
                <c:pt idx="1656">
                  <c:v>2.2999999999999998</c:v>
                </c:pt>
                <c:pt idx="1657">
                  <c:v>2.3013889999999999</c:v>
                </c:pt>
                <c:pt idx="1658">
                  <c:v>2.302778</c:v>
                </c:pt>
                <c:pt idx="1659">
                  <c:v>2.3041670000000001</c:v>
                </c:pt>
                <c:pt idx="1660">
                  <c:v>2.3055560000000002</c:v>
                </c:pt>
                <c:pt idx="1661">
                  <c:v>2.3069440000000001</c:v>
                </c:pt>
                <c:pt idx="1662">
                  <c:v>2.3083330000000002</c:v>
                </c:pt>
                <c:pt idx="1663">
                  <c:v>2.3097219999999998</c:v>
                </c:pt>
                <c:pt idx="1664">
                  <c:v>2.3111109999999999</c:v>
                </c:pt>
                <c:pt idx="1665">
                  <c:v>2.3125</c:v>
                </c:pt>
                <c:pt idx="1666">
                  <c:v>2.3138890000000001</c:v>
                </c:pt>
                <c:pt idx="1667">
                  <c:v>2.3152780000000002</c:v>
                </c:pt>
                <c:pt idx="1668">
                  <c:v>2.3166669999999998</c:v>
                </c:pt>
                <c:pt idx="1669">
                  <c:v>2.3180559999999999</c:v>
                </c:pt>
                <c:pt idx="1670">
                  <c:v>2.3194439999999998</c:v>
                </c:pt>
                <c:pt idx="1671">
                  <c:v>2.3208329999999999</c:v>
                </c:pt>
                <c:pt idx="1672">
                  <c:v>2.322222</c:v>
                </c:pt>
                <c:pt idx="1673">
                  <c:v>2.3236110000000001</c:v>
                </c:pt>
                <c:pt idx="1674">
                  <c:v>2.3250000000000002</c:v>
                </c:pt>
                <c:pt idx="1675">
                  <c:v>2.3263889999999998</c:v>
                </c:pt>
                <c:pt idx="1676">
                  <c:v>2.3277779999999999</c:v>
                </c:pt>
                <c:pt idx="1677">
                  <c:v>2.329167</c:v>
                </c:pt>
                <c:pt idx="1678">
                  <c:v>2.3305560000000001</c:v>
                </c:pt>
                <c:pt idx="1679">
                  <c:v>2.331944</c:v>
                </c:pt>
                <c:pt idx="1680">
                  <c:v>2.3333330000000001</c:v>
                </c:pt>
                <c:pt idx="1681">
                  <c:v>2.3347220000000002</c:v>
                </c:pt>
                <c:pt idx="1682">
                  <c:v>2.3361109999999998</c:v>
                </c:pt>
                <c:pt idx="1683">
                  <c:v>2.3374999999999999</c:v>
                </c:pt>
                <c:pt idx="1684">
                  <c:v>2.338889</c:v>
                </c:pt>
                <c:pt idx="1685">
                  <c:v>2.3402780000000001</c:v>
                </c:pt>
                <c:pt idx="1686">
                  <c:v>2.3416670000000002</c:v>
                </c:pt>
                <c:pt idx="1687">
                  <c:v>2.3430559999999998</c:v>
                </c:pt>
                <c:pt idx="1688">
                  <c:v>2.3444440000000002</c:v>
                </c:pt>
                <c:pt idx="1689">
                  <c:v>2.3458329999999998</c:v>
                </c:pt>
                <c:pt idx="1690">
                  <c:v>2.3472219999999999</c:v>
                </c:pt>
                <c:pt idx="1691">
                  <c:v>2.348611</c:v>
                </c:pt>
                <c:pt idx="1692">
                  <c:v>2.35</c:v>
                </c:pt>
                <c:pt idx="1693">
                  <c:v>2.3513890000000002</c:v>
                </c:pt>
                <c:pt idx="1694">
                  <c:v>2.3527779999999998</c:v>
                </c:pt>
                <c:pt idx="1695">
                  <c:v>2.3541669999999999</c:v>
                </c:pt>
                <c:pt idx="1696">
                  <c:v>2.355556</c:v>
                </c:pt>
                <c:pt idx="1697">
                  <c:v>2.3569439999999999</c:v>
                </c:pt>
                <c:pt idx="1698">
                  <c:v>2.358333</c:v>
                </c:pt>
                <c:pt idx="1699">
                  <c:v>2.3597220000000001</c:v>
                </c:pt>
                <c:pt idx="1700">
                  <c:v>2.3611110000000002</c:v>
                </c:pt>
                <c:pt idx="1701">
                  <c:v>2.3624999999999998</c:v>
                </c:pt>
                <c:pt idx="1702">
                  <c:v>2.3638889999999999</c:v>
                </c:pt>
                <c:pt idx="1703">
                  <c:v>2.365278</c:v>
                </c:pt>
                <c:pt idx="1704">
                  <c:v>2.3666670000000001</c:v>
                </c:pt>
                <c:pt idx="1705">
                  <c:v>2.3680560000000002</c:v>
                </c:pt>
                <c:pt idx="1706">
                  <c:v>2.3694440000000001</c:v>
                </c:pt>
                <c:pt idx="1707">
                  <c:v>2.3708330000000002</c:v>
                </c:pt>
                <c:pt idx="1708">
                  <c:v>2.3722219999999998</c:v>
                </c:pt>
                <c:pt idx="1709">
                  <c:v>2.3736109999999999</c:v>
                </c:pt>
                <c:pt idx="1710">
                  <c:v>2.375</c:v>
                </c:pt>
                <c:pt idx="1711">
                  <c:v>2.3763890000000001</c:v>
                </c:pt>
                <c:pt idx="1712">
                  <c:v>2.3777780000000002</c:v>
                </c:pt>
                <c:pt idx="1713">
                  <c:v>2.3791669999999998</c:v>
                </c:pt>
                <c:pt idx="1714">
                  <c:v>2.3805559999999999</c:v>
                </c:pt>
                <c:pt idx="1715">
                  <c:v>2.3819439999999998</c:v>
                </c:pt>
                <c:pt idx="1716">
                  <c:v>2.3833329999999999</c:v>
                </c:pt>
                <c:pt idx="1717">
                  <c:v>2.384722</c:v>
                </c:pt>
                <c:pt idx="1718">
                  <c:v>2.3861110000000001</c:v>
                </c:pt>
                <c:pt idx="1719">
                  <c:v>2.3875000000000002</c:v>
                </c:pt>
                <c:pt idx="1720">
                  <c:v>2.3888889999999998</c:v>
                </c:pt>
                <c:pt idx="1721">
                  <c:v>2.3902779999999999</c:v>
                </c:pt>
                <c:pt idx="1722">
                  <c:v>2.391667</c:v>
                </c:pt>
                <c:pt idx="1723">
                  <c:v>2.3930560000000001</c:v>
                </c:pt>
                <c:pt idx="1724">
                  <c:v>2.394444</c:v>
                </c:pt>
                <c:pt idx="1725">
                  <c:v>2.3958330000000001</c:v>
                </c:pt>
                <c:pt idx="1726">
                  <c:v>2.3972220000000002</c:v>
                </c:pt>
                <c:pt idx="1727">
                  <c:v>2.3986109999999998</c:v>
                </c:pt>
                <c:pt idx="1728">
                  <c:v>2.4</c:v>
                </c:pt>
                <c:pt idx="1729">
                  <c:v>2.401389</c:v>
                </c:pt>
                <c:pt idx="1730">
                  <c:v>2.4027780000000001</c:v>
                </c:pt>
                <c:pt idx="1731">
                  <c:v>2.4041670000000002</c:v>
                </c:pt>
                <c:pt idx="1732">
                  <c:v>2.4055559999999998</c:v>
                </c:pt>
                <c:pt idx="1733">
                  <c:v>2.4069440000000002</c:v>
                </c:pt>
                <c:pt idx="1734">
                  <c:v>2.4083329999999998</c:v>
                </c:pt>
                <c:pt idx="1735">
                  <c:v>2.4097219999999999</c:v>
                </c:pt>
                <c:pt idx="1736">
                  <c:v>2.411111</c:v>
                </c:pt>
                <c:pt idx="1737">
                  <c:v>2.4125000000000001</c:v>
                </c:pt>
                <c:pt idx="1738">
                  <c:v>2.4138890000000002</c:v>
                </c:pt>
                <c:pt idx="1739">
                  <c:v>2.4152779999999998</c:v>
                </c:pt>
                <c:pt idx="1740">
                  <c:v>2.4166669999999999</c:v>
                </c:pt>
                <c:pt idx="1741">
                  <c:v>2.418056</c:v>
                </c:pt>
                <c:pt idx="1742">
                  <c:v>2.4194439999999999</c:v>
                </c:pt>
                <c:pt idx="1743">
                  <c:v>2.420833</c:v>
                </c:pt>
                <c:pt idx="1744">
                  <c:v>2.4222220000000001</c:v>
                </c:pt>
                <c:pt idx="1745">
                  <c:v>2.4236110000000002</c:v>
                </c:pt>
                <c:pt idx="1746">
                  <c:v>2.4249999999999998</c:v>
                </c:pt>
                <c:pt idx="1747">
                  <c:v>2.4263889999999999</c:v>
                </c:pt>
                <c:pt idx="1748">
                  <c:v>2.427778</c:v>
                </c:pt>
                <c:pt idx="1749">
                  <c:v>2.4291670000000001</c:v>
                </c:pt>
                <c:pt idx="1750">
                  <c:v>2.4305560000000002</c:v>
                </c:pt>
                <c:pt idx="1751">
                  <c:v>2.4319440000000001</c:v>
                </c:pt>
                <c:pt idx="1752">
                  <c:v>2.4333330000000002</c:v>
                </c:pt>
                <c:pt idx="1753">
                  <c:v>2.4347219999999998</c:v>
                </c:pt>
                <c:pt idx="1754">
                  <c:v>2.4361109999999999</c:v>
                </c:pt>
                <c:pt idx="1755">
                  <c:v>2.4375</c:v>
                </c:pt>
                <c:pt idx="1756">
                  <c:v>2.4388890000000001</c:v>
                </c:pt>
                <c:pt idx="1757">
                  <c:v>2.4402780000000002</c:v>
                </c:pt>
                <c:pt idx="1758">
                  <c:v>2.4416669999999998</c:v>
                </c:pt>
                <c:pt idx="1759">
                  <c:v>2.4430559999999999</c:v>
                </c:pt>
                <c:pt idx="1760">
                  <c:v>2.4444439999999998</c:v>
                </c:pt>
                <c:pt idx="1761">
                  <c:v>2.4458329999999999</c:v>
                </c:pt>
                <c:pt idx="1762">
                  <c:v>2.447222</c:v>
                </c:pt>
                <c:pt idx="1763">
                  <c:v>2.4486110000000001</c:v>
                </c:pt>
                <c:pt idx="1764">
                  <c:v>2.4500000000000002</c:v>
                </c:pt>
                <c:pt idx="1765">
                  <c:v>2.4513889999999998</c:v>
                </c:pt>
                <c:pt idx="1766">
                  <c:v>2.4527779999999999</c:v>
                </c:pt>
                <c:pt idx="1767">
                  <c:v>2.454167</c:v>
                </c:pt>
                <c:pt idx="1768">
                  <c:v>2.4555560000000001</c:v>
                </c:pt>
                <c:pt idx="1769">
                  <c:v>2.456944</c:v>
                </c:pt>
                <c:pt idx="1770">
                  <c:v>2.4583330000000001</c:v>
                </c:pt>
                <c:pt idx="1771">
                  <c:v>2.4597220000000002</c:v>
                </c:pt>
                <c:pt idx="1772">
                  <c:v>2.4611109999999998</c:v>
                </c:pt>
                <c:pt idx="1773">
                  <c:v>2.4624999999999999</c:v>
                </c:pt>
                <c:pt idx="1774">
                  <c:v>2.463889</c:v>
                </c:pt>
                <c:pt idx="1775">
                  <c:v>2.4652780000000001</c:v>
                </c:pt>
                <c:pt idx="1776">
                  <c:v>2.4666670000000002</c:v>
                </c:pt>
                <c:pt idx="1777">
                  <c:v>2.4680559999999998</c:v>
                </c:pt>
                <c:pt idx="1778">
                  <c:v>2.4694440000000002</c:v>
                </c:pt>
                <c:pt idx="1779">
                  <c:v>2.4708329999999998</c:v>
                </c:pt>
                <c:pt idx="1780">
                  <c:v>2.4722219999999999</c:v>
                </c:pt>
                <c:pt idx="1781">
                  <c:v>2.473611</c:v>
                </c:pt>
                <c:pt idx="1782">
                  <c:v>2.4750000000000001</c:v>
                </c:pt>
                <c:pt idx="1783">
                  <c:v>2.4763890000000002</c:v>
                </c:pt>
                <c:pt idx="1784">
                  <c:v>2.4777779999999998</c:v>
                </c:pt>
                <c:pt idx="1785">
                  <c:v>2.4791669999999999</c:v>
                </c:pt>
                <c:pt idx="1786">
                  <c:v>2.480556</c:v>
                </c:pt>
                <c:pt idx="1787">
                  <c:v>2.4819439999999999</c:v>
                </c:pt>
                <c:pt idx="1788">
                  <c:v>2.483333</c:v>
                </c:pt>
                <c:pt idx="1789">
                  <c:v>2.4847220000000001</c:v>
                </c:pt>
                <c:pt idx="1790">
                  <c:v>2.4861110000000002</c:v>
                </c:pt>
                <c:pt idx="1791">
                  <c:v>2.4874999999999998</c:v>
                </c:pt>
                <c:pt idx="1792">
                  <c:v>2.4888889999999999</c:v>
                </c:pt>
                <c:pt idx="1793">
                  <c:v>2.490278</c:v>
                </c:pt>
                <c:pt idx="1794">
                  <c:v>2.4916670000000001</c:v>
                </c:pt>
                <c:pt idx="1795">
                  <c:v>2.4930560000000002</c:v>
                </c:pt>
                <c:pt idx="1796">
                  <c:v>2.4944440000000001</c:v>
                </c:pt>
                <c:pt idx="1797">
                  <c:v>2.4958330000000002</c:v>
                </c:pt>
                <c:pt idx="1798">
                  <c:v>2.4972219999999998</c:v>
                </c:pt>
                <c:pt idx="1799">
                  <c:v>2.4986109999999999</c:v>
                </c:pt>
                <c:pt idx="1800">
                  <c:v>2.5</c:v>
                </c:pt>
                <c:pt idx="1801">
                  <c:v>2.5013890000000001</c:v>
                </c:pt>
                <c:pt idx="1802">
                  <c:v>2.5027780000000002</c:v>
                </c:pt>
                <c:pt idx="1803">
                  <c:v>2.5041669999999998</c:v>
                </c:pt>
                <c:pt idx="1804">
                  <c:v>2.5055559999999999</c:v>
                </c:pt>
                <c:pt idx="1805">
                  <c:v>2.5069439999999998</c:v>
                </c:pt>
                <c:pt idx="1806">
                  <c:v>2.5083329999999999</c:v>
                </c:pt>
                <c:pt idx="1807">
                  <c:v>2.509722</c:v>
                </c:pt>
                <c:pt idx="1808">
                  <c:v>2.5111110000000001</c:v>
                </c:pt>
                <c:pt idx="1809">
                  <c:v>2.5125000000000002</c:v>
                </c:pt>
                <c:pt idx="1810">
                  <c:v>2.5138889999999998</c:v>
                </c:pt>
                <c:pt idx="1811">
                  <c:v>2.5152779999999999</c:v>
                </c:pt>
                <c:pt idx="1812">
                  <c:v>2.516667</c:v>
                </c:pt>
                <c:pt idx="1813">
                  <c:v>2.5180560000000001</c:v>
                </c:pt>
                <c:pt idx="1814">
                  <c:v>2.519444</c:v>
                </c:pt>
                <c:pt idx="1815">
                  <c:v>2.5208330000000001</c:v>
                </c:pt>
                <c:pt idx="1816">
                  <c:v>2.5222220000000002</c:v>
                </c:pt>
                <c:pt idx="1817">
                  <c:v>2.5236109999999998</c:v>
                </c:pt>
                <c:pt idx="1818">
                  <c:v>2.5249999999999999</c:v>
                </c:pt>
                <c:pt idx="1819">
                  <c:v>2.526389</c:v>
                </c:pt>
                <c:pt idx="1820">
                  <c:v>2.5277780000000001</c:v>
                </c:pt>
                <c:pt idx="1821">
                  <c:v>2.5291670000000002</c:v>
                </c:pt>
                <c:pt idx="1822">
                  <c:v>2.5305559999999998</c:v>
                </c:pt>
                <c:pt idx="1823">
                  <c:v>2.5319440000000002</c:v>
                </c:pt>
                <c:pt idx="1824">
                  <c:v>2.5333329999999998</c:v>
                </c:pt>
                <c:pt idx="1825">
                  <c:v>2.5347219999999999</c:v>
                </c:pt>
                <c:pt idx="1826">
                  <c:v>2.536111</c:v>
                </c:pt>
                <c:pt idx="1827">
                  <c:v>2.5375000000000001</c:v>
                </c:pt>
                <c:pt idx="1828">
                  <c:v>2.5388890000000002</c:v>
                </c:pt>
                <c:pt idx="1829">
                  <c:v>2.5402779999999998</c:v>
                </c:pt>
                <c:pt idx="1830">
                  <c:v>2.5416669999999999</c:v>
                </c:pt>
                <c:pt idx="1831">
                  <c:v>2.543056</c:v>
                </c:pt>
                <c:pt idx="1832">
                  <c:v>2.5444439999999999</c:v>
                </c:pt>
                <c:pt idx="1833">
                  <c:v>2.545833</c:v>
                </c:pt>
                <c:pt idx="1834">
                  <c:v>2.5472220000000001</c:v>
                </c:pt>
                <c:pt idx="1835">
                  <c:v>2.5486110000000002</c:v>
                </c:pt>
                <c:pt idx="1836">
                  <c:v>2.5499999999999998</c:v>
                </c:pt>
                <c:pt idx="1837">
                  <c:v>2.5513889999999999</c:v>
                </c:pt>
                <c:pt idx="1838">
                  <c:v>2.552778</c:v>
                </c:pt>
                <c:pt idx="1839">
                  <c:v>2.5541670000000001</c:v>
                </c:pt>
                <c:pt idx="1840">
                  <c:v>2.5555560000000002</c:v>
                </c:pt>
                <c:pt idx="1841">
                  <c:v>2.5569440000000001</c:v>
                </c:pt>
                <c:pt idx="1842">
                  <c:v>2.5583330000000002</c:v>
                </c:pt>
                <c:pt idx="1843">
                  <c:v>2.5597219999999998</c:v>
                </c:pt>
                <c:pt idx="1844">
                  <c:v>2.5611109999999999</c:v>
                </c:pt>
                <c:pt idx="1845">
                  <c:v>2.5625</c:v>
                </c:pt>
                <c:pt idx="1846">
                  <c:v>2.5638890000000001</c:v>
                </c:pt>
                <c:pt idx="1847">
                  <c:v>2.5652780000000002</c:v>
                </c:pt>
                <c:pt idx="1848">
                  <c:v>2.5666669999999998</c:v>
                </c:pt>
                <c:pt idx="1849">
                  <c:v>2.5680559999999999</c:v>
                </c:pt>
                <c:pt idx="1850">
                  <c:v>2.5694439999999998</c:v>
                </c:pt>
                <c:pt idx="1851">
                  <c:v>2.5708329999999999</c:v>
                </c:pt>
                <c:pt idx="1852">
                  <c:v>2.572222</c:v>
                </c:pt>
                <c:pt idx="1853">
                  <c:v>2.5736110000000001</c:v>
                </c:pt>
                <c:pt idx="1854">
                  <c:v>2.5750000000000002</c:v>
                </c:pt>
                <c:pt idx="1855">
                  <c:v>2.5763889999999998</c:v>
                </c:pt>
                <c:pt idx="1856">
                  <c:v>2.5777779999999999</c:v>
                </c:pt>
                <c:pt idx="1857">
                  <c:v>2.579167</c:v>
                </c:pt>
                <c:pt idx="1858">
                  <c:v>2.5805560000000001</c:v>
                </c:pt>
                <c:pt idx="1859">
                  <c:v>2.581944</c:v>
                </c:pt>
                <c:pt idx="1860">
                  <c:v>2.5833330000000001</c:v>
                </c:pt>
                <c:pt idx="1861">
                  <c:v>2.5847220000000002</c:v>
                </c:pt>
                <c:pt idx="1862">
                  <c:v>2.5861109999999998</c:v>
                </c:pt>
                <c:pt idx="1863">
                  <c:v>2.5874999999999999</c:v>
                </c:pt>
                <c:pt idx="1864">
                  <c:v>2.588889</c:v>
                </c:pt>
                <c:pt idx="1865">
                  <c:v>2.5902780000000001</c:v>
                </c:pt>
                <c:pt idx="1866">
                  <c:v>2.5916670000000002</c:v>
                </c:pt>
                <c:pt idx="1867">
                  <c:v>2.5930559999999998</c:v>
                </c:pt>
                <c:pt idx="1868">
                  <c:v>2.5944440000000002</c:v>
                </c:pt>
                <c:pt idx="1869">
                  <c:v>2.5958329999999998</c:v>
                </c:pt>
                <c:pt idx="1870">
                  <c:v>2.5972219999999999</c:v>
                </c:pt>
                <c:pt idx="1871">
                  <c:v>2.598611</c:v>
                </c:pt>
                <c:pt idx="1872">
                  <c:v>2.6</c:v>
                </c:pt>
                <c:pt idx="1873">
                  <c:v>2.6013890000000002</c:v>
                </c:pt>
                <c:pt idx="1874">
                  <c:v>2.6027779999999998</c:v>
                </c:pt>
                <c:pt idx="1875">
                  <c:v>2.6041669999999999</c:v>
                </c:pt>
                <c:pt idx="1876">
                  <c:v>2.605556</c:v>
                </c:pt>
                <c:pt idx="1877">
                  <c:v>2.6069439999999999</c:v>
                </c:pt>
                <c:pt idx="1878">
                  <c:v>2.608333</c:v>
                </c:pt>
                <c:pt idx="1879">
                  <c:v>2.6097220000000001</c:v>
                </c:pt>
                <c:pt idx="1880">
                  <c:v>2.6111110000000002</c:v>
                </c:pt>
                <c:pt idx="1881">
                  <c:v>2.6124999999999998</c:v>
                </c:pt>
                <c:pt idx="1882">
                  <c:v>2.6138889999999999</c:v>
                </c:pt>
                <c:pt idx="1883">
                  <c:v>2.615278</c:v>
                </c:pt>
                <c:pt idx="1884">
                  <c:v>2.6166670000000001</c:v>
                </c:pt>
                <c:pt idx="1885">
                  <c:v>2.6180560000000002</c:v>
                </c:pt>
                <c:pt idx="1886">
                  <c:v>2.6194440000000001</c:v>
                </c:pt>
                <c:pt idx="1887">
                  <c:v>2.6208330000000002</c:v>
                </c:pt>
                <c:pt idx="1888">
                  <c:v>2.6222219999999998</c:v>
                </c:pt>
                <c:pt idx="1889">
                  <c:v>2.6236109999999999</c:v>
                </c:pt>
                <c:pt idx="1890">
                  <c:v>2.625</c:v>
                </c:pt>
                <c:pt idx="1891">
                  <c:v>2.6263890000000001</c:v>
                </c:pt>
                <c:pt idx="1892">
                  <c:v>2.6277780000000002</c:v>
                </c:pt>
                <c:pt idx="1893">
                  <c:v>2.6291669999999998</c:v>
                </c:pt>
                <c:pt idx="1894">
                  <c:v>2.6305559999999999</c:v>
                </c:pt>
                <c:pt idx="1895">
                  <c:v>2.6319439999999998</c:v>
                </c:pt>
                <c:pt idx="1896">
                  <c:v>2.6333329999999999</c:v>
                </c:pt>
                <c:pt idx="1897">
                  <c:v>2.634722</c:v>
                </c:pt>
                <c:pt idx="1898">
                  <c:v>2.6361110000000001</c:v>
                </c:pt>
                <c:pt idx="1899">
                  <c:v>2.6375000000000002</c:v>
                </c:pt>
                <c:pt idx="1900">
                  <c:v>2.6388889999999998</c:v>
                </c:pt>
                <c:pt idx="1901">
                  <c:v>2.6402779999999999</c:v>
                </c:pt>
                <c:pt idx="1902">
                  <c:v>2.641667</c:v>
                </c:pt>
                <c:pt idx="1903">
                  <c:v>2.6430560000000001</c:v>
                </c:pt>
                <c:pt idx="1904">
                  <c:v>2.644444</c:v>
                </c:pt>
                <c:pt idx="1905">
                  <c:v>2.6458330000000001</c:v>
                </c:pt>
                <c:pt idx="1906">
                  <c:v>2.6472220000000002</c:v>
                </c:pt>
                <c:pt idx="1907">
                  <c:v>2.6486109999999998</c:v>
                </c:pt>
                <c:pt idx="1908">
                  <c:v>2.65</c:v>
                </c:pt>
                <c:pt idx="1909">
                  <c:v>2.651389</c:v>
                </c:pt>
                <c:pt idx="1910">
                  <c:v>2.6527780000000001</c:v>
                </c:pt>
                <c:pt idx="1911">
                  <c:v>2.6541670000000002</c:v>
                </c:pt>
                <c:pt idx="1912">
                  <c:v>2.6555559999999998</c:v>
                </c:pt>
                <c:pt idx="1913">
                  <c:v>2.6569440000000002</c:v>
                </c:pt>
                <c:pt idx="1914">
                  <c:v>2.6583329999999998</c:v>
                </c:pt>
                <c:pt idx="1915">
                  <c:v>2.6597219999999999</c:v>
                </c:pt>
                <c:pt idx="1916">
                  <c:v>2.661111</c:v>
                </c:pt>
                <c:pt idx="1917">
                  <c:v>2.6625000000000001</c:v>
                </c:pt>
                <c:pt idx="1918">
                  <c:v>2.6638890000000002</c:v>
                </c:pt>
                <c:pt idx="1919">
                  <c:v>2.6652779999999998</c:v>
                </c:pt>
                <c:pt idx="1920">
                  <c:v>2.6666669999999999</c:v>
                </c:pt>
                <c:pt idx="1921">
                  <c:v>2.668056</c:v>
                </c:pt>
                <c:pt idx="1922">
                  <c:v>2.6694439999999999</c:v>
                </c:pt>
                <c:pt idx="1923">
                  <c:v>2.670833</c:v>
                </c:pt>
                <c:pt idx="1924">
                  <c:v>2.6722220000000001</c:v>
                </c:pt>
                <c:pt idx="1925">
                  <c:v>2.6736110000000002</c:v>
                </c:pt>
                <c:pt idx="1926">
                  <c:v>2.6749999999999998</c:v>
                </c:pt>
                <c:pt idx="1927">
                  <c:v>2.6763889999999999</c:v>
                </c:pt>
                <c:pt idx="1928">
                  <c:v>2.677778</c:v>
                </c:pt>
                <c:pt idx="1929">
                  <c:v>2.6791670000000001</c:v>
                </c:pt>
                <c:pt idx="1930">
                  <c:v>2.6805560000000002</c:v>
                </c:pt>
                <c:pt idx="1931">
                  <c:v>2.6819440000000001</c:v>
                </c:pt>
                <c:pt idx="1932">
                  <c:v>2.6833330000000002</c:v>
                </c:pt>
                <c:pt idx="1933">
                  <c:v>2.6847219999999998</c:v>
                </c:pt>
                <c:pt idx="1934">
                  <c:v>2.6861109999999999</c:v>
                </c:pt>
                <c:pt idx="1935">
                  <c:v>2.6875</c:v>
                </c:pt>
                <c:pt idx="1936">
                  <c:v>2.6888890000000001</c:v>
                </c:pt>
                <c:pt idx="1937">
                  <c:v>2.6902780000000002</c:v>
                </c:pt>
                <c:pt idx="1938">
                  <c:v>2.6916669999999998</c:v>
                </c:pt>
                <c:pt idx="1939">
                  <c:v>2.6930559999999999</c:v>
                </c:pt>
                <c:pt idx="1940">
                  <c:v>2.6944439999999998</c:v>
                </c:pt>
                <c:pt idx="1941">
                  <c:v>2.6958329999999999</c:v>
                </c:pt>
                <c:pt idx="1942">
                  <c:v>2.697222</c:v>
                </c:pt>
                <c:pt idx="1943">
                  <c:v>2.6986110000000001</c:v>
                </c:pt>
                <c:pt idx="1944">
                  <c:v>2.7</c:v>
                </c:pt>
                <c:pt idx="1945">
                  <c:v>2.7013889999999998</c:v>
                </c:pt>
                <c:pt idx="1946">
                  <c:v>2.7027779999999999</c:v>
                </c:pt>
                <c:pt idx="1947">
                  <c:v>2.704167</c:v>
                </c:pt>
                <c:pt idx="1948">
                  <c:v>2.7055560000000001</c:v>
                </c:pt>
                <c:pt idx="1949">
                  <c:v>2.706944</c:v>
                </c:pt>
                <c:pt idx="1950">
                  <c:v>2.7083330000000001</c:v>
                </c:pt>
                <c:pt idx="1951">
                  <c:v>2.7097220000000002</c:v>
                </c:pt>
                <c:pt idx="1952">
                  <c:v>2.7111109999999998</c:v>
                </c:pt>
                <c:pt idx="1953">
                  <c:v>2.7124999999999999</c:v>
                </c:pt>
                <c:pt idx="1954">
                  <c:v>2.713889</c:v>
                </c:pt>
                <c:pt idx="1955">
                  <c:v>2.7152780000000001</c:v>
                </c:pt>
                <c:pt idx="1956">
                  <c:v>2.7166670000000002</c:v>
                </c:pt>
                <c:pt idx="1957">
                  <c:v>2.7180559999999998</c:v>
                </c:pt>
                <c:pt idx="1958">
                  <c:v>2.7194440000000002</c:v>
                </c:pt>
                <c:pt idx="1959">
                  <c:v>2.7208329999999998</c:v>
                </c:pt>
                <c:pt idx="1960">
                  <c:v>2.7222219999999999</c:v>
                </c:pt>
                <c:pt idx="1961">
                  <c:v>2.723611</c:v>
                </c:pt>
                <c:pt idx="1962">
                  <c:v>2.7250000000000001</c:v>
                </c:pt>
                <c:pt idx="1963">
                  <c:v>2.7263890000000002</c:v>
                </c:pt>
                <c:pt idx="1964">
                  <c:v>2.7277779999999998</c:v>
                </c:pt>
                <c:pt idx="1965">
                  <c:v>2.7291669999999999</c:v>
                </c:pt>
                <c:pt idx="1966">
                  <c:v>2.730556</c:v>
                </c:pt>
                <c:pt idx="1967">
                  <c:v>2.7319439999999999</c:v>
                </c:pt>
                <c:pt idx="1968">
                  <c:v>2.733333</c:v>
                </c:pt>
                <c:pt idx="1969">
                  <c:v>2.7347220000000001</c:v>
                </c:pt>
                <c:pt idx="1970">
                  <c:v>2.7361110000000002</c:v>
                </c:pt>
                <c:pt idx="1971">
                  <c:v>2.7374999999999998</c:v>
                </c:pt>
                <c:pt idx="1972">
                  <c:v>2.7388889999999999</c:v>
                </c:pt>
                <c:pt idx="1973">
                  <c:v>2.740278</c:v>
                </c:pt>
                <c:pt idx="1974">
                  <c:v>2.7416670000000001</c:v>
                </c:pt>
                <c:pt idx="1975">
                  <c:v>2.7430560000000002</c:v>
                </c:pt>
                <c:pt idx="1976">
                  <c:v>2.7444440000000001</c:v>
                </c:pt>
                <c:pt idx="1977">
                  <c:v>2.7458330000000002</c:v>
                </c:pt>
                <c:pt idx="1978">
                  <c:v>2.7472219999999998</c:v>
                </c:pt>
                <c:pt idx="1979">
                  <c:v>2.7486109999999999</c:v>
                </c:pt>
                <c:pt idx="1980">
                  <c:v>2.75</c:v>
                </c:pt>
                <c:pt idx="1981">
                  <c:v>2.7513890000000001</c:v>
                </c:pt>
                <c:pt idx="1982">
                  <c:v>2.7527780000000002</c:v>
                </c:pt>
                <c:pt idx="1983">
                  <c:v>2.7541669999999998</c:v>
                </c:pt>
                <c:pt idx="1984">
                  <c:v>2.7555559999999999</c:v>
                </c:pt>
                <c:pt idx="1985">
                  <c:v>2.7569439999999998</c:v>
                </c:pt>
                <c:pt idx="1986">
                  <c:v>2.7583329999999999</c:v>
                </c:pt>
                <c:pt idx="1987">
                  <c:v>2.759722</c:v>
                </c:pt>
                <c:pt idx="1988">
                  <c:v>2.7611110000000001</c:v>
                </c:pt>
                <c:pt idx="1989">
                  <c:v>2.7625000000000002</c:v>
                </c:pt>
                <c:pt idx="1990">
                  <c:v>2.7638889999999998</c:v>
                </c:pt>
                <c:pt idx="1991">
                  <c:v>2.7652779999999999</c:v>
                </c:pt>
                <c:pt idx="1992">
                  <c:v>2.766667</c:v>
                </c:pt>
                <c:pt idx="1993">
                  <c:v>2.7680560000000001</c:v>
                </c:pt>
                <c:pt idx="1994">
                  <c:v>2.769444</c:v>
                </c:pt>
                <c:pt idx="1995">
                  <c:v>2.7708330000000001</c:v>
                </c:pt>
                <c:pt idx="1996">
                  <c:v>2.7722220000000002</c:v>
                </c:pt>
                <c:pt idx="1997">
                  <c:v>2.7736109999999998</c:v>
                </c:pt>
                <c:pt idx="1998">
                  <c:v>2.7749999999999999</c:v>
                </c:pt>
                <c:pt idx="1999">
                  <c:v>2.776389</c:v>
                </c:pt>
                <c:pt idx="2000">
                  <c:v>2.7777780000000001</c:v>
                </c:pt>
                <c:pt idx="2001">
                  <c:v>2.7791670000000002</c:v>
                </c:pt>
                <c:pt idx="2002">
                  <c:v>2.7805559999999998</c:v>
                </c:pt>
                <c:pt idx="2003">
                  <c:v>2.7819440000000002</c:v>
                </c:pt>
                <c:pt idx="2004">
                  <c:v>2.7833329999999998</c:v>
                </c:pt>
                <c:pt idx="2005">
                  <c:v>2.7847219999999999</c:v>
                </c:pt>
                <c:pt idx="2006">
                  <c:v>2.786111</c:v>
                </c:pt>
                <c:pt idx="2007">
                  <c:v>2.7875000000000001</c:v>
                </c:pt>
                <c:pt idx="2008">
                  <c:v>2.7888890000000002</c:v>
                </c:pt>
                <c:pt idx="2009">
                  <c:v>2.7902779999999998</c:v>
                </c:pt>
                <c:pt idx="2010">
                  <c:v>2.7916669999999999</c:v>
                </c:pt>
                <c:pt idx="2011">
                  <c:v>2.793056</c:v>
                </c:pt>
                <c:pt idx="2012">
                  <c:v>2.7944439999999999</c:v>
                </c:pt>
                <c:pt idx="2013">
                  <c:v>2.795833</c:v>
                </c:pt>
                <c:pt idx="2014">
                  <c:v>2.7972220000000001</c:v>
                </c:pt>
                <c:pt idx="2015">
                  <c:v>2.7986110000000002</c:v>
                </c:pt>
                <c:pt idx="2016">
                  <c:v>2.8</c:v>
                </c:pt>
                <c:pt idx="2017">
                  <c:v>2.8013889999999999</c:v>
                </c:pt>
                <c:pt idx="2018">
                  <c:v>2.802778</c:v>
                </c:pt>
                <c:pt idx="2019">
                  <c:v>2.8041670000000001</c:v>
                </c:pt>
                <c:pt idx="2020">
                  <c:v>2.8055560000000002</c:v>
                </c:pt>
                <c:pt idx="2021">
                  <c:v>2.8069440000000001</c:v>
                </c:pt>
                <c:pt idx="2022">
                  <c:v>2.8083330000000002</c:v>
                </c:pt>
                <c:pt idx="2023">
                  <c:v>2.8097219999999998</c:v>
                </c:pt>
                <c:pt idx="2024">
                  <c:v>2.8111109999999999</c:v>
                </c:pt>
                <c:pt idx="2025">
                  <c:v>2.8125</c:v>
                </c:pt>
                <c:pt idx="2026">
                  <c:v>2.8138890000000001</c:v>
                </c:pt>
                <c:pt idx="2027">
                  <c:v>2.8152780000000002</c:v>
                </c:pt>
                <c:pt idx="2028">
                  <c:v>2.8166669999999998</c:v>
                </c:pt>
                <c:pt idx="2029">
                  <c:v>2.8180559999999999</c:v>
                </c:pt>
                <c:pt idx="2030">
                  <c:v>2.8194439999999998</c:v>
                </c:pt>
                <c:pt idx="2031">
                  <c:v>2.8208329999999999</c:v>
                </c:pt>
                <c:pt idx="2032">
                  <c:v>2.822222</c:v>
                </c:pt>
                <c:pt idx="2033">
                  <c:v>2.8236110000000001</c:v>
                </c:pt>
                <c:pt idx="2034">
                  <c:v>2.8250000000000002</c:v>
                </c:pt>
                <c:pt idx="2035">
                  <c:v>2.8263889999999998</c:v>
                </c:pt>
                <c:pt idx="2036">
                  <c:v>2.8277779999999999</c:v>
                </c:pt>
                <c:pt idx="2037">
                  <c:v>2.829167</c:v>
                </c:pt>
                <c:pt idx="2038">
                  <c:v>2.8305560000000001</c:v>
                </c:pt>
                <c:pt idx="2039">
                  <c:v>2.831944</c:v>
                </c:pt>
                <c:pt idx="2040">
                  <c:v>2.8333330000000001</c:v>
                </c:pt>
                <c:pt idx="2041">
                  <c:v>2.8347220000000002</c:v>
                </c:pt>
                <c:pt idx="2042">
                  <c:v>2.8361109999999998</c:v>
                </c:pt>
                <c:pt idx="2043">
                  <c:v>2.8374999999999999</c:v>
                </c:pt>
                <c:pt idx="2044">
                  <c:v>2.838889</c:v>
                </c:pt>
                <c:pt idx="2045">
                  <c:v>2.8402780000000001</c:v>
                </c:pt>
                <c:pt idx="2046">
                  <c:v>2.8416670000000002</c:v>
                </c:pt>
                <c:pt idx="2047">
                  <c:v>2.8430559999999998</c:v>
                </c:pt>
                <c:pt idx="2048">
                  <c:v>2.8444440000000002</c:v>
                </c:pt>
                <c:pt idx="2049">
                  <c:v>2.8458329999999998</c:v>
                </c:pt>
                <c:pt idx="2050">
                  <c:v>2.8472219999999999</c:v>
                </c:pt>
                <c:pt idx="2051">
                  <c:v>2.848611</c:v>
                </c:pt>
                <c:pt idx="2052">
                  <c:v>2.85</c:v>
                </c:pt>
                <c:pt idx="2053">
                  <c:v>2.8513890000000002</c:v>
                </c:pt>
                <c:pt idx="2054">
                  <c:v>2.8527779999999998</c:v>
                </c:pt>
                <c:pt idx="2055">
                  <c:v>2.8541669999999999</c:v>
                </c:pt>
                <c:pt idx="2056">
                  <c:v>2.855556</c:v>
                </c:pt>
                <c:pt idx="2057">
                  <c:v>2.8569439999999999</c:v>
                </c:pt>
                <c:pt idx="2058">
                  <c:v>2.858333</c:v>
                </c:pt>
                <c:pt idx="2059">
                  <c:v>2.8597220000000001</c:v>
                </c:pt>
                <c:pt idx="2060">
                  <c:v>2.8611110000000002</c:v>
                </c:pt>
                <c:pt idx="2061">
                  <c:v>2.8624999999999998</c:v>
                </c:pt>
                <c:pt idx="2062">
                  <c:v>2.8638889999999999</c:v>
                </c:pt>
                <c:pt idx="2063">
                  <c:v>2.865278</c:v>
                </c:pt>
                <c:pt idx="2064">
                  <c:v>2.8666670000000001</c:v>
                </c:pt>
                <c:pt idx="2065">
                  <c:v>2.8680560000000002</c:v>
                </c:pt>
                <c:pt idx="2066">
                  <c:v>2.8694440000000001</c:v>
                </c:pt>
                <c:pt idx="2067">
                  <c:v>2.8708330000000002</c:v>
                </c:pt>
                <c:pt idx="2068">
                  <c:v>2.8722219999999998</c:v>
                </c:pt>
                <c:pt idx="2069">
                  <c:v>2.8736109999999999</c:v>
                </c:pt>
                <c:pt idx="2070">
                  <c:v>2.875</c:v>
                </c:pt>
                <c:pt idx="2071">
                  <c:v>2.8763890000000001</c:v>
                </c:pt>
                <c:pt idx="2072">
                  <c:v>2.8777780000000002</c:v>
                </c:pt>
                <c:pt idx="2073">
                  <c:v>2.8791669999999998</c:v>
                </c:pt>
                <c:pt idx="2074">
                  <c:v>2.8805559999999999</c:v>
                </c:pt>
                <c:pt idx="2075">
                  <c:v>2.8819439999999998</c:v>
                </c:pt>
                <c:pt idx="2076">
                  <c:v>2.8833329999999999</c:v>
                </c:pt>
                <c:pt idx="2077">
                  <c:v>2.884722</c:v>
                </c:pt>
                <c:pt idx="2078">
                  <c:v>2.8861110000000001</c:v>
                </c:pt>
                <c:pt idx="2079">
                  <c:v>2.8875000000000002</c:v>
                </c:pt>
                <c:pt idx="2080">
                  <c:v>2.8888889999999998</c:v>
                </c:pt>
                <c:pt idx="2081">
                  <c:v>2.8902779999999999</c:v>
                </c:pt>
                <c:pt idx="2082">
                  <c:v>2.891667</c:v>
                </c:pt>
                <c:pt idx="2083">
                  <c:v>2.8930560000000001</c:v>
                </c:pt>
                <c:pt idx="2084">
                  <c:v>2.894444</c:v>
                </c:pt>
                <c:pt idx="2085">
                  <c:v>2.8958330000000001</c:v>
                </c:pt>
                <c:pt idx="2086">
                  <c:v>2.8972220000000002</c:v>
                </c:pt>
                <c:pt idx="2087">
                  <c:v>2.8986109999999998</c:v>
                </c:pt>
                <c:pt idx="2088">
                  <c:v>2.9</c:v>
                </c:pt>
                <c:pt idx="2089">
                  <c:v>2.901389</c:v>
                </c:pt>
                <c:pt idx="2090">
                  <c:v>2.9027780000000001</c:v>
                </c:pt>
                <c:pt idx="2091">
                  <c:v>2.9041670000000002</c:v>
                </c:pt>
                <c:pt idx="2092">
                  <c:v>2.9055559999999998</c:v>
                </c:pt>
                <c:pt idx="2093">
                  <c:v>2.9069440000000002</c:v>
                </c:pt>
                <c:pt idx="2094">
                  <c:v>2.9083329999999998</c:v>
                </c:pt>
                <c:pt idx="2095">
                  <c:v>2.9097219999999999</c:v>
                </c:pt>
                <c:pt idx="2096">
                  <c:v>2.911111</c:v>
                </c:pt>
                <c:pt idx="2097">
                  <c:v>2.9125000000000001</c:v>
                </c:pt>
                <c:pt idx="2098">
                  <c:v>2.9138890000000002</c:v>
                </c:pt>
                <c:pt idx="2099">
                  <c:v>2.9152779999999998</c:v>
                </c:pt>
                <c:pt idx="2100">
                  <c:v>2.9166669999999999</c:v>
                </c:pt>
                <c:pt idx="2101">
                  <c:v>2.918056</c:v>
                </c:pt>
                <c:pt idx="2102">
                  <c:v>2.9194439999999999</c:v>
                </c:pt>
                <c:pt idx="2103">
                  <c:v>2.920833</c:v>
                </c:pt>
                <c:pt idx="2104">
                  <c:v>2.9222220000000001</c:v>
                </c:pt>
                <c:pt idx="2105">
                  <c:v>2.9236110000000002</c:v>
                </c:pt>
                <c:pt idx="2106">
                  <c:v>2.9249999999999998</c:v>
                </c:pt>
                <c:pt idx="2107">
                  <c:v>2.9263889999999999</c:v>
                </c:pt>
                <c:pt idx="2108">
                  <c:v>2.927778</c:v>
                </c:pt>
                <c:pt idx="2109">
                  <c:v>2.9291670000000001</c:v>
                </c:pt>
                <c:pt idx="2110">
                  <c:v>2.9305560000000002</c:v>
                </c:pt>
                <c:pt idx="2111">
                  <c:v>2.9319440000000001</c:v>
                </c:pt>
                <c:pt idx="2112">
                  <c:v>2.9333330000000002</c:v>
                </c:pt>
                <c:pt idx="2113">
                  <c:v>2.9347219999999998</c:v>
                </c:pt>
                <c:pt idx="2114">
                  <c:v>2.9361109999999999</c:v>
                </c:pt>
                <c:pt idx="2115">
                  <c:v>2.9375</c:v>
                </c:pt>
                <c:pt idx="2116">
                  <c:v>2.9388890000000001</c:v>
                </c:pt>
                <c:pt idx="2117">
                  <c:v>2.9402780000000002</c:v>
                </c:pt>
                <c:pt idx="2118">
                  <c:v>2.9416669999999998</c:v>
                </c:pt>
                <c:pt idx="2119">
                  <c:v>2.9430559999999999</c:v>
                </c:pt>
                <c:pt idx="2120">
                  <c:v>2.9444439999999998</c:v>
                </c:pt>
                <c:pt idx="2121">
                  <c:v>2.9458329999999999</c:v>
                </c:pt>
                <c:pt idx="2122">
                  <c:v>2.947222</c:v>
                </c:pt>
                <c:pt idx="2123">
                  <c:v>2.9486110000000001</c:v>
                </c:pt>
                <c:pt idx="2124">
                  <c:v>2.95</c:v>
                </c:pt>
                <c:pt idx="2125">
                  <c:v>2.9513889999999998</c:v>
                </c:pt>
                <c:pt idx="2126">
                  <c:v>2.9527779999999999</c:v>
                </c:pt>
                <c:pt idx="2127">
                  <c:v>2.954167</c:v>
                </c:pt>
                <c:pt idx="2128">
                  <c:v>2.9555560000000001</c:v>
                </c:pt>
                <c:pt idx="2129">
                  <c:v>2.956944</c:v>
                </c:pt>
                <c:pt idx="2130">
                  <c:v>2.9583330000000001</c:v>
                </c:pt>
                <c:pt idx="2131">
                  <c:v>2.9597220000000002</c:v>
                </c:pt>
                <c:pt idx="2132">
                  <c:v>2.9611109999999998</c:v>
                </c:pt>
                <c:pt idx="2133">
                  <c:v>2.9624999999999999</c:v>
                </c:pt>
                <c:pt idx="2134">
                  <c:v>2.963889</c:v>
                </c:pt>
                <c:pt idx="2135">
                  <c:v>2.9652780000000001</c:v>
                </c:pt>
                <c:pt idx="2136">
                  <c:v>2.9666670000000002</c:v>
                </c:pt>
                <c:pt idx="2137">
                  <c:v>2.9680559999999998</c:v>
                </c:pt>
                <c:pt idx="2138">
                  <c:v>2.9694440000000002</c:v>
                </c:pt>
                <c:pt idx="2139">
                  <c:v>2.9708329999999998</c:v>
                </c:pt>
                <c:pt idx="2140">
                  <c:v>2.9722219999999999</c:v>
                </c:pt>
                <c:pt idx="2141">
                  <c:v>2.973611</c:v>
                </c:pt>
                <c:pt idx="2142">
                  <c:v>2.9750000000000001</c:v>
                </c:pt>
                <c:pt idx="2143">
                  <c:v>2.9763890000000002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2-4221-ACA5-C1C5BDE8F904}"/>
            </c:ext>
          </c:extLst>
        </c:ser>
        <c:ser>
          <c:idx val="1"/>
          <c:order val="1"/>
          <c:tx>
            <c:strRef>
              <c:f>'MG Data'!$AE$8</c:f>
              <c:strCache>
                <c:ptCount val="1"/>
                <c:pt idx="0">
                  <c:v>Station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rgbClr val="0000FF"/>
                </a:solidFill>
              </a:ln>
              <a:effectLst/>
            </c:spPr>
          </c:marker>
          <c:xVal>
            <c:numRef>
              <c:f>'MG Data'!$AG$10:$AG$42</c:f>
              <c:numCache>
                <c:formatCode>#,##0.00</c:formatCode>
                <c:ptCount val="33"/>
                <c:pt idx="0">
                  <c:v>699.66650000000004</c:v>
                </c:pt>
                <c:pt idx="1">
                  <c:v>712.322</c:v>
                </c:pt>
                <c:pt idx="2">
                  <c:v>724.4896</c:v>
                </c:pt>
                <c:pt idx="3">
                  <c:v>736.07029999999997</c:v>
                </c:pt>
                <c:pt idx="4">
                  <c:v>745.14639999999997</c:v>
                </c:pt>
                <c:pt idx="5">
                  <c:v>805.49339999999995</c:v>
                </c:pt>
              </c:numCache>
            </c:numRef>
          </c:xVal>
          <c:yVal>
            <c:numRef>
              <c:f>'MG Data'!$AF$10:$AF$42</c:f>
              <c:numCache>
                <c:formatCode>#,##0.000</c:formatCode>
                <c:ptCount val="33"/>
                <c:pt idx="0">
                  <c:v>0.32</c:v>
                </c:pt>
                <c:pt idx="1">
                  <c:v>0.7</c:v>
                </c:pt>
                <c:pt idx="2">
                  <c:v>1</c:v>
                </c:pt>
                <c:pt idx="3">
                  <c:v>1.4</c:v>
                </c:pt>
                <c:pt idx="4">
                  <c:v>1.75</c:v>
                </c:pt>
                <c:pt idx="5">
                  <c:v>2.2999999999999998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F2-4221-ACA5-C1C5BDE8F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045487"/>
        <c:axId val="1318042575"/>
      </c:scatterChart>
      <c:valAx>
        <c:axId val="1318045487"/>
        <c:scaling>
          <c:orientation val="minMax"/>
          <c:max val="850"/>
          <c:min val="690"/>
        </c:scaling>
        <c:delete val="0"/>
        <c:axPos val="t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 b="1">
                    <a:solidFill>
                      <a:schemeClr val="tx1"/>
                    </a:solidFill>
                  </a:rPr>
                  <a:t>Presión, psi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18042575"/>
        <c:crosses val="autoZero"/>
        <c:crossBetween val="midCat"/>
      </c:valAx>
      <c:valAx>
        <c:axId val="1318042575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 b="1">
                    <a:solidFill>
                      <a:schemeClr val="tx1"/>
                    </a:solidFill>
                  </a:rPr>
                  <a:t>Tiempo. hr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18045487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BO"/>
              <a:t>MG 2</a:t>
            </a:r>
          </a:p>
        </c:rich>
      </c:tx>
      <c:layout>
        <c:manualLayout>
          <c:xMode val="edge"/>
          <c:yMode val="edge"/>
          <c:x val="2.9403821203698551E-2"/>
          <c:y val="6.472491909385113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21686132201160821"/>
          <c:y val="0.11972666038104458"/>
          <c:w val="0.7120590595539863"/>
          <c:h val="0.85654086928454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'MG Data'!$B$5:$D$5</c:f>
              <c:strCache>
                <c:ptCount val="1"/>
                <c:pt idx="0">
                  <c:v>MG 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'MG Data'!$G$10:$G$2153</c:f>
              <c:numCache>
                <c:formatCode>#,##0.000</c:formatCode>
                <c:ptCount val="2144"/>
                <c:pt idx="0">
                  <c:v>13.9651</c:v>
                </c:pt>
                <c:pt idx="1">
                  <c:v>14.0068</c:v>
                </c:pt>
                <c:pt idx="2">
                  <c:v>13.989800000000001</c:v>
                </c:pt>
                <c:pt idx="3">
                  <c:v>13.967000000000001</c:v>
                </c:pt>
                <c:pt idx="4">
                  <c:v>13.9848</c:v>
                </c:pt>
                <c:pt idx="5">
                  <c:v>13.9575</c:v>
                </c:pt>
                <c:pt idx="6">
                  <c:v>13.975099999999999</c:v>
                </c:pt>
                <c:pt idx="7">
                  <c:v>13.973599999999999</c:v>
                </c:pt>
                <c:pt idx="8">
                  <c:v>13.957599999999999</c:v>
                </c:pt>
                <c:pt idx="9">
                  <c:v>13.9465</c:v>
                </c:pt>
                <c:pt idx="10">
                  <c:v>13.963100000000001</c:v>
                </c:pt>
                <c:pt idx="11">
                  <c:v>13.9626</c:v>
                </c:pt>
                <c:pt idx="12">
                  <c:v>13.976599999999999</c:v>
                </c:pt>
                <c:pt idx="13">
                  <c:v>13.948700000000001</c:v>
                </c:pt>
                <c:pt idx="14">
                  <c:v>13.9863</c:v>
                </c:pt>
                <c:pt idx="15">
                  <c:v>14.0053</c:v>
                </c:pt>
                <c:pt idx="16">
                  <c:v>13.959300000000001</c:v>
                </c:pt>
                <c:pt idx="17">
                  <c:v>13.964700000000001</c:v>
                </c:pt>
                <c:pt idx="18">
                  <c:v>13.9841</c:v>
                </c:pt>
                <c:pt idx="19">
                  <c:v>14.0082</c:v>
                </c:pt>
                <c:pt idx="20">
                  <c:v>13.9717</c:v>
                </c:pt>
                <c:pt idx="21">
                  <c:v>13.986800000000001</c:v>
                </c:pt>
                <c:pt idx="22">
                  <c:v>13.9817</c:v>
                </c:pt>
                <c:pt idx="23">
                  <c:v>13.9373</c:v>
                </c:pt>
                <c:pt idx="24">
                  <c:v>13.9748</c:v>
                </c:pt>
                <c:pt idx="25">
                  <c:v>13.9565</c:v>
                </c:pt>
                <c:pt idx="26">
                  <c:v>13.9765</c:v>
                </c:pt>
                <c:pt idx="27">
                  <c:v>13.978</c:v>
                </c:pt>
                <c:pt idx="28">
                  <c:v>13.9602</c:v>
                </c:pt>
                <c:pt idx="29">
                  <c:v>13.939</c:v>
                </c:pt>
                <c:pt idx="30">
                  <c:v>13.968299999999999</c:v>
                </c:pt>
                <c:pt idx="31">
                  <c:v>13.959099999999999</c:v>
                </c:pt>
                <c:pt idx="32">
                  <c:v>13.974500000000001</c:v>
                </c:pt>
                <c:pt idx="33">
                  <c:v>13.952199999999999</c:v>
                </c:pt>
                <c:pt idx="34">
                  <c:v>13.9625</c:v>
                </c:pt>
                <c:pt idx="35">
                  <c:v>13.9717</c:v>
                </c:pt>
                <c:pt idx="36">
                  <c:v>13.9643</c:v>
                </c:pt>
                <c:pt idx="37">
                  <c:v>13.969200000000001</c:v>
                </c:pt>
                <c:pt idx="38">
                  <c:v>13.9338</c:v>
                </c:pt>
                <c:pt idx="39">
                  <c:v>13.975099999999999</c:v>
                </c:pt>
                <c:pt idx="40">
                  <c:v>13.961600000000001</c:v>
                </c:pt>
                <c:pt idx="41">
                  <c:v>13.9618</c:v>
                </c:pt>
                <c:pt idx="42">
                  <c:v>13.9716</c:v>
                </c:pt>
                <c:pt idx="43">
                  <c:v>13.917400000000001</c:v>
                </c:pt>
                <c:pt idx="44">
                  <c:v>13.9602</c:v>
                </c:pt>
                <c:pt idx="45">
                  <c:v>13.9651</c:v>
                </c:pt>
                <c:pt idx="46">
                  <c:v>13.971</c:v>
                </c:pt>
                <c:pt idx="47">
                  <c:v>13.967700000000001</c:v>
                </c:pt>
                <c:pt idx="48">
                  <c:v>13.9818</c:v>
                </c:pt>
                <c:pt idx="49">
                  <c:v>13.9552</c:v>
                </c:pt>
                <c:pt idx="50">
                  <c:v>13.978999999999999</c:v>
                </c:pt>
                <c:pt idx="51">
                  <c:v>13.9527</c:v>
                </c:pt>
                <c:pt idx="52">
                  <c:v>13.925700000000001</c:v>
                </c:pt>
                <c:pt idx="53">
                  <c:v>13.9777</c:v>
                </c:pt>
                <c:pt idx="54">
                  <c:v>13.923999999999999</c:v>
                </c:pt>
                <c:pt idx="55">
                  <c:v>13.935499999999999</c:v>
                </c:pt>
                <c:pt idx="56">
                  <c:v>13.9413</c:v>
                </c:pt>
                <c:pt idx="57">
                  <c:v>13.9613</c:v>
                </c:pt>
                <c:pt idx="58">
                  <c:v>13.9498</c:v>
                </c:pt>
                <c:pt idx="59">
                  <c:v>13.9384</c:v>
                </c:pt>
                <c:pt idx="60">
                  <c:v>13.912599999999999</c:v>
                </c:pt>
                <c:pt idx="61">
                  <c:v>13.946400000000001</c:v>
                </c:pt>
                <c:pt idx="62">
                  <c:v>13.9535</c:v>
                </c:pt>
                <c:pt idx="63">
                  <c:v>13.8993</c:v>
                </c:pt>
                <c:pt idx="64">
                  <c:v>13.9293</c:v>
                </c:pt>
                <c:pt idx="65">
                  <c:v>13.9498</c:v>
                </c:pt>
                <c:pt idx="66">
                  <c:v>13.9232</c:v>
                </c:pt>
                <c:pt idx="67">
                  <c:v>13.8979</c:v>
                </c:pt>
                <c:pt idx="68">
                  <c:v>13.921200000000001</c:v>
                </c:pt>
                <c:pt idx="69">
                  <c:v>13.8995</c:v>
                </c:pt>
                <c:pt idx="70">
                  <c:v>13.9283</c:v>
                </c:pt>
                <c:pt idx="71">
                  <c:v>13.9475</c:v>
                </c:pt>
                <c:pt idx="72">
                  <c:v>13.8935</c:v>
                </c:pt>
                <c:pt idx="73">
                  <c:v>13.926299999999999</c:v>
                </c:pt>
                <c:pt idx="74">
                  <c:v>13.9002</c:v>
                </c:pt>
                <c:pt idx="75">
                  <c:v>13.946199999999999</c:v>
                </c:pt>
                <c:pt idx="76">
                  <c:v>13.952</c:v>
                </c:pt>
                <c:pt idx="77">
                  <c:v>13.916399999999999</c:v>
                </c:pt>
                <c:pt idx="78">
                  <c:v>13.917</c:v>
                </c:pt>
                <c:pt idx="79">
                  <c:v>13.9091</c:v>
                </c:pt>
                <c:pt idx="80">
                  <c:v>13.9283</c:v>
                </c:pt>
                <c:pt idx="81">
                  <c:v>13.9345</c:v>
                </c:pt>
                <c:pt idx="82">
                  <c:v>13.9398</c:v>
                </c:pt>
                <c:pt idx="83">
                  <c:v>13.9322</c:v>
                </c:pt>
                <c:pt idx="84">
                  <c:v>13.8918</c:v>
                </c:pt>
                <c:pt idx="85">
                  <c:v>13.911799999999999</c:v>
                </c:pt>
                <c:pt idx="86">
                  <c:v>13.894399999999999</c:v>
                </c:pt>
                <c:pt idx="87">
                  <c:v>13.9185</c:v>
                </c:pt>
                <c:pt idx="88">
                  <c:v>13.938000000000001</c:v>
                </c:pt>
                <c:pt idx="89">
                  <c:v>13.9122</c:v>
                </c:pt>
                <c:pt idx="90">
                  <c:v>13.913500000000001</c:v>
                </c:pt>
                <c:pt idx="91">
                  <c:v>13.923999999999999</c:v>
                </c:pt>
                <c:pt idx="92">
                  <c:v>13.892899999999999</c:v>
                </c:pt>
                <c:pt idx="93">
                  <c:v>13.9178</c:v>
                </c:pt>
                <c:pt idx="94">
                  <c:v>13.9094</c:v>
                </c:pt>
                <c:pt idx="95">
                  <c:v>13.9564</c:v>
                </c:pt>
                <c:pt idx="96">
                  <c:v>13.925800000000001</c:v>
                </c:pt>
                <c:pt idx="97">
                  <c:v>13.9772</c:v>
                </c:pt>
                <c:pt idx="98">
                  <c:v>13.9374</c:v>
                </c:pt>
                <c:pt idx="99">
                  <c:v>13.92</c:v>
                </c:pt>
                <c:pt idx="100">
                  <c:v>31.442799999999998</c:v>
                </c:pt>
                <c:pt idx="101">
                  <c:v>81.485600000000005</c:v>
                </c:pt>
                <c:pt idx="102">
                  <c:v>146.50149999999999</c:v>
                </c:pt>
                <c:pt idx="103">
                  <c:v>245.99809999999999</c:v>
                </c:pt>
                <c:pt idx="104">
                  <c:v>445.05419999999998</c:v>
                </c:pt>
                <c:pt idx="105">
                  <c:v>655.51340000000005</c:v>
                </c:pt>
                <c:pt idx="106">
                  <c:v>698.0838</c:v>
                </c:pt>
                <c:pt idx="107">
                  <c:v>698.99620000000004</c:v>
                </c:pt>
                <c:pt idx="108">
                  <c:v>699.37180000000001</c:v>
                </c:pt>
                <c:pt idx="109">
                  <c:v>699.49099999999999</c:v>
                </c:pt>
                <c:pt idx="110">
                  <c:v>699.50670000000002</c:v>
                </c:pt>
                <c:pt idx="111">
                  <c:v>699.56230000000005</c:v>
                </c:pt>
                <c:pt idx="112">
                  <c:v>699.60320000000002</c:v>
                </c:pt>
                <c:pt idx="113">
                  <c:v>699.67259999999999</c:v>
                </c:pt>
                <c:pt idx="114">
                  <c:v>699.70680000000004</c:v>
                </c:pt>
                <c:pt idx="115">
                  <c:v>699.73720000000003</c:v>
                </c:pt>
                <c:pt idx="116">
                  <c:v>699.71410000000003</c:v>
                </c:pt>
                <c:pt idx="117">
                  <c:v>699.72230000000002</c:v>
                </c:pt>
                <c:pt idx="118">
                  <c:v>699.75480000000005</c:v>
                </c:pt>
                <c:pt idx="119">
                  <c:v>699.74590000000001</c:v>
                </c:pt>
                <c:pt idx="120">
                  <c:v>699.72119999999995</c:v>
                </c:pt>
                <c:pt idx="121">
                  <c:v>699.7473</c:v>
                </c:pt>
                <c:pt idx="122">
                  <c:v>699.75469999999996</c:v>
                </c:pt>
                <c:pt idx="123">
                  <c:v>699.72619999999995</c:v>
                </c:pt>
                <c:pt idx="124">
                  <c:v>699.75319999999999</c:v>
                </c:pt>
                <c:pt idx="125">
                  <c:v>699.72339999999997</c:v>
                </c:pt>
                <c:pt idx="126">
                  <c:v>699.73249999999996</c:v>
                </c:pt>
                <c:pt idx="127">
                  <c:v>699.74980000000005</c:v>
                </c:pt>
                <c:pt idx="128">
                  <c:v>699.72720000000004</c:v>
                </c:pt>
                <c:pt idx="129">
                  <c:v>699.69029999999998</c:v>
                </c:pt>
                <c:pt idx="130">
                  <c:v>699.74609999999996</c:v>
                </c:pt>
                <c:pt idx="131">
                  <c:v>699.77139999999997</c:v>
                </c:pt>
                <c:pt idx="132">
                  <c:v>699.78539999999998</c:v>
                </c:pt>
                <c:pt idx="133">
                  <c:v>699.7518</c:v>
                </c:pt>
                <c:pt idx="134">
                  <c:v>699.76130000000001</c:v>
                </c:pt>
                <c:pt idx="135">
                  <c:v>699.7373</c:v>
                </c:pt>
                <c:pt idx="136">
                  <c:v>699.73260000000005</c:v>
                </c:pt>
                <c:pt idx="137">
                  <c:v>699.73990000000003</c:v>
                </c:pt>
                <c:pt idx="138">
                  <c:v>699.74810000000002</c:v>
                </c:pt>
                <c:pt idx="139">
                  <c:v>699.71709999999996</c:v>
                </c:pt>
                <c:pt idx="140">
                  <c:v>699.74940000000004</c:v>
                </c:pt>
                <c:pt idx="141">
                  <c:v>699.76469999999995</c:v>
                </c:pt>
                <c:pt idx="142">
                  <c:v>699.73490000000004</c:v>
                </c:pt>
                <c:pt idx="143">
                  <c:v>699.72929999999997</c:v>
                </c:pt>
                <c:pt idx="144">
                  <c:v>699.70989999999995</c:v>
                </c:pt>
                <c:pt idx="145">
                  <c:v>699.74609999999996</c:v>
                </c:pt>
                <c:pt idx="146">
                  <c:v>699.74170000000004</c:v>
                </c:pt>
                <c:pt idx="147">
                  <c:v>699.74450000000002</c:v>
                </c:pt>
                <c:pt idx="148">
                  <c:v>699.77300000000002</c:v>
                </c:pt>
                <c:pt idx="149">
                  <c:v>699.74490000000003</c:v>
                </c:pt>
                <c:pt idx="150">
                  <c:v>699.77189999999996</c:v>
                </c:pt>
                <c:pt idx="151">
                  <c:v>699.72289999999998</c:v>
                </c:pt>
                <c:pt idx="152">
                  <c:v>699.70889999999997</c:v>
                </c:pt>
                <c:pt idx="153">
                  <c:v>699.73170000000005</c:v>
                </c:pt>
                <c:pt idx="154">
                  <c:v>699.7491</c:v>
                </c:pt>
                <c:pt idx="155">
                  <c:v>699.75509999999997</c:v>
                </c:pt>
                <c:pt idx="156">
                  <c:v>699.73159999999996</c:v>
                </c:pt>
                <c:pt idx="157">
                  <c:v>699.73180000000002</c:v>
                </c:pt>
                <c:pt idx="158">
                  <c:v>699.75459999999998</c:v>
                </c:pt>
                <c:pt idx="159">
                  <c:v>699.77729999999997</c:v>
                </c:pt>
                <c:pt idx="160">
                  <c:v>699.71130000000005</c:v>
                </c:pt>
                <c:pt idx="161">
                  <c:v>699.77359999999999</c:v>
                </c:pt>
                <c:pt idx="162">
                  <c:v>699.76639999999998</c:v>
                </c:pt>
                <c:pt idx="163">
                  <c:v>699.71950000000004</c:v>
                </c:pt>
                <c:pt idx="164">
                  <c:v>699.72469999999998</c:v>
                </c:pt>
                <c:pt idx="165">
                  <c:v>699.71950000000004</c:v>
                </c:pt>
                <c:pt idx="166">
                  <c:v>699.73850000000004</c:v>
                </c:pt>
                <c:pt idx="167">
                  <c:v>699.69870000000003</c:v>
                </c:pt>
                <c:pt idx="168">
                  <c:v>699.73270000000002</c:v>
                </c:pt>
                <c:pt idx="169">
                  <c:v>699.73009999999999</c:v>
                </c:pt>
                <c:pt idx="170">
                  <c:v>699.75030000000004</c:v>
                </c:pt>
                <c:pt idx="171">
                  <c:v>699.74310000000003</c:v>
                </c:pt>
                <c:pt idx="172">
                  <c:v>699.74329999999998</c:v>
                </c:pt>
                <c:pt idx="173">
                  <c:v>699.7269</c:v>
                </c:pt>
                <c:pt idx="174">
                  <c:v>699.7346</c:v>
                </c:pt>
                <c:pt idx="175">
                  <c:v>699.71690000000001</c:v>
                </c:pt>
                <c:pt idx="176">
                  <c:v>699.71249999999998</c:v>
                </c:pt>
                <c:pt idx="177">
                  <c:v>699.75369999999998</c:v>
                </c:pt>
                <c:pt idx="178">
                  <c:v>699.67840000000001</c:v>
                </c:pt>
                <c:pt idx="179">
                  <c:v>699.73119999999994</c:v>
                </c:pt>
                <c:pt idx="180">
                  <c:v>699.7482</c:v>
                </c:pt>
                <c:pt idx="181">
                  <c:v>699.72</c:v>
                </c:pt>
                <c:pt idx="182">
                  <c:v>699.72270000000003</c:v>
                </c:pt>
                <c:pt idx="183">
                  <c:v>699.69889999999998</c:v>
                </c:pt>
                <c:pt idx="184">
                  <c:v>699.74329999999998</c:v>
                </c:pt>
                <c:pt idx="185">
                  <c:v>699.70809999999994</c:v>
                </c:pt>
                <c:pt idx="186">
                  <c:v>699.72500000000002</c:v>
                </c:pt>
                <c:pt idx="187">
                  <c:v>699.70860000000005</c:v>
                </c:pt>
                <c:pt idx="188">
                  <c:v>699.71759999999995</c:v>
                </c:pt>
                <c:pt idx="189">
                  <c:v>699.71820000000002</c:v>
                </c:pt>
                <c:pt idx="190">
                  <c:v>699.72640000000001</c:v>
                </c:pt>
                <c:pt idx="191">
                  <c:v>699.71280000000002</c:v>
                </c:pt>
                <c:pt idx="192">
                  <c:v>699.70479999999998</c:v>
                </c:pt>
                <c:pt idx="193">
                  <c:v>699.71789999999999</c:v>
                </c:pt>
                <c:pt idx="194">
                  <c:v>699.72770000000003</c:v>
                </c:pt>
                <c:pt idx="195">
                  <c:v>699.70630000000006</c:v>
                </c:pt>
                <c:pt idx="196">
                  <c:v>699.6721</c:v>
                </c:pt>
                <c:pt idx="197">
                  <c:v>699.69860000000006</c:v>
                </c:pt>
                <c:pt idx="198">
                  <c:v>699.69010000000003</c:v>
                </c:pt>
                <c:pt idx="199">
                  <c:v>699.68859999999995</c:v>
                </c:pt>
                <c:pt idx="200">
                  <c:v>699.67930000000001</c:v>
                </c:pt>
                <c:pt idx="201">
                  <c:v>699.70709999999997</c:v>
                </c:pt>
                <c:pt idx="202">
                  <c:v>699.72479999999996</c:v>
                </c:pt>
                <c:pt idx="203">
                  <c:v>699.71879999999999</c:v>
                </c:pt>
                <c:pt idx="204">
                  <c:v>699.67660000000001</c:v>
                </c:pt>
                <c:pt idx="205">
                  <c:v>699.69140000000004</c:v>
                </c:pt>
                <c:pt idx="206">
                  <c:v>699.69</c:v>
                </c:pt>
                <c:pt idx="207">
                  <c:v>699.70280000000002</c:v>
                </c:pt>
                <c:pt idx="208">
                  <c:v>699.69680000000005</c:v>
                </c:pt>
                <c:pt idx="209">
                  <c:v>699.74699999999996</c:v>
                </c:pt>
                <c:pt idx="210">
                  <c:v>699.7056</c:v>
                </c:pt>
                <c:pt idx="211">
                  <c:v>699.70460000000003</c:v>
                </c:pt>
                <c:pt idx="212">
                  <c:v>699.7115</c:v>
                </c:pt>
                <c:pt idx="213">
                  <c:v>699.70929999999998</c:v>
                </c:pt>
                <c:pt idx="214">
                  <c:v>699.6825</c:v>
                </c:pt>
                <c:pt idx="215">
                  <c:v>699.73850000000004</c:v>
                </c:pt>
                <c:pt idx="216">
                  <c:v>699.72659999999996</c:v>
                </c:pt>
                <c:pt idx="217">
                  <c:v>699.7124</c:v>
                </c:pt>
                <c:pt idx="218">
                  <c:v>699.69600000000003</c:v>
                </c:pt>
                <c:pt idx="219">
                  <c:v>699.66750000000002</c:v>
                </c:pt>
                <c:pt idx="220">
                  <c:v>699.72810000000004</c:v>
                </c:pt>
                <c:pt idx="221">
                  <c:v>699.67100000000005</c:v>
                </c:pt>
                <c:pt idx="222">
                  <c:v>699.70870000000002</c:v>
                </c:pt>
                <c:pt idx="223">
                  <c:v>699.68280000000004</c:v>
                </c:pt>
                <c:pt idx="224">
                  <c:v>699.67849999999999</c:v>
                </c:pt>
                <c:pt idx="225">
                  <c:v>699.68110000000001</c:v>
                </c:pt>
                <c:pt idx="226">
                  <c:v>699.6952</c:v>
                </c:pt>
                <c:pt idx="227">
                  <c:v>699.69209999999998</c:v>
                </c:pt>
                <c:pt idx="228">
                  <c:v>699.65</c:v>
                </c:pt>
                <c:pt idx="229">
                  <c:v>699.68640000000005</c:v>
                </c:pt>
                <c:pt idx="230">
                  <c:v>699.67960000000005</c:v>
                </c:pt>
                <c:pt idx="231">
                  <c:v>699.68650000000002</c:v>
                </c:pt>
                <c:pt idx="232">
                  <c:v>699.6789</c:v>
                </c:pt>
                <c:pt idx="233">
                  <c:v>699.72659999999996</c:v>
                </c:pt>
                <c:pt idx="234">
                  <c:v>699.67110000000002</c:v>
                </c:pt>
                <c:pt idx="235">
                  <c:v>699.66430000000003</c:v>
                </c:pt>
                <c:pt idx="236">
                  <c:v>699.7287</c:v>
                </c:pt>
                <c:pt idx="237">
                  <c:v>699.67280000000005</c:v>
                </c:pt>
                <c:pt idx="238">
                  <c:v>699.69799999999998</c:v>
                </c:pt>
                <c:pt idx="239">
                  <c:v>699.6884</c:v>
                </c:pt>
                <c:pt idx="240">
                  <c:v>699.69449999999995</c:v>
                </c:pt>
                <c:pt idx="241">
                  <c:v>699.70100000000002</c:v>
                </c:pt>
                <c:pt idx="242">
                  <c:v>699.67129999999997</c:v>
                </c:pt>
                <c:pt idx="243">
                  <c:v>699.67529999999999</c:v>
                </c:pt>
                <c:pt idx="244">
                  <c:v>699.68100000000004</c:v>
                </c:pt>
                <c:pt idx="245">
                  <c:v>699.67669999999998</c:v>
                </c:pt>
                <c:pt idx="246">
                  <c:v>699.6866</c:v>
                </c:pt>
                <c:pt idx="247">
                  <c:v>699.68190000000004</c:v>
                </c:pt>
                <c:pt idx="248">
                  <c:v>699.67880000000002</c:v>
                </c:pt>
                <c:pt idx="249">
                  <c:v>699.6413</c:v>
                </c:pt>
                <c:pt idx="250">
                  <c:v>699.6848</c:v>
                </c:pt>
                <c:pt idx="251">
                  <c:v>699.68560000000002</c:v>
                </c:pt>
                <c:pt idx="252">
                  <c:v>699.70669999999996</c:v>
                </c:pt>
                <c:pt idx="253">
                  <c:v>699.67520000000002</c:v>
                </c:pt>
                <c:pt idx="254">
                  <c:v>699.67219999999998</c:v>
                </c:pt>
                <c:pt idx="255">
                  <c:v>699.69920000000002</c:v>
                </c:pt>
                <c:pt idx="256">
                  <c:v>699.64660000000003</c:v>
                </c:pt>
                <c:pt idx="257">
                  <c:v>699.71090000000004</c:v>
                </c:pt>
                <c:pt idx="258">
                  <c:v>699.63930000000005</c:v>
                </c:pt>
                <c:pt idx="259">
                  <c:v>699.66120000000001</c:v>
                </c:pt>
                <c:pt idx="260">
                  <c:v>699.68640000000005</c:v>
                </c:pt>
                <c:pt idx="261">
                  <c:v>699.65390000000002</c:v>
                </c:pt>
                <c:pt idx="262">
                  <c:v>699.70119999999997</c:v>
                </c:pt>
                <c:pt idx="263">
                  <c:v>699.66560000000004</c:v>
                </c:pt>
                <c:pt idx="264">
                  <c:v>699.65419999999995</c:v>
                </c:pt>
                <c:pt idx="265">
                  <c:v>699.69029999999998</c:v>
                </c:pt>
                <c:pt idx="266">
                  <c:v>699.6789</c:v>
                </c:pt>
                <c:pt idx="267">
                  <c:v>699.69929999999999</c:v>
                </c:pt>
                <c:pt idx="268">
                  <c:v>699.68629999999996</c:v>
                </c:pt>
                <c:pt idx="269">
                  <c:v>699.66989999999998</c:v>
                </c:pt>
                <c:pt idx="270">
                  <c:v>699.66099999999994</c:v>
                </c:pt>
                <c:pt idx="271">
                  <c:v>699.67219999999998</c:v>
                </c:pt>
                <c:pt idx="272">
                  <c:v>699.70169999999996</c:v>
                </c:pt>
                <c:pt idx="273">
                  <c:v>699.68650000000002</c:v>
                </c:pt>
                <c:pt idx="274">
                  <c:v>699.64279999999997</c:v>
                </c:pt>
                <c:pt idx="275">
                  <c:v>699.66970000000003</c:v>
                </c:pt>
                <c:pt idx="276">
                  <c:v>699.66869999999994</c:v>
                </c:pt>
                <c:pt idx="277">
                  <c:v>699.67510000000004</c:v>
                </c:pt>
                <c:pt idx="278">
                  <c:v>699.67510000000004</c:v>
                </c:pt>
                <c:pt idx="279">
                  <c:v>699.66300000000001</c:v>
                </c:pt>
                <c:pt idx="280">
                  <c:v>699.64160000000004</c:v>
                </c:pt>
                <c:pt idx="281">
                  <c:v>699.65110000000004</c:v>
                </c:pt>
                <c:pt idx="282">
                  <c:v>699.68539999999996</c:v>
                </c:pt>
                <c:pt idx="283">
                  <c:v>699.67650000000003</c:v>
                </c:pt>
                <c:pt idx="284">
                  <c:v>699.64400000000001</c:v>
                </c:pt>
                <c:pt idx="285">
                  <c:v>699.67380000000003</c:v>
                </c:pt>
                <c:pt idx="286">
                  <c:v>699.69539999999995</c:v>
                </c:pt>
                <c:pt idx="287">
                  <c:v>699.66030000000001</c:v>
                </c:pt>
                <c:pt idx="288">
                  <c:v>699.69060000000002</c:v>
                </c:pt>
                <c:pt idx="289">
                  <c:v>699.65679999999998</c:v>
                </c:pt>
                <c:pt idx="290">
                  <c:v>699.68709999999999</c:v>
                </c:pt>
                <c:pt idx="291">
                  <c:v>699.70159999999998</c:v>
                </c:pt>
                <c:pt idx="292">
                  <c:v>699.68399999999997</c:v>
                </c:pt>
                <c:pt idx="293">
                  <c:v>699.6182</c:v>
                </c:pt>
                <c:pt idx="294">
                  <c:v>699.63879999999995</c:v>
                </c:pt>
                <c:pt idx="295">
                  <c:v>699.67290000000003</c:v>
                </c:pt>
                <c:pt idx="296">
                  <c:v>699.67060000000004</c:v>
                </c:pt>
                <c:pt idx="297">
                  <c:v>699.68060000000003</c:v>
                </c:pt>
                <c:pt idx="298">
                  <c:v>699.66099999999994</c:v>
                </c:pt>
                <c:pt idx="299">
                  <c:v>699.64499999999998</c:v>
                </c:pt>
                <c:pt idx="300">
                  <c:v>699.67070000000001</c:v>
                </c:pt>
                <c:pt idx="301">
                  <c:v>699.64559999999994</c:v>
                </c:pt>
                <c:pt idx="302">
                  <c:v>699.68089999999995</c:v>
                </c:pt>
                <c:pt idx="303">
                  <c:v>699.7731</c:v>
                </c:pt>
                <c:pt idx="304">
                  <c:v>699.85519999999997</c:v>
                </c:pt>
                <c:pt idx="305">
                  <c:v>700.00930000000005</c:v>
                </c:pt>
                <c:pt idx="306">
                  <c:v>700.04179999999997</c:v>
                </c:pt>
                <c:pt idx="307">
                  <c:v>700.17660000000001</c:v>
                </c:pt>
                <c:pt idx="308">
                  <c:v>700.22400000000005</c:v>
                </c:pt>
                <c:pt idx="309">
                  <c:v>700.34910000000002</c:v>
                </c:pt>
                <c:pt idx="310">
                  <c:v>700.43960000000004</c:v>
                </c:pt>
                <c:pt idx="311">
                  <c:v>700.55930000000001</c:v>
                </c:pt>
                <c:pt idx="312">
                  <c:v>700.65139999999997</c:v>
                </c:pt>
                <c:pt idx="313">
                  <c:v>700.72950000000003</c:v>
                </c:pt>
                <c:pt idx="314">
                  <c:v>700.82659999999998</c:v>
                </c:pt>
                <c:pt idx="315">
                  <c:v>700.96979999999996</c:v>
                </c:pt>
                <c:pt idx="316">
                  <c:v>701.07280000000003</c:v>
                </c:pt>
                <c:pt idx="317">
                  <c:v>701.16970000000003</c:v>
                </c:pt>
                <c:pt idx="318">
                  <c:v>701.3338</c:v>
                </c:pt>
                <c:pt idx="319">
                  <c:v>701.41800000000001</c:v>
                </c:pt>
                <c:pt idx="320">
                  <c:v>701.56470000000002</c:v>
                </c:pt>
                <c:pt idx="321">
                  <c:v>701.66200000000003</c:v>
                </c:pt>
                <c:pt idx="322">
                  <c:v>701.84119999999996</c:v>
                </c:pt>
                <c:pt idx="323">
                  <c:v>701.90970000000004</c:v>
                </c:pt>
                <c:pt idx="324">
                  <c:v>702.09569999999997</c:v>
                </c:pt>
                <c:pt idx="325">
                  <c:v>702.21990000000005</c:v>
                </c:pt>
                <c:pt idx="326">
                  <c:v>702.36749999999995</c:v>
                </c:pt>
                <c:pt idx="327">
                  <c:v>702.45410000000004</c:v>
                </c:pt>
                <c:pt idx="328">
                  <c:v>702.65129999999999</c:v>
                </c:pt>
                <c:pt idx="329">
                  <c:v>702.74419999999998</c:v>
                </c:pt>
                <c:pt idx="330">
                  <c:v>702.90210000000002</c:v>
                </c:pt>
                <c:pt idx="331">
                  <c:v>703.07079999999996</c:v>
                </c:pt>
                <c:pt idx="332">
                  <c:v>703.23109999999997</c:v>
                </c:pt>
                <c:pt idx="333">
                  <c:v>703.39419999999996</c:v>
                </c:pt>
                <c:pt idx="334">
                  <c:v>703.54679999999996</c:v>
                </c:pt>
                <c:pt idx="335">
                  <c:v>703.67560000000003</c:v>
                </c:pt>
                <c:pt idx="336">
                  <c:v>703.85919999999999</c:v>
                </c:pt>
                <c:pt idx="337">
                  <c:v>703.99480000000005</c:v>
                </c:pt>
                <c:pt idx="338">
                  <c:v>704.16269999999997</c:v>
                </c:pt>
                <c:pt idx="339">
                  <c:v>704.30330000000004</c:v>
                </c:pt>
                <c:pt idx="340">
                  <c:v>704.49450000000002</c:v>
                </c:pt>
                <c:pt idx="341">
                  <c:v>704.62699999999995</c:v>
                </c:pt>
                <c:pt idx="342">
                  <c:v>704.79960000000005</c:v>
                </c:pt>
                <c:pt idx="343">
                  <c:v>704.92880000000002</c:v>
                </c:pt>
                <c:pt idx="344">
                  <c:v>705.14200000000005</c:v>
                </c:pt>
                <c:pt idx="345">
                  <c:v>705.27719999999999</c:v>
                </c:pt>
                <c:pt idx="346">
                  <c:v>705.41120000000001</c:v>
                </c:pt>
                <c:pt idx="347">
                  <c:v>705.63430000000005</c:v>
                </c:pt>
                <c:pt idx="348">
                  <c:v>705.78399999999999</c:v>
                </c:pt>
                <c:pt idx="349">
                  <c:v>705.96119999999996</c:v>
                </c:pt>
                <c:pt idx="350">
                  <c:v>706.15859999999998</c:v>
                </c:pt>
                <c:pt idx="351">
                  <c:v>706.27449999999999</c:v>
                </c:pt>
                <c:pt idx="352">
                  <c:v>706.43129999999996</c:v>
                </c:pt>
                <c:pt idx="353">
                  <c:v>706.52809999999999</c:v>
                </c:pt>
                <c:pt idx="354">
                  <c:v>706.69380000000001</c:v>
                </c:pt>
                <c:pt idx="355">
                  <c:v>706.84310000000005</c:v>
                </c:pt>
                <c:pt idx="356">
                  <c:v>706.98739999999998</c:v>
                </c:pt>
                <c:pt idx="357">
                  <c:v>707.10400000000004</c:v>
                </c:pt>
                <c:pt idx="358">
                  <c:v>707.25329999999997</c:v>
                </c:pt>
                <c:pt idx="359">
                  <c:v>707.40380000000005</c:v>
                </c:pt>
                <c:pt idx="360">
                  <c:v>707.54300000000001</c:v>
                </c:pt>
                <c:pt idx="361">
                  <c:v>707.70719999999994</c:v>
                </c:pt>
                <c:pt idx="362">
                  <c:v>707.8999</c:v>
                </c:pt>
                <c:pt idx="363">
                  <c:v>708.07939999999996</c:v>
                </c:pt>
                <c:pt idx="364">
                  <c:v>708.27250000000004</c:v>
                </c:pt>
                <c:pt idx="365">
                  <c:v>708.43119999999999</c:v>
                </c:pt>
                <c:pt idx="366">
                  <c:v>708.62720000000002</c:v>
                </c:pt>
                <c:pt idx="367">
                  <c:v>708.88869999999997</c:v>
                </c:pt>
                <c:pt idx="368">
                  <c:v>709.0231</c:v>
                </c:pt>
                <c:pt idx="369">
                  <c:v>709.26509999999996</c:v>
                </c:pt>
                <c:pt idx="370">
                  <c:v>709.44669999999996</c:v>
                </c:pt>
                <c:pt idx="371">
                  <c:v>709.68399999999997</c:v>
                </c:pt>
                <c:pt idx="372">
                  <c:v>709.88310000000001</c:v>
                </c:pt>
                <c:pt idx="373">
                  <c:v>710.10659999999996</c:v>
                </c:pt>
                <c:pt idx="374">
                  <c:v>710.31439999999998</c:v>
                </c:pt>
                <c:pt idx="375">
                  <c:v>710.52139999999997</c:v>
                </c:pt>
                <c:pt idx="376">
                  <c:v>710.79610000000002</c:v>
                </c:pt>
                <c:pt idx="377">
                  <c:v>710.98950000000002</c:v>
                </c:pt>
                <c:pt idx="378">
                  <c:v>711.18899999999996</c:v>
                </c:pt>
                <c:pt idx="379">
                  <c:v>711.43550000000005</c:v>
                </c:pt>
                <c:pt idx="380">
                  <c:v>711.66330000000005</c:v>
                </c:pt>
                <c:pt idx="381">
                  <c:v>711.8877</c:v>
                </c:pt>
                <c:pt idx="382">
                  <c:v>712.13750000000005</c:v>
                </c:pt>
                <c:pt idx="383">
                  <c:v>712.3066</c:v>
                </c:pt>
                <c:pt idx="384">
                  <c:v>712.27390000000003</c:v>
                </c:pt>
                <c:pt idx="385">
                  <c:v>712.32749999999999</c:v>
                </c:pt>
                <c:pt idx="386">
                  <c:v>712.30169999999998</c:v>
                </c:pt>
                <c:pt idx="387">
                  <c:v>712.30370000000005</c:v>
                </c:pt>
                <c:pt idx="388">
                  <c:v>712.33119999999997</c:v>
                </c:pt>
                <c:pt idx="389">
                  <c:v>712.30139999999994</c:v>
                </c:pt>
                <c:pt idx="390">
                  <c:v>712.29629999999997</c:v>
                </c:pt>
                <c:pt idx="391">
                  <c:v>712.29579999999999</c:v>
                </c:pt>
                <c:pt idx="392">
                  <c:v>712.27679999999998</c:v>
                </c:pt>
                <c:pt idx="393">
                  <c:v>712.29949999999997</c:v>
                </c:pt>
                <c:pt idx="394">
                  <c:v>712.24570000000006</c:v>
                </c:pt>
                <c:pt idx="395">
                  <c:v>712.30880000000002</c:v>
                </c:pt>
                <c:pt idx="396">
                  <c:v>712.27030000000002</c:v>
                </c:pt>
                <c:pt idx="397">
                  <c:v>712.27570000000003</c:v>
                </c:pt>
                <c:pt idx="398">
                  <c:v>712.31209999999999</c:v>
                </c:pt>
                <c:pt idx="399">
                  <c:v>712.31</c:v>
                </c:pt>
                <c:pt idx="400">
                  <c:v>712.3125</c:v>
                </c:pt>
                <c:pt idx="401">
                  <c:v>712.31259999999997</c:v>
                </c:pt>
                <c:pt idx="402">
                  <c:v>712.29190000000006</c:v>
                </c:pt>
                <c:pt idx="403">
                  <c:v>712.28510000000006</c:v>
                </c:pt>
                <c:pt idx="404">
                  <c:v>712.35410000000002</c:v>
                </c:pt>
                <c:pt idx="405">
                  <c:v>712.32</c:v>
                </c:pt>
                <c:pt idx="406">
                  <c:v>712.31370000000004</c:v>
                </c:pt>
                <c:pt idx="407">
                  <c:v>712.30870000000004</c:v>
                </c:pt>
                <c:pt idx="408">
                  <c:v>712.29909999999995</c:v>
                </c:pt>
                <c:pt idx="409">
                  <c:v>712.27779999999996</c:v>
                </c:pt>
                <c:pt idx="410">
                  <c:v>712.30290000000002</c:v>
                </c:pt>
                <c:pt idx="411">
                  <c:v>712.31449999999995</c:v>
                </c:pt>
                <c:pt idx="412">
                  <c:v>712.30889999999999</c:v>
                </c:pt>
                <c:pt idx="413">
                  <c:v>712.32870000000003</c:v>
                </c:pt>
                <c:pt idx="414">
                  <c:v>712.30489999999998</c:v>
                </c:pt>
                <c:pt idx="415">
                  <c:v>712.29359999999997</c:v>
                </c:pt>
                <c:pt idx="416">
                  <c:v>712.30020000000002</c:v>
                </c:pt>
                <c:pt idx="417">
                  <c:v>712.33759999999995</c:v>
                </c:pt>
                <c:pt idx="418">
                  <c:v>712.30119999999999</c:v>
                </c:pt>
                <c:pt idx="419">
                  <c:v>712.30939999999998</c:v>
                </c:pt>
                <c:pt idx="420">
                  <c:v>712.34860000000003</c:v>
                </c:pt>
                <c:pt idx="421">
                  <c:v>712.30690000000004</c:v>
                </c:pt>
                <c:pt idx="422">
                  <c:v>712.31010000000003</c:v>
                </c:pt>
                <c:pt idx="423">
                  <c:v>712.34900000000005</c:v>
                </c:pt>
                <c:pt idx="424">
                  <c:v>712.33330000000001</c:v>
                </c:pt>
                <c:pt idx="425">
                  <c:v>712.31039999999996</c:v>
                </c:pt>
                <c:pt idx="426">
                  <c:v>712.32140000000004</c:v>
                </c:pt>
                <c:pt idx="427">
                  <c:v>712.32650000000001</c:v>
                </c:pt>
                <c:pt idx="428">
                  <c:v>712.34370000000001</c:v>
                </c:pt>
                <c:pt idx="429">
                  <c:v>712.3356</c:v>
                </c:pt>
                <c:pt idx="430">
                  <c:v>712.30460000000005</c:v>
                </c:pt>
                <c:pt idx="431">
                  <c:v>712.32280000000003</c:v>
                </c:pt>
                <c:pt idx="432">
                  <c:v>712.33500000000004</c:v>
                </c:pt>
                <c:pt idx="433">
                  <c:v>712.31780000000003</c:v>
                </c:pt>
                <c:pt idx="434">
                  <c:v>712.30899999999997</c:v>
                </c:pt>
                <c:pt idx="435">
                  <c:v>712.34699999999998</c:v>
                </c:pt>
                <c:pt idx="436">
                  <c:v>712.32280000000003</c:v>
                </c:pt>
                <c:pt idx="437">
                  <c:v>712.32910000000004</c:v>
                </c:pt>
                <c:pt idx="438">
                  <c:v>712.32510000000002</c:v>
                </c:pt>
                <c:pt idx="439">
                  <c:v>712.32410000000004</c:v>
                </c:pt>
                <c:pt idx="440">
                  <c:v>712.3646</c:v>
                </c:pt>
                <c:pt idx="441">
                  <c:v>712.29600000000005</c:v>
                </c:pt>
                <c:pt idx="442">
                  <c:v>712.327</c:v>
                </c:pt>
                <c:pt idx="443">
                  <c:v>712.37689999999998</c:v>
                </c:pt>
                <c:pt idx="444">
                  <c:v>712.31140000000005</c:v>
                </c:pt>
                <c:pt idx="445">
                  <c:v>712.3424</c:v>
                </c:pt>
                <c:pt idx="446">
                  <c:v>712.31579999999997</c:v>
                </c:pt>
                <c:pt idx="447">
                  <c:v>712.31989999999996</c:v>
                </c:pt>
                <c:pt idx="448">
                  <c:v>712.33929999999998</c:v>
                </c:pt>
                <c:pt idx="449">
                  <c:v>712.33590000000004</c:v>
                </c:pt>
                <c:pt idx="450">
                  <c:v>712.31299999999999</c:v>
                </c:pt>
                <c:pt idx="451">
                  <c:v>712.32870000000003</c:v>
                </c:pt>
                <c:pt idx="452">
                  <c:v>712.32809999999995</c:v>
                </c:pt>
                <c:pt idx="453">
                  <c:v>712.36379999999997</c:v>
                </c:pt>
                <c:pt idx="454">
                  <c:v>712.31809999999996</c:v>
                </c:pt>
                <c:pt idx="455">
                  <c:v>712.34320000000002</c:v>
                </c:pt>
                <c:pt idx="456">
                  <c:v>712.28610000000003</c:v>
                </c:pt>
                <c:pt idx="457">
                  <c:v>712.31560000000002</c:v>
                </c:pt>
                <c:pt idx="458">
                  <c:v>712.30769999999995</c:v>
                </c:pt>
                <c:pt idx="459">
                  <c:v>712.29679999999996</c:v>
                </c:pt>
                <c:pt idx="460">
                  <c:v>712.3075</c:v>
                </c:pt>
                <c:pt idx="461">
                  <c:v>712.32100000000003</c:v>
                </c:pt>
                <c:pt idx="462">
                  <c:v>712.33759999999995</c:v>
                </c:pt>
                <c:pt idx="463">
                  <c:v>712.30179999999996</c:v>
                </c:pt>
                <c:pt idx="464">
                  <c:v>712.31529999999998</c:v>
                </c:pt>
                <c:pt idx="465">
                  <c:v>712.36109999999996</c:v>
                </c:pt>
                <c:pt idx="466">
                  <c:v>712.34389999999996</c:v>
                </c:pt>
                <c:pt idx="467">
                  <c:v>712.34450000000004</c:v>
                </c:pt>
                <c:pt idx="468">
                  <c:v>712.28020000000004</c:v>
                </c:pt>
                <c:pt idx="469">
                  <c:v>712.32730000000004</c:v>
                </c:pt>
                <c:pt idx="470">
                  <c:v>712.29589999999996</c:v>
                </c:pt>
                <c:pt idx="471">
                  <c:v>712.31629999999996</c:v>
                </c:pt>
                <c:pt idx="472">
                  <c:v>712.31100000000004</c:v>
                </c:pt>
                <c:pt idx="473">
                  <c:v>712.32069999999999</c:v>
                </c:pt>
                <c:pt idx="474">
                  <c:v>712.31889999999999</c:v>
                </c:pt>
                <c:pt idx="475">
                  <c:v>712.32860000000005</c:v>
                </c:pt>
                <c:pt idx="476">
                  <c:v>712.30319999999995</c:v>
                </c:pt>
                <c:pt idx="477">
                  <c:v>712.29380000000003</c:v>
                </c:pt>
                <c:pt idx="478">
                  <c:v>712.31200000000001</c:v>
                </c:pt>
                <c:pt idx="479">
                  <c:v>712.29480000000001</c:v>
                </c:pt>
                <c:pt idx="480">
                  <c:v>712.30830000000003</c:v>
                </c:pt>
                <c:pt idx="481">
                  <c:v>712.34029999999996</c:v>
                </c:pt>
                <c:pt idx="482">
                  <c:v>712.31579999999997</c:v>
                </c:pt>
                <c:pt idx="483">
                  <c:v>712.34220000000005</c:v>
                </c:pt>
                <c:pt idx="484">
                  <c:v>712.29920000000004</c:v>
                </c:pt>
                <c:pt idx="485">
                  <c:v>712.32050000000004</c:v>
                </c:pt>
                <c:pt idx="486">
                  <c:v>712.31359999999995</c:v>
                </c:pt>
                <c:pt idx="487">
                  <c:v>712.33910000000003</c:v>
                </c:pt>
                <c:pt idx="488">
                  <c:v>712.34659999999997</c:v>
                </c:pt>
                <c:pt idx="489">
                  <c:v>712.31489999999997</c:v>
                </c:pt>
                <c:pt idx="490">
                  <c:v>712.33190000000002</c:v>
                </c:pt>
                <c:pt idx="491">
                  <c:v>712.33939999999996</c:v>
                </c:pt>
                <c:pt idx="492">
                  <c:v>712.31619999999998</c:v>
                </c:pt>
                <c:pt idx="493">
                  <c:v>712.30799999999999</c:v>
                </c:pt>
                <c:pt idx="494">
                  <c:v>712.25530000000003</c:v>
                </c:pt>
                <c:pt idx="495">
                  <c:v>712.33249999999998</c:v>
                </c:pt>
                <c:pt idx="496">
                  <c:v>712.30709999999999</c:v>
                </c:pt>
                <c:pt idx="497">
                  <c:v>712.25570000000005</c:v>
                </c:pt>
                <c:pt idx="498">
                  <c:v>712.32410000000004</c:v>
                </c:pt>
                <c:pt idx="499">
                  <c:v>712.31150000000002</c:v>
                </c:pt>
                <c:pt idx="500">
                  <c:v>712.30970000000002</c:v>
                </c:pt>
                <c:pt idx="501">
                  <c:v>712.32849999999996</c:v>
                </c:pt>
                <c:pt idx="502">
                  <c:v>712.31150000000002</c:v>
                </c:pt>
                <c:pt idx="503">
                  <c:v>712.31410000000005</c:v>
                </c:pt>
                <c:pt idx="504">
                  <c:v>712.33879999999999</c:v>
                </c:pt>
                <c:pt idx="505">
                  <c:v>712.33010000000002</c:v>
                </c:pt>
                <c:pt idx="506">
                  <c:v>712.2808</c:v>
                </c:pt>
                <c:pt idx="507">
                  <c:v>712.3116</c:v>
                </c:pt>
                <c:pt idx="508">
                  <c:v>712.34730000000002</c:v>
                </c:pt>
                <c:pt idx="509">
                  <c:v>712.33230000000003</c:v>
                </c:pt>
                <c:pt idx="510">
                  <c:v>712.35140000000001</c:v>
                </c:pt>
                <c:pt idx="511">
                  <c:v>712.34140000000002</c:v>
                </c:pt>
                <c:pt idx="512">
                  <c:v>712.31349999999998</c:v>
                </c:pt>
                <c:pt idx="513">
                  <c:v>712.32759999999996</c:v>
                </c:pt>
                <c:pt idx="514">
                  <c:v>712.34960000000001</c:v>
                </c:pt>
                <c:pt idx="515">
                  <c:v>712.30250000000001</c:v>
                </c:pt>
                <c:pt idx="516">
                  <c:v>712.32539999999995</c:v>
                </c:pt>
                <c:pt idx="517">
                  <c:v>712.31129999999996</c:v>
                </c:pt>
                <c:pt idx="518">
                  <c:v>712.27679999999998</c:v>
                </c:pt>
                <c:pt idx="519">
                  <c:v>712.33199999999999</c:v>
                </c:pt>
                <c:pt idx="520">
                  <c:v>712.29970000000003</c:v>
                </c:pt>
                <c:pt idx="521">
                  <c:v>712.32230000000004</c:v>
                </c:pt>
                <c:pt idx="522">
                  <c:v>712.31889999999999</c:v>
                </c:pt>
                <c:pt idx="523">
                  <c:v>712.33579999999995</c:v>
                </c:pt>
                <c:pt idx="524">
                  <c:v>712.30909999999994</c:v>
                </c:pt>
                <c:pt idx="525">
                  <c:v>712.28089999999997</c:v>
                </c:pt>
                <c:pt idx="526">
                  <c:v>712.29409999999996</c:v>
                </c:pt>
                <c:pt idx="527">
                  <c:v>712.31569999999999</c:v>
                </c:pt>
                <c:pt idx="528">
                  <c:v>712.30439999999999</c:v>
                </c:pt>
                <c:pt idx="529">
                  <c:v>712.28089999999997</c:v>
                </c:pt>
                <c:pt idx="530">
                  <c:v>712.3107</c:v>
                </c:pt>
                <c:pt idx="531">
                  <c:v>712.34019999999998</c:v>
                </c:pt>
                <c:pt idx="532">
                  <c:v>712.30889999999999</c:v>
                </c:pt>
                <c:pt idx="533">
                  <c:v>712.31759999999997</c:v>
                </c:pt>
                <c:pt idx="534">
                  <c:v>712.30949999999996</c:v>
                </c:pt>
                <c:pt idx="535">
                  <c:v>712.32860000000005</c:v>
                </c:pt>
                <c:pt idx="536">
                  <c:v>712.31949999999995</c:v>
                </c:pt>
                <c:pt idx="537">
                  <c:v>712.34119999999996</c:v>
                </c:pt>
                <c:pt idx="538">
                  <c:v>712.29629999999997</c:v>
                </c:pt>
                <c:pt idx="539">
                  <c:v>712.29690000000005</c:v>
                </c:pt>
                <c:pt idx="540">
                  <c:v>712.32299999999998</c:v>
                </c:pt>
                <c:pt idx="541">
                  <c:v>712.36220000000003</c:v>
                </c:pt>
                <c:pt idx="542">
                  <c:v>712.34</c:v>
                </c:pt>
                <c:pt idx="543">
                  <c:v>712.29570000000001</c:v>
                </c:pt>
                <c:pt idx="544">
                  <c:v>712.32209999999998</c:v>
                </c:pt>
                <c:pt idx="545">
                  <c:v>712.34939999999995</c:v>
                </c:pt>
                <c:pt idx="546">
                  <c:v>712.30830000000003</c:v>
                </c:pt>
                <c:pt idx="547">
                  <c:v>712.33900000000006</c:v>
                </c:pt>
                <c:pt idx="548">
                  <c:v>712.34029999999996</c:v>
                </c:pt>
                <c:pt idx="549">
                  <c:v>712.29819999999995</c:v>
                </c:pt>
                <c:pt idx="550">
                  <c:v>712.3202</c:v>
                </c:pt>
                <c:pt idx="551">
                  <c:v>712.31989999999996</c:v>
                </c:pt>
                <c:pt idx="552">
                  <c:v>712.31460000000004</c:v>
                </c:pt>
                <c:pt idx="553">
                  <c:v>712.37360000000001</c:v>
                </c:pt>
                <c:pt idx="554">
                  <c:v>712.30579999999998</c:v>
                </c:pt>
                <c:pt idx="555">
                  <c:v>712.28949999999998</c:v>
                </c:pt>
                <c:pt idx="556">
                  <c:v>712.3048</c:v>
                </c:pt>
                <c:pt idx="557">
                  <c:v>712.35</c:v>
                </c:pt>
                <c:pt idx="558">
                  <c:v>712.29129999999998</c:v>
                </c:pt>
                <c:pt idx="559">
                  <c:v>712.32489999999996</c:v>
                </c:pt>
                <c:pt idx="560">
                  <c:v>712.33780000000002</c:v>
                </c:pt>
                <c:pt idx="561">
                  <c:v>712.31330000000003</c:v>
                </c:pt>
                <c:pt idx="562">
                  <c:v>712.28319999999997</c:v>
                </c:pt>
                <c:pt idx="563">
                  <c:v>712.29510000000005</c:v>
                </c:pt>
                <c:pt idx="564">
                  <c:v>712.30520000000001</c:v>
                </c:pt>
                <c:pt idx="565">
                  <c:v>712.30989999999997</c:v>
                </c:pt>
                <c:pt idx="566">
                  <c:v>712.30989999999997</c:v>
                </c:pt>
                <c:pt idx="567">
                  <c:v>712.42100000000005</c:v>
                </c:pt>
                <c:pt idx="568">
                  <c:v>712.5933</c:v>
                </c:pt>
                <c:pt idx="569">
                  <c:v>712.8442</c:v>
                </c:pt>
                <c:pt idx="570">
                  <c:v>713.03070000000002</c:v>
                </c:pt>
                <c:pt idx="571">
                  <c:v>713.18359999999996</c:v>
                </c:pt>
                <c:pt idx="572">
                  <c:v>713.43449999999996</c:v>
                </c:pt>
                <c:pt idx="573">
                  <c:v>713.6481</c:v>
                </c:pt>
                <c:pt idx="574">
                  <c:v>713.85400000000004</c:v>
                </c:pt>
                <c:pt idx="575">
                  <c:v>714.10040000000004</c:v>
                </c:pt>
                <c:pt idx="576">
                  <c:v>714.27769999999998</c:v>
                </c:pt>
                <c:pt idx="577">
                  <c:v>714.47680000000003</c:v>
                </c:pt>
                <c:pt idx="578">
                  <c:v>714.69389999999999</c:v>
                </c:pt>
                <c:pt idx="579">
                  <c:v>714.93830000000003</c:v>
                </c:pt>
                <c:pt idx="580">
                  <c:v>715.15449999999998</c:v>
                </c:pt>
                <c:pt idx="581">
                  <c:v>715.35350000000005</c:v>
                </c:pt>
                <c:pt idx="582">
                  <c:v>715.57989999999995</c:v>
                </c:pt>
                <c:pt idx="583">
                  <c:v>715.78959999999995</c:v>
                </c:pt>
                <c:pt idx="584">
                  <c:v>716.03499999999997</c:v>
                </c:pt>
                <c:pt idx="585">
                  <c:v>716.16690000000006</c:v>
                </c:pt>
                <c:pt idx="586">
                  <c:v>716.34</c:v>
                </c:pt>
                <c:pt idx="587">
                  <c:v>716.55460000000005</c:v>
                </c:pt>
                <c:pt idx="588">
                  <c:v>716.73540000000003</c:v>
                </c:pt>
                <c:pt idx="589">
                  <c:v>716.88030000000003</c:v>
                </c:pt>
                <c:pt idx="590">
                  <c:v>717.02769999999998</c:v>
                </c:pt>
                <c:pt idx="591">
                  <c:v>717.21010000000001</c:v>
                </c:pt>
                <c:pt idx="592">
                  <c:v>717.40480000000002</c:v>
                </c:pt>
                <c:pt idx="593">
                  <c:v>717.5498</c:v>
                </c:pt>
                <c:pt idx="594">
                  <c:v>717.71029999999996</c:v>
                </c:pt>
                <c:pt idx="595">
                  <c:v>717.93219999999997</c:v>
                </c:pt>
                <c:pt idx="596">
                  <c:v>718.07349999999997</c:v>
                </c:pt>
                <c:pt idx="597">
                  <c:v>718.2482</c:v>
                </c:pt>
                <c:pt idx="598">
                  <c:v>718.41959999999995</c:v>
                </c:pt>
                <c:pt idx="599">
                  <c:v>718.5711</c:v>
                </c:pt>
                <c:pt idx="600">
                  <c:v>718.78980000000001</c:v>
                </c:pt>
                <c:pt idx="601">
                  <c:v>718.96500000000003</c:v>
                </c:pt>
                <c:pt idx="602">
                  <c:v>719.15350000000001</c:v>
                </c:pt>
                <c:pt idx="603">
                  <c:v>719.29570000000001</c:v>
                </c:pt>
                <c:pt idx="604">
                  <c:v>719.46420000000001</c:v>
                </c:pt>
                <c:pt idx="605">
                  <c:v>719.66700000000003</c:v>
                </c:pt>
                <c:pt idx="606">
                  <c:v>719.85609999999997</c:v>
                </c:pt>
                <c:pt idx="607">
                  <c:v>720.02020000000005</c:v>
                </c:pt>
                <c:pt idx="608">
                  <c:v>720.21280000000002</c:v>
                </c:pt>
                <c:pt idx="609">
                  <c:v>720.35900000000004</c:v>
                </c:pt>
                <c:pt idx="610">
                  <c:v>720.52290000000005</c:v>
                </c:pt>
                <c:pt idx="611">
                  <c:v>720.78510000000006</c:v>
                </c:pt>
                <c:pt idx="612">
                  <c:v>720.928</c:v>
                </c:pt>
                <c:pt idx="613">
                  <c:v>721.09860000000003</c:v>
                </c:pt>
                <c:pt idx="614">
                  <c:v>721.31410000000005</c:v>
                </c:pt>
                <c:pt idx="615">
                  <c:v>721.42949999999996</c:v>
                </c:pt>
                <c:pt idx="616">
                  <c:v>721.67139999999995</c:v>
                </c:pt>
                <c:pt idx="617">
                  <c:v>721.79219999999998</c:v>
                </c:pt>
                <c:pt idx="618">
                  <c:v>722.05219999999997</c:v>
                </c:pt>
                <c:pt idx="619">
                  <c:v>722.19970000000001</c:v>
                </c:pt>
                <c:pt idx="620">
                  <c:v>722.39850000000001</c:v>
                </c:pt>
                <c:pt idx="621">
                  <c:v>722.58529999999996</c:v>
                </c:pt>
                <c:pt idx="622">
                  <c:v>722.75130000000001</c:v>
                </c:pt>
                <c:pt idx="623">
                  <c:v>722.94110000000001</c:v>
                </c:pt>
                <c:pt idx="624">
                  <c:v>723.10760000000005</c:v>
                </c:pt>
                <c:pt idx="625">
                  <c:v>723.27629999999999</c:v>
                </c:pt>
                <c:pt idx="626">
                  <c:v>723.51499999999999</c:v>
                </c:pt>
                <c:pt idx="627">
                  <c:v>723.67460000000005</c:v>
                </c:pt>
                <c:pt idx="628">
                  <c:v>723.89700000000005</c:v>
                </c:pt>
                <c:pt idx="629">
                  <c:v>724.0018</c:v>
                </c:pt>
                <c:pt idx="630">
                  <c:v>724.15390000000002</c:v>
                </c:pt>
                <c:pt idx="631">
                  <c:v>724.29780000000005</c:v>
                </c:pt>
                <c:pt idx="632">
                  <c:v>724.41719999999998</c:v>
                </c:pt>
                <c:pt idx="633">
                  <c:v>724.49599999999998</c:v>
                </c:pt>
                <c:pt idx="634">
                  <c:v>724.50750000000005</c:v>
                </c:pt>
                <c:pt idx="635">
                  <c:v>724.50469999999996</c:v>
                </c:pt>
                <c:pt idx="636">
                  <c:v>724.51419999999996</c:v>
                </c:pt>
                <c:pt idx="637">
                  <c:v>724.57249999999999</c:v>
                </c:pt>
                <c:pt idx="638">
                  <c:v>724.54690000000005</c:v>
                </c:pt>
                <c:pt idx="639">
                  <c:v>724.52620000000002</c:v>
                </c:pt>
                <c:pt idx="640">
                  <c:v>724.50649999999996</c:v>
                </c:pt>
                <c:pt idx="641">
                  <c:v>724.53980000000001</c:v>
                </c:pt>
                <c:pt idx="642">
                  <c:v>724.50980000000004</c:v>
                </c:pt>
                <c:pt idx="643">
                  <c:v>724.49570000000006</c:v>
                </c:pt>
                <c:pt idx="644">
                  <c:v>724.5181</c:v>
                </c:pt>
                <c:pt idx="645">
                  <c:v>724.51</c:v>
                </c:pt>
                <c:pt idx="646">
                  <c:v>724.5806</c:v>
                </c:pt>
                <c:pt idx="647">
                  <c:v>724.54359999999997</c:v>
                </c:pt>
                <c:pt idx="648">
                  <c:v>724.52080000000001</c:v>
                </c:pt>
                <c:pt idx="649">
                  <c:v>724.55899999999997</c:v>
                </c:pt>
                <c:pt idx="650">
                  <c:v>724.55439999999999</c:v>
                </c:pt>
                <c:pt idx="651">
                  <c:v>724.5104</c:v>
                </c:pt>
                <c:pt idx="652">
                  <c:v>724.51840000000004</c:v>
                </c:pt>
                <c:pt idx="653">
                  <c:v>724.55719999999997</c:v>
                </c:pt>
                <c:pt idx="654">
                  <c:v>724.57219999999995</c:v>
                </c:pt>
                <c:pt idx="655">
                  <c:v>724.55070000000001</c:v>
                </c:pt>
                <c:pt idx="656">
                  <c:v>724.48249999999996</c:v>
                </c:pt>
                <c:pt idx="657">
                  <c:v>724.52390000000003</c:v>
                </c:pt>
                <c:pt idx="658">
                  <c:v>724.52840000000003</c:v>
                </c:pt>
                <c:pt idx="659">
                  <c:v>724.49829999999997</c:v>
                </c:pt>
                <c:pt idx="660">
                  <c:v>724.54629999999997</c:v>
                </c:pt>
                <c:pt idx="661">
                  <c:v>724.51750000000004</c:v>
                </c:pt>
                <c:pt idx="662">
                  <c:v>724.51250000000005</c:v>
                </c:pt>
                <c:pt idx="663">
                  <c:v>724.53099999999995</c:v>
                </c:pt>
                <c:pt idx="664">
                  <c:v>724.48850000000004</c:v>
                </c:pt>
                <c:pt idx="665">
                  <c:v>724.51940000000002</c:v>
                </c:pt>
                <c:pt idx="666">
                  <c:v>724.50319999999999</c:v>
                </c:pt>
                <c:pt idx="667">
                  <c:v>724.53340000000003</c:v>
                </c:pt>
                <c:pt idx="668">
                  <c:v>724.53229999999996</c:v>
                </c:pt>
                <c:pt idx="669">
                  <c:v>724.56380000000001</c:v>
                </c:pt>
                <c:pt idx="670">
                  <c:v>724.52380000000005</c:v>
                </c:pt>
                <c:pt idx="671">
                  <c:v>724.53240000000005</c:v>
                </c:pt>
                <c:pt idx="672">
                  <c:v>724.51250000000005</c:v>
                </c:pt>
                <c:pt idx="673">
                  <c:v>724.55290000000002</c:v>
                </c:pt>
                <c:pt idx="674">
                  <c:v>724.55139999999994</c:v>
                </c:pt>
                <c:pt idx="675">
                  <c:v>724.52440000000001</c:v>
                </c:pt>
                <c:pt idx="676">
                  <c:v>724.53240000000005</c:v>
                </c:pt>
                <c:pt idx="677">
                  <c:v>724.51369999999997</c:v>
                </c:pt>
                <c:pt idx="678">
                  <c:v>724.56590000000006</c:v>
                </c:pt>
                <c:pt idx="679">
                  <c:v>724.52940000000001</c:v>
                </c:pt>
                <c:pt idx="680">
                  <c:v>724.50720000000001</c:v>
                </c:pt>
                <c:pt idx="681">
                  <c:v>724.54690000000005</c:v>
                </c:pt>
                <c:pt idx="682">
                  <c:v>724.54639999999995</c:v>
                </c:pt>
                <c:pt idx="683">
                  <c:v>724.51589999999999</c:v>
                </c:pt>
                <c:pt idx="684">
                  <c:v>724.55340000000001</c:v>
                </c:pt>
                <c:pt idx="685">
                  <c:v>724.51990000000001</c:v>
                </c:pt>
                <c:pt idx="686">
                  <c:v>724.52719999999999</c:v>
                </c:pt>
                <c:pt idx="687">
                  <c:v>724.51099999999997</c:v>
                </c:pt>
                <c:pt idx="688">
                  <c:v>724.55460000000005</c:v>
                </c:pt>
                <c:pt idx="689">
                  <c:v>724.51559999999995</c:v>
                </c:pt>
                <c:pt idx="690">
                  <c:v>724.52449999999999</c:v>
                </c:pt>
                <c:pt idx="691">
                  <c:v>724.52139999999997</c:v>
                </c:pt>
                <c:pt idx="692">
                  <c:v>724.51949999999999</c:v>
                </c:pt>
                <c:pt idx="693">
                  <c:v>724.51070000000004</c:v>
                </c:pt>
                <c:pt idx="694">
                  <c:v>724.53009999999995</c:v>
                </c:pt>
                <c:pt idx="695">
                  <c:v>724.54729999999995</c:v>
                </c:pt>
                <c:pt idx="696">
                  <c:v>724.56539999999995</c:v>
                </c:pt>
                <c:pt idx="697">
                  <c:v>724.55399999999997</c:v>
                </c:pt>
                <c:pt idx="698">
                  <c:v>724.56769999999995</c:v>
                </c:pt>
                <c:pt idx="699">
                  <c:v>724.50869999999998</c:v>
                </c:pt>
                <c:pt idx="700">
                  <c:v>724.49860000000001</c:v>
                </c:pt>
                <c:pt idx="701">
                  <c:v>724.55129999999997</c:v>
                </c:pt>
                <c:pt idx="702">
                  <c:v>724.56029999999998</c:v>
                </c:pt>
                <c:pt idx="703">
                  <c:v>724.53970000000004</c:v>
                </c:pt>
                <c:pt idx="704">
                  <c:v>724.56740000000002</c:v>
                </c:pt>
                <c:pt idx="705">
                  <c:v>724.54480000000001</c:v>
                </c:pt>
                <c:pt idx="706">
                  <c:v>724.56370000000004</c:v>
                </c:pt>
                <c:pt idx="707">
                  <c:v>724.5471</c:v>
                </c:pt>
                <c:pt idx="708">
                  <c:v>724.53449999999998</c:v>
                </c:pt>
                <c:pt idx="709">
                  <c:v>724.54690000000005</c:v>
                </c:pt>
                <c:pt idx="710">
                  <c:v>724.55200000000002</c:v>
                </c:pt>
                <c:pt idx="711">
                  <c:v>724.55050000000006</c:v>
                </c:pt>
                <c:pt idx="712">
                  <c:v>724.53269999999998</c:v>
                </c:pt>
                <c:pt idx="713">
                  <c:v>724.53560000000004</c:v>
                </c:pt>
                <c:pt idx="714">
                  <c:v>724.53729999999996</c:v>
                </c:pt>
                <c:pt idx="715">
                  <c:v>724.53629999999998</c:v>
                </c:pt>
                <c:pt idx="716">
                  <c:v>724.52239999999995</c:v>
                </c:pt>
                <c:pt idx="717">
                  <c:v>724.53290000000004</c:v>
                </c:pt>
                <c:pt idx="718">
                  <c:v>724.53769999999997</c:v>
                </c:pt>
                <c:pt idx="719">
                  <c:v>724.54499999999996</c:v>
                </c:pt>
                <c:pt idx="720">
                  <c:v>724.56960000000004</c:v>
                </c:pt>
                <c:pt idx="721">
                  <c:v>724.56769999999995</c:v>
                </c:pt>
                <c:pt idx="722">
                  <c:v>724.54769999999996</c:v>
                </c:pt>
                <c:pt idx="723">
                  <c:v>724.5471</c:v>
                </c:pt>
                <c:pt idx="724">
                  <c:v>724.50360000000001</c:v>
                </c:pt>
                <c:pt idx="725">
                  <c:v>724.56820000000005</c:v>
                </c:pt>
                <c:pt idx="726">
                  <c:v>724.5421</c:v>
                </c:pt>
                <c:pt idx="727">
                  <c:v>724.54660000000001</c:v>
                </c:pt>
                <c:pt idx="728">
                  <c:v>724.53359999999998</c:v>
                </c:pt>
                <c:pt idx="729">
                  <c:v>724.54259999999999</c:v>
                </c:pt>
                <c:pt idx="730">
                  <c:v>724.54989999999998</c:v>
                </c:pt>
                <c:pt idx="731">
                  <c:v>724.52200000000005</c:v>
                </c:pt>
                <c:pt idx="732">
                  <c:v>724.54840000000002</c:v>
                </c:pt>
                <c:pt idx="733">
                  <c:v>724.57259999999997</c:v>
                </c:pt>
                <c:pt idx="734">
                  <c:v>724.56240000000003</c:v>
                </c:pt>
                <c:pt idx="735">
                  <c:v>724.56060000000002</c:v>
                </c:pt>
                <c:pt idx="736">
                  <c:v>724.51670000000001</c:v>
                </c:pt>
                <c:pt idx="737">
                  <c:v>724.5018</c:v>
                </c:pt>
                <c:pt idx="738">
                  <c:v>724.57629999999995</c:v>
                </c:pt>
                <c:pt idx="739">
                  <c:v>724.51430000000005</c:v>
                </c:pt>
                <c:pt idx="740">
                  <c:v>724.548</c:v>
                </c:pt>
                <c:pt idx="741">
                  <c:v>724.53570000000002</c:v>
                </c:pt>
                <c:pt idx="742">
                  <c:v>724.52170000000001</c:v>
                </c:pt>
                <c:pt idx="743">
                  <c:v>724.56590000000006</c:v>
                </c:pt>
                <c:pt idx="744">
                  <c:v>724.54499999999996</c:v>
                </c:pt>
                <c:pt idx="745">
                  <c:v>724.56470000000002</c:v>
                </c:pt>
                <c:pt idx="746">
                  <c:v>724.55169999999998</c:v>
                </c:pt>
                <c:pt idx="747">
                  <c:v>724.54729999999995</c:v>
                </c:pt>
                <c:pt idx="748">
                  <c:v>724.5702</c:v>
                </c:pt>
                <c:pt idx="749">
                  <c:v>724.54349999999999</c:v>
                </c:pt>
                <c:pt idx="750">
                  <c:v>724.53880000000004</c:v>
                </c:pt>
                <c:pt idx="751">
                  <c:v>724.55629999999996</c:v>
                </c:pt>
                <c:pt idx="752">
                  <c:v>724.56110000000001</c:v>
                </c:pt>
                <c:pt idx="753">
                  <c:v>724.5376</c:v>
                </c:pt>
                <c:pt idx="754">
                  <c:v>724.53539999999998</c:v>
                </c:pt>
                <c:pt idx="755">
                  <c:v>724.53129999999999</c:v>
                </c:pt>
                <c:pt idx="756">
                  <c:v>724.54470000000003</c:v>
                </c:pt>
                <c:pt idx="757">
                  <c:v>724.50559999999996</c:v>
                </c:pt>
                <c:pt idx="758">
                  <c:v>724.54060000000004</c:v>
                </c:pt>
                <c:pt idx="759">
                  <c:v>724.51229999999998</c:v>
                </c:pt>
                <c:pt idx="760">
                  <c:v>724.53300000000002</c:v>
                </c:pt>
                <c:pt idx="761">
                  <c:v>724.55690000000004</c:v>
                </c:pt>
                <c:pt idx="762">
                  <c:v>724.55060000000003</c:v>
                </c:pt>
                <c:pt idx="763">
                  <c:v>724.54840000000002</c:v>
                </c:pt>
                <c:pt idx="764">
                  <c:v>724.53440000000001</c:v>
                </c:pt>
                <c:pt idx="765">
                  <c:v>724.53700000000003</c:v>
                </c:pt>
                <c:pt idx="766">
                  <c:v>724.56370000000004</c:v>
                </c:pt>
                <c:pt idx="767">
                  <c:v>724.48649999999998</c:v>
                </c:pt>
                <c:pt idx="768">
                  <c:v>724.52980000000002</c:v>
                </c:pt>
                <c:pt idx="769">
                  <c:v>724.55430000000001</c:v>
                </c:pt>
                <c:pt idx="770">
                  <c:v>724.57429999999999</c:v>
                </c:pt>
                <c:pt idx="771">
                  <c:v>724.54160000000002</c:v>
                </c:pt>
                <c:pt idx="772">
                  <c:v>724.51549999999997</c:v>
                </c:pt>
                <c:pt idx="773">
                  <c:v>724.548</c:v>
                </c:pt>
                <c:pt idx="774">
                  <c:v>724.55</c:v>
                </c:pt>
                <c:pt idx="775">
                  <c:v>724.57029999999997</c:v>
                </c:pt>
                <c:pt idx="776">
                  <c:v>724.53819999999996</c:v>
                </c:pt>
                <c:pt idx="777">
                  <c:v>724.54330000000004</c:v>
                </c:pt>
                <c:pt idx="778">
                  <c:v>724.56179999999995</c:v>
                </c:pt>
                <c:pt idx="779">
                  <c:v>724.54269999999997</c:v>
                </c:pt>
                <c:pt idx="780">
                  <c:v>724.52750000000003</c:v>
                </c:pt>
                <c:pt idx="781">
                  <c:v>724.53129999999999</c:v>
                </c:pt>
                <c:pt idx="782">
                  <c:v>724.54510000000005</c:v>
                </c:pt>
                <c:pt idx="783">
                  <c:v>724.5788</c:v>
                </c:pt>
                <c:pt idx="784">
                  <c:v>724.53750000000002</c:v>
                </c:pt>
                <c:pt idx="785">
                  <c:v>724.54480000000001</c:v>
                </c:pt>
                <c:pt idx="786">
                  <c:v>724.50570000000005</c:v>
                </c:pt>
                <c:pt idx="787">
                  <c:v>724.53120000000001</c:v>
                </c:pt>
                <c:pt idx="788">
                  <c:v>724.53499999999997</c:v>
                </c:pt>
                <c:pt idx="789">
                  <c:v>724.56880000000001</c:v>
                </c:pt>
                <c:pt idx="790">
                  <c:v>724.57740000000001</c:v>
                </c:pt>
                <c:pt idx="791">
                  <c:v>724.57</c:v>
                </c:pt>
                <c:pt idx="792">
                  <c:v>724.50009999999997</c:v>
                </c:pt>
                <c:pt idx="793">
                  <c:v>724.49950000000001</c:v>
                </c:pt>
                <c:pt idx="794">
                  <c:v>724.54020000000003</c:v>
                </c:pt>
                <c:pt idx="795">
                  <c:v>724.52880000000005</c:v>
                </c:pt>
                <c:pt idx="796">
                  <c:v>724.53229999999996</c:v>
                </c:pt>
                <c:pt idx="797">
                  <c:v>724.56640000000004</c:v>
                </c:pt>
                <c:pt idx="798">
                  <c:v>724.52729999999997</c:v>
                </c:pt>
                <c:pt idx="799">
                  <c:v>724.55409999999995</c:v>
                </c:pt>
                <c:pt idx="800">
                  <c:v>724.56960000000004</c:v>
                </c:pt>
                <c:pt idx="801">
                  <c:v>724.56169999999997</c:v>
                </c:pt>
                <c:pt idx="802">
                  <c:v>724.56330000000003</c:v>
                </c:pt>
                <c:pt idx="803">
                  <c:v>724.56209999999999</c:v>
                </c:pt>
                <c:pt idx="804">
                  <c:v>724.57539999999995</c:v>
                </c:pt>
                <c:pt idx="805">
                  <c:v>724.572</c:v>
                </c:pt>
                <c:pt idx="806">
                  <c:v>724.53579999999999</c:v>
                </c:pt>
                <c:pt idx="807">
                  <c:v>724.57780000000002</c:v>
                </c:pt>
                <c:pt idx="808">
                  <c:v>724.50879999999995</c:v>
                </c:pt>
                <c:pt idx="809">
                  <c:v>724.52660000000003</c:v>
                </c:pt>
                <c:pt idx="810">
                  <c:v>724.55240000000003</c:v>
                </c:pt>
                <c:pt idx="811">
                  <c:v>724.57050000000004</c:v>
                </c:pt>
                <c:pt idx="812">
                  <c:v>724.54319999999996</c:v>
                </c:pt>
                <c:pt idx="813">
                  <c:v>724.59950000000003</c:v>
                </c:pt>
                <c:pt idx="814">
                  <c:v>724.55340000000001</c:v>
                </c:pt>
                <c:pt idx="815">
                  <c:v>724.55629999999996</c:v>
                </c:pt>
                <c:pt idx="816">
                  <c:v>724.55409999999995</c:v>
                </c:pt>
                <c:pt idx="817">
                  <c:v>724.56269999999995</c:v>
                </c:pt>
                <c:pt idx="818">
                  <c:v>724.56299999999999</c:v>
                </c:pt>
                <c:pt idx="819">
                  <c:v>724.62630000000001</c:v>
                </c:pt>
                <c:pt idx="820">
                  <c:v>724.75170000000003</c:v>
                </c:pt>
                <c:pt idx="821">
                  <c:v>724.86559999999997</c:v>
                </c:pt>
                <c:pt idx="822">
                  <c:v>724.96460000000002</c:v>
                </c:pt>
                <c:pt idx="823">
                  <c:v>725.0684</c:v>
                </c:pt>
                <c:pt idx="824">
                  <c:v>725.24440000000004</c:v>
                </c:pt>
                <c:pt idx="825">
                  <c:v>725.32380000000001</c:v>
                </c:pt>
                <c:pt idx="826">
                  <c:v>725.48239999999998</c:v>
                </c:pt>
                <c:pt idx="827">
                  <c:v>725.59079999999994</c:v>
                </c:pt>
                <c:pt idx="828">
                  <c:v>725.702</c:v>
                </c:pt>
                <c:pt idx="829">
                  <c:v>725.85889999999995</c:v>
                </c:pt>
                <c:pt idx="830">
                  <c:v>725.96889999999996</c:v>
                </c:pt>
                <c:pt idx="831">
                  <c:v>726.11360000000002</c:v>
                </c:pt>
                <c:pt idx="832">
                  <c:v>726.21230000000003</c:v>
                </c:pt>
                <c:pt idx="833">
                  <c:v>726.35739999999998</c:v>
                </c:pt>
                <c:pt idx="834">
                  <c:v>726.46559999999999</c:v>
                </c:pt>
                <c:pt idx="835">
                  <c:v>726.5634</c:v>
                </c:pt>
                <c:pt idx="836">
                  <c:v>726.69709999999998</c:v>
                </c:pt>
                <c:pt idx="837">
                  <c:v>726.86339999999996</c:v>
                </c:pt>
                <c:pt idx="838">
                  <c:v>727.00319999999999</c:v>
                </c:pt>
                <c:pt idx="839">
                  <c:v>727.20650000000001</c:v>
                </c:pt>
                <c:pt idx="840">
                  <c:v>727.35019999999997</c:v>
                </c:pt>
                <c:pt idx="841">
                  <c:v>727.51570000000004</c:v>
                </c:pt>
                <c:pt idx="842">
                  <c:v>727.73350000000005</c:v>
                </c:pt>
                <c:pt idx="843">
                  <c:v>727.83439999999996</c:v>
                </c:pt>
                <c:pt idx="844">
                  <c:v>728.01750000000004</c:v>
                </c:pt>
                <c:pt idx="845">
                  <c:v>728.18769999999995</c:v>
                </c:pt>
                <c:pt idx="846">
                  <c:v>728.34860000000003</c:v>
                </c:pt>
                <c:pt idx="847">
                  <c:v>728.48009999999999</c:v>
                </c:pt>
                <c:pt idx="848">
                  <c:v>728.65800000000002</c:v>
                </c:pt>
                <c:pt idx="849">
                  <c:v>728.86670000000004</c:v>
                </c:pt>
                <c:pt idx="850">
                  <c:v>729.03560000000004</c:v>
                </c:pt>
                <c:pt idx="851">
                  <c:v>729.1404</c:v>
                </c:pt>
                <c:pt idx="852">
                  <c:v>729.38549999999998</c:v>
                </c:pt>
                <c:pt idx="853">
                  <c:v>729.53039999999999</c:v>
                </c:pt>
                <c:pt idx="854">
                  <c:v>729.71979999999996</c:v>
                </c:pt>
                <c:pt idx="855">
                  <c:v>729.85479999999995</c:v>
                </c:pt>
                <c:pt idx="856">
                  <c:v>730.02380000000005</c:v>
                </c:pt>
                <c:pt idx="857">
                  <c:v>730.18409999999994</c:v>
                </c:pt>
                <c:pt idx="858">
                  <c:v>730.40620000000001</c:v>
                </c:pt>
                <c:pt idx="859">
                  <c:v>730.64149999999995</c:v>
                </c:pt>
                <c:pt idx="860">
                  <c:v>730.77099999999996</c:v>
                </c:pt>
                <c:pt idx="861">
                  <c:v>730.94669999999996</c:v>
                </c:pt>
                <c:pt idx="862">
                  <c:v>731.07619999999997</c:v>
                </c:pt>
                <c:pt idx="863">
                  <c:v>731.26840000000004</c:v>
                </c:pt>
                <c:pt idx="864">
                  <c:v>731.42460000000005</c:v>
                </c:pt>
                <c:pt idx="865">
                  <c:v>731.61080000000004</c:v>
                </c:pt>
                <c:pt idx="866">
                  <c:v>731.81970000000001</c:v>
                </c:pt>
                <c:pt idx="867">
                  <c:v>731.95849999999996</c:v>
                </c:pt>
                <c:pt idx="868">
                  <c:v>732.11990000000003</c:v>
                </c:pt>
                <c:pt idx="869">
                  <c:v>732.30930000000001</c:v>
                </c:pt>
                <c:pt idx="870">
                  <c:v>732.49350000000004</c:v>
                </c:pt>
                <c:pt idx="871">
                  <c:v>732.66899999999998</c:v>
                </c:pt>
                <c:pt idx="872">
                  <c:v>732.81449999999995</c:v>
                </c:pt>
                <c:pt idx="873">
                  <c:v>733.03809999999999</c:v>
                </c:pt>
                <c:pt idx="874">
                  <c:v>733.20939999999996</c:v>
                </c:pt>
                <c:pt idx="875">
                  <c:v>733.39769999999999</c:v>
                </c:pt>
                <c:pt idx="876">
                  <c:v>733.54169999999999</c:v>
                </c:pt>
                <c:pt idx="877">
                  <c:v>733.68910000000005</c:v>
                </c:pt>
                <c:pt idx="878">
                  <c:v>733.89639999999997</c:v>
                </c:pt>
                <c:pt idx="879">
                  <c:v>734.07010000000002</c:v>
                </c:pt>
                <c:pt idx="880">
                  <c:v>734.26930000000004</c:v>
                </c:pt>
                <c:pt idx="881">
                  <c:v>734.40729999999996</c:v>
                </c:pt>
                <c:pt idx="882">
                  <c:v>734.5942</c:v>
                </c:pt>
                <c:pt idx="883">
                  <c:v>734.77650000000006</c:v>
                </c:pt>
                <c:pt idx="884">
                  <c:v>734.92939999999999</c:v>
                </c:pt>
                <c:pt idx="885">
                  <c:v>735.06230000000005</c:v>
                </c:pt>
                <c:pt idx="886">
                  <c:v>735.26170000000002</c:v>
                </c:pt>
                <c:pt idx="887">
                  <c:v>735.35109999999997</c:v>
                </c:pt>
                <c:pt idx="888">
                  <c:v>735.52750000000003</c:v>
                </c:pt>
                <c:pt idx="889">
                  <c:v>735.70870000000002</c:v>
                </c:pt>
                <c:pt idx="890">
                  <c:v>735.80029999999999</c:v>
                </c:pt>
                <c:pt idx="891">
                  <c:v>735.90110000000004</c:v>
                </c:pt>
                <c:pt idx="892">
                  <c:v>736.03129999999999</c:v>
                </c:pt>
                <c:pt idx="893">
                  <c:v>736.10249999999996</c:v>
                </c:pt>
                <c:pt idx="894">
                  <c:v>736.09969999999998</c:v>
                </c:pt>
                <c:pt idx="895">
                  <c:v>736.09</c:v>
                </c:pt>
                <c:pt idx="896">
                  <c:v>736.12239999999997</c:v>
                </c:pt>
                <c:pt idx="897">
                  <c:v>736.06290000000001</c:v>
                </c:pt>
                <c:pt idx="898">
                  <c:v>736.09280000000001</c:v>
                </c:pt>
                <c:pt idx="899">
                  <c:v>736.07240000000002</c:v>
                </c:pt>
                <c:pt idx="900">
                  <c:v>736.09059999999999</c:v>
                </c:pt>
                <c:pt idx="901">
                  <c:v>736.10479999999995</c:v>
                </c:pt>
                <c:pt idx="902">
                  <c:v>736.10509999999999</c:v>
                </c:pt>
                <c:pt idx="903">
                  <c:v>736.07470000000001</c:v>
                </c:pt>
                <c:pt idx="904">
                  <c:v>736.08630000000005</c:v>
                </c:pt>
                <c:pt idx="905">
                  <c:v>736.11429999999996</c:v>
                </c:pt>
                <c:pt idx="906">
                  <c:v>736.07259999999997</c:v>
                </c:pt>
                <c:pt idx="907">
                  <c:v>736.07249999999999</c:v>
                </c:pt>
                <c:pt idx="908">
                  <c:v>736.10569999999996</c:v>
                </c:pt>
                <c:pt idx="909">
                  <c:v>736.10109999999997</c:v>
                </c:pt>
                <c:pt idx="910">
                  <c:v>736.101</c:v>
                </c:pt>
                <c:pt idx="911">
                  <c:v>736.11670000000004</c:v>
                </c:pt>
                <c:pt idx="912">
                  <c:v>736.1232</c:v>
                </c:pt>
                <c:pt idx="913">
                  <c:v>736.1105</c:v>
                </c:pt>
                <c:pt idx="914">
                  <c:v>736.07920000000001</c:v>
                </c:pt>
                <c:pt idx="915">
                  <c:v>736.08839999999998</c:v>
                </c:pt>
                <c:pt idx="916">
                  <c:v>736.10450000000003</c:v>
                </c:pt>
                <c:pt idx="917">
                  <c:v>736.10090000000002</c:v>
                </c:pt>
                <c:pt idx="918">
                  <c:v>736.14030000000002</c:v>
                </c:pt>
                <c:pt idx="919">
                  <c:v>736.10649999999998</c:v>
                </c:pt>
                <c:pt idx="920">
                  <c:v>736.10029999999995</c:v>
                </c:pt>
                <c:pt idx="921">
                  <c:v>736.06259999999997</c:v>
                </c:pt>
                <c:pt idx="922">
                  <c:v>736.0874</c:v>
                </c:pt>
                <c:pt idx="923">
                  <c:v>736.12419999999997</c:v>
                </c:pt>
                <c:pt idx="924">
                  <c:v>736.10440000000006</c:v>
                </c:pt>
                <c:pt idx="925">
                  <c:v>736.08199999999999</c:v>
                </c:pt>
                <c:pt idx="926">
                  <c:v>736.08500000000004</c:v>
                </c:pt>
                <c:pt idx="927">
                  <c:v>736.09770000000003</c:v>
                </c:pt>
                <c:pt idx="928">
                  <c:v>736.10900000000004</c:v>
                </c:pt>
                <c:pt idx="929">
                  <c:v>736.1019</c:v>
                </c:pt>
                <c:pt idx="930">
                  <c:v>736.10149999999999</c:v>
                </c:pt>
                <c:pt idx="931">
                  <c:v>736.07069999999999</c:v>
                </c:pt>
                <c:pt idx="932">
                  <c:v>736.11749999999995</c:v>
                </c:pt>
                <c:pt idx="933">
                  <c:v>736.05880000000002</c:v>
                </c:pt>
                <c:pt idx="934">
                  <c:v>736.11</c:v>
                </c:pt>
                <c:pt idx="935">
                  <c:v>736.06479999999999</c:v>
                </c:pt>
                <c:pt idx="936">
                  <c:v>736.11599999999999</c:v>
                </c:pt>
                <c:pt idx="937">
                  <c:v>736.13440000000003</c:v>
                </c:pt>
                <c:pt idx="938">
                  <c:v>736.09709999999995</c:v>
                </c:pt>
                <c:pt idx="939">
                  <c:v>736.13599999999997</c:v>
                </c:pt>
                <c:pt idx="940">
                  <c:v>736.07240000000002</c:v>
                </c:pt>
                <c:pt idx="941">
                  <c:v>736.13419999999996</c:v>
                </c:pt>
                <c:pt idx="942">
                  <c:v>736.10919999999999</c:v>
                </c:pt>
                <c:pt idx="943">
                  <c:v>736.0942</c:v>
                </c:pt>
                <c:pt idx="944">
                  <c:v>736.11869999999999</c:v>
                </c:pt>
                <c:pt idx="945">
                  <c:v>736.07180000000005</c:v>
                </c:pt>
                <c:pt idx="946">
                  <c:v>736.05330000000004</c:v>
                </c:pt>
                <c:pt idx="947">
                  <c:v>736.12120000000004</c:v>
                </c:pt>
                <c:pt idx="948">
                  <c:v>736.1277</c:v>
                </c:pt>
                <c:pt idx="949">
                  <c:v>736.10270000000003</c:v>
                </c:pt>
                <c:pt idx="950">
                  <c:v>736.08989999999994</c:v>
                </c:pt>
                <c:pt idx="951">
                  <c:v>736.08900000000006</c:v>
                </c:pt>
                <c:pt idx="952">
                  <c:v>736.12710000000004</c:v>
                </c:pt>
                <c:pt idx="953">
                  <c:v>736.10910000000001</c:v>
                </c:pt>
                <c:pt idx="954">
                  <c:v>736.10810000000004</c:v>
                </c:pt>
                <c:pt idx="955">
                  <c:v>736.11419999999998</c:v>
                </c:pt>
                <c:pt idx="956">
                  <c:v>736.10109999999997</c:v>
                </c:pt>
                <c:pt idx="957">
                  <c:v>736.1028</c:v>
                </c:pt>
                <c:pt idx="958">
                  <c:v>736.12860000000001</c:v>
                </c:pt>
                <c:pt idx="959">
                  <c:v>736.10619999999994</c:v>
                </c:pt>
                <c:pt idx="960">
                  <c:v>736.13589999999999</c:v>
                </c:pt>
                <c:pt idx="961">
                  <c:v>736.13940000000002</c:v>
                </c:pt>
                <c:pt idx="962">
                  <c:v>736.12180000000001</c:v>
                </c:pt>
                <c:pt idx="963">
                  <c:v>736.14059999999995</c:v>
                </c:pt>
                <c:pt idx="964">
                  <c:v>736.11339999999996</c:v>
                </c:pt>
                <c:pt idx="965">
                  <c:v>736.15229999999997</c:v>
                </c:pt>
                <c:pt idx="966">
                  <c:v>736.09929999999997</c:v>
                </c:pt>
                <c:pt idx="967">
                  <c:v>736.10450000000003</c:v>
                </c:pt>
                <c:pt idx="968">
                  <c:v>736.13869999999997</c:v>
                </c:pt>
                <c:pt idx="969">
                  <c:v>736.10609999999997</c:v>
                </c:pt>
                <c:pt idx="970">
                  <c:v>736.13279999999997</c:v>
                </c:pt>
                <c:pt idx="971">
                  <c:v>736.09079999999994</c:v>
                </c:pt>
                <c:pt idx="972">
                  <c:v>736.09690000000001</c:v>
                </c:pt>
                <c:pt idx="973">
                  <c:v>736.12620000000004</c:v>
                </c:pt>
                <c:pt idx="974">
                  <c:v>736.14020000000005</c:v>
                </c:pt>
                <c:pt idx="975">
                  <c:v>736.12260000000003</c:v>
                </c:pt>
                <c:pt idx="976">
                  <c:v>736.14229999999998</c:v>
                </c:pt>
                <c:pt idx="977">
                  <c:v>736.10059999999999</c:v>
                </c:pt>
                <c:pt idx="978">
                  <c:v>736.13210000000004</c:v>
                </c:pt>
                <c:pt idx="979">
                  <c:v>736.09259999999995</c:v>
                </c:pt>
                <c:pt idx="980">
                  <c:v>736.08820000000003</c:v>
                </c:pt>
                <c:pt idx="981">
                  <c:v>736.11789999999996</c:v>
                </c:pt>
                <c:pt idx="982">
                  <c:v>736.14340000000004</c:v>
                </c:pt>
                <c:pt idx="983">
                  <c:v>736.11090000000002</c:v>
                </c:pt>
                <c:pt idx="984">
                  <c:v>736.11040000000003</c:v>
                </c:pt>
                <c:pt idx="985">
                  <c:v>736.09019999999998</c:v>
                </c:pt>
                <c:pt idx="986">
                  <c:v>736.12480000000005</c:v>
                </c:pt>
                <c:pt idx="987">
                  <c:v>736.14049999999997</c:v>
                </c:pt>
                <c:pt idx="988">
                  <c:v>736.10680000000002</c:v>
                </c:pt>
                <c:pt idx="989">
                  <c:v>736.10270000000003</c:v>
                </c:pt>
                <c:pt idx="990">
                  <c:v>736.11720000000003</c:v>
                </c:pt>
                <c:pt idx="991">
                  <c:v>736.11760000000004</c:v>
                </c:pt>
                <c:pt idx="992">
                  <c:v>736.11710000000005</c:v>
                </c:pt>
                <c:pt idx="993">
                  <c:v>736.16139999999996</c:v>
                </c:pt>
                <c:pt idx="994">
                  <c:v>736.10559999999998</c:v>
                </c:pt>
                <c:pt idx="995">
                  <c:v>736.11879999999996</c:v>
                </c:pt>
                <c:pt idx="996">
                  <c:v>736.06619999999998</c:v>
                </c:pt>
                <c:pt idx="997">
                  <c:v>736.10289999999998</c:v>
                </c:pt>
                <c:pt idx="998">
                  <c:v>736.12869999999998</c:v>
                </c:pt>
                <c:pt idx="999">
                  <c:v>736.15150000000006</c:v>
                </c:pt>
                <c:pt idx="1000">
                  <c:v>736.1164</c:v>
                </c:pt>
                <c:pt idx="1001">
                  <c:v>736.13080000000002</c:v>
                </c:pt>
                <c:pt idx="1002">
                  <c:v>736.12860000000001</c:v>
                </c:pt>
                <c:pt idx="1003">
                  <c:v>736.10450000000003</c:v>
                </c:pt>
                <c:pt idx="1004">
                  <c:v>736.11630000000002</c:v>
                </c:pt>
                <c:pt idx="1005">
                  <c:v>736.09960000000001</c:v>
                </c:pt>
                <c:pt idx="1006">
                  <c:v>736.08199999999999</c:v>
                </c:pt>
                <c:pt idx="1007">
                  <c:v>736.07979999999998</c:v>
                </c:pt>
                <c:pt idx="1008">
                  <c:v>736.13189999999997</c:v>
                </c:pt>
                <c:pt idx="1009">
                  <c:v>736.08889999999997</c:v>
                </c:pt>
                <c:pt idx="1010">
                  <c:v>736.10249999999996</c:v>
                </c:pt>
                <c:pt idx="1011">
                  <c:v>736.09190000000001</c:v>
                </c:pt>
                <c:pt idx="1012">
                  <c:v>736.10680000000002</c:v>
                </c:pt>
                <c:pt idx="1013">
                  <c:v>736.1422</c:v>
                </c:pt>
                <c:pt idx="1014">
                  <c:v>736.11720000000003</c:v>
                </c:pt>
                <c:pt idx="1015">
                  <c:v>736.10180000000003</c:v>
                </c:pt>
                <c:pt idx="1016">
                  <c:v>736.12900000000002</c:v>
                </c:pt>
                <c:pt idx="1017">
                  <c:v>736.09389999999996</c:v>
                </c:pt>
                <c:pt idx="1018">
                  <c:v>736.10299999999995</c:v>
                </c:pt>
                <c:pt idx="1019">
                  <c:v>736.09519999999998</c:v>
                </c:pt>
                <c:pt idx="1020">
                  <c:v>736.11220000000003</c:v>
                </c:pt>
                <c:pt idx="1021">
                  <c:v>736.08540000000005</c:v>
                </c:pt>
                <c:pt idx="1022">
                  <c:v>736.09069999999997</c:v>
                </c:pt>
                <c:pt idx="1023">
                  <c:v>736.11869999999999</c:v>
                </c:pt>
                <c:pt idx="1024">
                  <c:v>736.10850000000005</c:v>
                </c:pt>
                <c:pt idx="1025">
                  <c:v>736.13620000000003</c:v>
                </c:pt>
                <c:pt idx="1026">
                  <c:v>736.14530000000002</c:v>
                </c:pt>
                <c:pt idx="1027">
                  <c:v>736.10799999999995</c:v>
                </c:pt>
                <c:pt idx="1028">
                  <c:v>736.12549999999999</c:v>
                </c:pt>
                <c:pt idx="1029">
                  <c:v>736.07989999999995</c:v>
                </c:pt>
                <c:pt idx="1030">
                  <c:v>736.14390000000003</c:v>
                </c:pt>
                <c:pt idx="1031">
                  <c:v>736.13459999999998</c:v>
                </c:pt>
                <c:pt idx="1032">
                  <c:v>736.13149999999996</c:v>
                </c:pt>
                <c:pt idx="1033">
                  <c:v>736.13109999999995</c:v>
                </c:pt>
                <c:pt idx="1034">
                  <c:v>736.10389999999995</c:v>
                </c:pt>
                <c:pt idx="1035">
                  <c:v>736.08849999999995</c:v>
                </c:pt>
                <c:pt idx="1036">
                  <c:v>736.09500000000003</c:v>
                </c:pt>
                <c:pt idx="1037">
                  <c:v>736.09760000000006</c:v>
                </c:pt>
                <c:pt idx="1038">
                  <c:v>736.08320000000003</c:v>
                </c:pt>
                <c:pt idx="1039">
                  <c:v>736.08360000000005</c:v>
                </c:pt>
                <c:pt idx="1040">
                  <c:v>736.10019999999997</c:v>
                </c:pt>
                <c:pt idx="1041">
                  <c:v>736.14089999999999</c:v>
                </c:pt>
                <c:pt idx="1042">
                  <c:v>736.08349999999996</c:v>
                </c:pt>
                <c:pt idx="1043">
                  <c:v>736.13520000000005</c:v>
                </c:pt>
                <c:pt idx="1044">
                  <c:v>736.15049999999997</c:v>
                </c:pt>
                <c:pt idx="1045">
                  <c:v>736.08910000000003</c:v>
                </c:pt>
                <c:pt idx="1046">
                  <c:v>736.13289999999995</c:v>
                </c:pt>
                <c:pt idx="1047">
                  <c:v>736.09910000000002</c:v>
                </c:pt>
                <c:pt idx="1048">
                  <c:v>736.10209999999995</c:v>
                </c:pt>
                <c:pt idx="1049">
                  <c:v>736.13630000000001</c:v>
                </c:pt>
                <c:pt idx="1050">
                  <c:v>736.1354</c:v>
                </c:pt>
                <c:pt idx="1051">
                  <c:v>736.12699999999995</c:v>
                </c:pt>
                <c:pt idx="1052">
                  <c:v>736.09370000000001</c:v>
                </c:pt>
                <c:pt idx="1053">
                  <c:v>736.13710000000003</c:v>
                </c:pt>
                <c:pt idx="1054">
                  <c:v>736.10500000000002</c:v>
                </c:pt>
                <c:pt idx="1055">
                  <c:v>736.09929999999997</c:v>
                </c:pt>
                <c:pt idx="1056">
                  <c:v>736.101</c:v>
                </c:pt>
                <c:pt idx="1057">
                  <c:v>736.12120000000004</c:v>
                </c:pt>
                <c:pt idx="1058">
                  <c:v>736.1001</c:v>
                </c:pt>
                <c:pt idx="1059">
                  <c:v>736.06889999999999</c:v>
                </c:pt>
                <c:pt idx="1060">
                  <c:v>736.0711</c:v>
                </c:pt>
                <c:pt idx="1061">
                  <c:v>736.08510000000001</c:v>
                </c:pt>
                <c:pt idx="1062">
                  <c:v>736.14909999999998</c:v>
                </c:pt>
                <c:pt idx="1063">
                  <c:v>736.14819999999997</c:v>
                </c:pt>
                <c:pt idx="1064">
                  <c:v>736.1096</c:v>
                </c:pt>
                <c:pt idx="1065">
                  <c:v>736.09069999999997</c:v>
                </c:pt>
                <c:pt idx="1066">
                  <c:v>736.13760000000002</c:v>
                </c:pt>
                <c:pt idx="1067">
                  <c:v>736.11869999999999</c:v>
                </c:pt>
                <c:pt idx="1068">
                  <c:v>736.10069999999996</c:v>
                </c:pt>
                <c:pt idx="1069">
                  <c:v>736.08219999999994</c:v>
                </c:pt>
                <c:pt idx="1070">
                  <c:v>736.11379999999997</c:v>
                </c:pt>
                <c:pt idx="1071">
                  <c:v>736.08489999999995</c:v>
                </c:pt>
                <c:pt idx="1072">
                  <c:v>736.08839999999998</c:v>
                </c:pt>
                <c:pt idx="1073">
                  <c:v>736.12030000000004</c:v>
                </c:pt>
                <c:pt idx="1074">
                  <c:v>736.12199999999996</c:v>
                </c:pt>
                <c:pt idx="1075">
                  <c:v>736.14260000000002</c:v>
                </c:pt>
                <c:pt idx="1076">
                  <c:v>736.13340000000005</c:v>
                </c:pt>
                <c:pt idx="1077">
                  <c:v>736.125</c:v>
                </c:pt>
                <c:pt idx="1078">
                  <c:v>736.11540000000002</c:v>
                </c:pt>
                <c:pt idx="1079">
                  <c:v>736.17550000000006</c:v>
                </c:pt>
                <c:pt idx="1080">
                  <c:v>736.32320000000004</c:v>
                </c:pt>
                <c:pt idx="1081">
                  <c:v>736.46169999999995</c:v>
                </c:pt>
                <c:pt idx="1082">
                  <c:v>736.62260000000003</c:v>
                </c:pt>
                <c:pt idx="1083">
                  <c:v>736.74390000000005</c:v>
                </c:pt>
                <c:pt idx="1084">
                  <c:v>736.92039999999997</c:v>
                </c:pt>
                <c:pt idx="1085">
                  <c:v>737.101</c:v>
                </c:pt>
                <c:pt idx="1086">
                  <c:v>737.25779999999997</c:v>
                </c:pt>
                <c:pt idx="1087">
                  <c:v>737.50319999999999</c:v>
                </c:pt>
                <c:pt idx="1088">
                  <c:v>737.65729999999996</c:v>
                </c:pt>
                <c:pt idx="1089">
                  <c:v>737.85879999999997</c:v>
                </c:pt>
                <c:pt idx="1090">
                  <c:v>738.07830000000001</c:v>
                </c:pt>
                <c:pt idx="1091">
                  <c:v>738.25699999999995</c:v>
                </c:pt>
                <c:pt idx="1092">
                  <c:v>738.42079999999999</c:v>
                </c:pt>
                <c:pt idx="1093">
                  <c:v>738.60440000000006</c:v>
                </c:pt>
                <c:pt idx="1094">
                  <c:v>738.82259999999997</c:v>
                </c:pt>
                <c:pt idx="1095">
                  <c:v>739.03430000000003</c:v>
                </c:pt>
                <c:pt idx="1096">
                  <c:v>739.21169999999995</c:v>
                </c:pt>
                <c:pt idx="1097">
                  <c:v>739.39229999999998</c:v>
                </c:pt>
                <c:pt idx="1098">
                  <c:v>739.57600000000002</c:v>
                </c:pt>
                <c:pt idx="1099">
                  <c:v>739.73820000000001</c:v>
                </c:pt>
                <c:pt idx="1100">
                  <c:v>739.99</c:v>
                </c:pt>
                <c:pt idx="1101">
                  <c:v>740.17420000000004</c:v>
                </c:pt>
                <c:pt idx="1102">
                  <c:v>740.43349999999998</c:v>
                </c:pt>
                <c:pt idx="1103">
                  <c:v>740.54179999999997</c:v>
                </c:pt>
                <c:pt idx="1104">
                  <c:v>740.76130000000001</c:v>
                </c:pt>
                <c:pt idx="1105">
                  <c:v>740.96190000000001</c:v>
                </c:pt>
                <c:pt idx="1106">
                  <c:v>741.1336</c:v>
                </c:pt>
                <c:pt idx="1107">
                  <c:v>741.33780000000002</c:v>
                </c:pt>
                <c:pt idx="1108">
                  <c:v>741.51310000000001</c:v>
                </c:pt>
                <c:pt idx="1109">
                  <c:v>741.70550000000003</c:v>
                </c:pt>
                <c:pt idx="1110">
                  <c:v>741.91819999999996</c:v>
                </c:pt>
                <c:pt idx="1111">
                  <c:v>742.07119999999998</c:v>
                </c:pt>
                <c:pt idx="1112">
                  <c:v>742.29010000000005</c:v>
                </c:pt>
                <c:pt idx="1113">
                  <c:v>742.47310000000004</c:v>
                </c:pt>
                <c:pt idx="1114">
                  <c:v>742.63800000000003</c:v>
                </c:pt>
                <c:pt idx="1115">
                  <c:v>742.77829999999994</c:v>
                </c:pt>
                <c:pt idx="1116">
                  <c:v>742.95609999999999</c:v>
                </c:pt>
                <c:pt idx="1117">
                  <c:v>743.1463</c:v>
                </c:pt>
                <c:pt idx="1118">
                  <c:v>743.32190000000003</c:v>
                </c:pt>
                <c:pt idx="1119">
                  <c:v>743.52449999999999</c:v>
                </c:pt>
                <c:pt idx="1120">
                  <c:v>743.66890000000001</c:v>
                </c:pt>
                <c:pt idx="1121">
                  <c:v>743.86189999999999</c:v>
                </c:pt>
                <c:pt idx="1122">
                  <c:v>744.02719999999999</c:v>
                </c:pt>
                <c:pt idx="1123">
                  <c:v>744.21360000000004</c:v>
                </c:pt>
                <c:pt idx="1124">
                  <c:v>744.3886</c:v>
                </c:pt>
                <c:pt idx="1125">
                  <c:v>744.55309999999997</c:v>
                </c:pt>
                <c:pt idx="1126">
                  <c:v>744.71019999999999</c:v>
                </c:pt>
                <c:pt idx="1127">
                  <c:v>744.89279999999997</c:v>
                </c:pt>
                <c:pt idx="1128">
                  <c:v>745.06709999999998</c:v>
                </c:pt>
                <c:pt idx="1129">
                  <c:v>745.20929999999998</c:v>
                </c:pt>
                <c:pt idx="1130">
                  <c:v>745.26549999999997</c:v>
                </c:pt>
                <c:pt idx="1131">
                  <c:v>745.24459999999999</c:v>
                </c:pt>
                <c:pt idx="1132">
                  <c:v>745.24919999999997</c:v>
                </c:pt>
                <c:pt idx="1133">
                  <c:v>745.26700000000005</c:v>
                </c:pt>
                <c:pt idx="1134">
                  <c:v>745.22299999999996</c:v>
                </c:pt>
                <c:pt idx="1135">
                  <c:v>745.22619999999995</c:v>
                </c:pt>
                <c:pt idx="1136">
                  <c:v>745.24390000000005</c:v>
                </c:pt>
                <c:pt idx="1137">
                  <c:v>745.25720000000001</c:v>
                </c:pt>
                <c:pt idx="1138">
                  <c:v>745.26869999999997</c:v>
                </c:pt>
                <c:pt idx="1139">
                  <c:v>745.22640000000001</c:v>
                </c:pt>
                <c:pt idx="1140">
                  <c:v>745.26170000000002</c:v>
                </c:pt>
                <c:pt idx="1141">
                  <c:v>745.22159999999997</c:v>
                </c:pt>
                <c:pt idx="1142">
                  <c:v>745.24059999999997</c:v>
                </c:pt>
                <c:pt idx="1143">
                  <c:v>745.27149999999995</c:v>
                </c:pt>
                <c:pt idx="1144">
                  <c:v>745.27509999999995</c:v>
                </c:pt>
                <c:pt idx="1145">
                  <c:v>745.27290000000005</c:v>
                </c:pt>
                <c:pt idx="1146">
                  <c:v>745.2509</c:v>
                </c:pt>
                <c:pt idx="1147">
                  <c:v>745.29200000000003</c:v>
                </c:pt>
                <c:pt idx="1148">
                  <c:v>745.22310000000004</c:v>
                </c:pt>
                <c:pt idx="1149">
                  <c:v>745.23149999999998</c:v>
                </c:pt>
                <c:pt idx="1150">
                  <c:v>745.22889999999995</c:v>
                </c:pt>
                <c:pt idx="1151">
                  <c:v>745.24879999999996</c:v>
                </c:pt>
                <c:pt idx="1152">
                  <c:v>745.23649999999998</c:v>
                </c:pt>
                <c:pt idx="1153">
                  <c:v>745.27710000000002</c:v>
                </c:pt>
                <c:pt idx="1154">
                  <c:v>745.27049999999997</c:v>
                </c:pt>
                <c:pt idx="1155">
                  <c:v>745.22329999999999</c:v>
                </c:pt>
                <c:pt idx="1156">
                  <c:v>745.26610000000005</c:v>
                </c:pt>
                <c:pt idx="1157">
                  <c:v>745.22990000000004</c:v>
                </c:pt>
                <c:pt idx="1158">
                  <c:v>745.26260000000002</c:v>
                </c:pt>
                <c:pt idx="1159">
                  <c:v>745.20429999999999</c:v>
                </c:pt>
                <c:pt idx="1160">
                  <c:v>745.23440000000005</c:v>
                </c:pt>
                <c:pt idx="1161">
                  <c:v>745.26840000000004</c:v>
                </c:pt>
                <c:pt idx="1162">
                  <c:v>745.26220000000001</c:v>
                </c:pt>
                <c:pt idx="1163">
                  <c:v>745.2269</c:v>
                </c:pt>
                <c:pt idx="1164">
                  <c:v>745.24059999999997</c:v>
                </c:pt>
                <c:pt idx="1165">
                  <c:v>745.25210000000004</c:v>
                </c:pt>
                <c:pt idx="1166">
                  <c:v>745.24900000000002</c:v>
                </c:pt>
                <c:pt idx="1167">
                  <c:v>745.2808</c:v>
                </c:pt>
                <c:pt idx="1168">
                  <c:v>745.2636</c:v>
                </c:pt>
                <c:pt idx="1169">
                  <c:v>745.24149999999997</c:v>
                </c:pt>
                <c:pt idx="1170">
                  <c:v>745.20450000000005</c:v>
                </c:pt>
                <c:pt idx="1171">
                  <c:v>745.26940000000002</c:v>
                </c:pt>
                <c:pt idx="1172">
                  <c:v>745.30160000000001</c:v>
                </c:pt>
                <c:pt idx="1173">
                  <c:v>745.25840000000005</c:v>
                </c:pt>
                <c:pt idx="1174">
                  <c:v>745.24069999999995</c:v>
                </c:pt>
                <c:pt idx="1175">
                  <c:v>745.28219999999999</c:v>
                </c:pt>
                <c:pt idx="1176">
                  <c:v>745.27030000000002</c:v>
                </c:pt>
                <c:pt idx="1177">
                  <c:v>745.24779999999998</c:v>
                </c:pt>
                <c:pt idx="1178">
                  <c:v>745.23059999999998</c:v>
                </c:pt>
                <c:pt idx="1179">
                  <c:v>745.26679999999999</c:v>
                </c:pt>
                <c:pt idx="1180">
                  <c:v>745.29589999999996</c:v>
                </c:pt>
                <c:pt idx="1181">
                  <c:v>745.29420000000005</c:v>
                </c:pt>
                <c:pt idx="1182">
                  <c:v>745.25049999999999</c:v>
                </c:pt>
                <c:pt idx="1183">
                  <c:v>745.27520000000004</c:v>
                </c:pt>
                <c:pt idx="1184">
                  <c:v>745.22270000000003</c:v>
                </c:pt>
                <c:pt idx="1185">
                  <c:v>745.25720000000001</c:v>
                </c:pt>
                <c:pt idx="1186">
                  <c:v>745.27700000000004</c:v>
                </c:pt>
                <c:pt idx="1187">
                  <c:v>745.28719999999998</c:v>
                </c:pt>
                <c:pt idx="1188">
                  <c:v>745.24130000000002</c:v>
                </c:pt>
                <c:pt idx="1189">
                  <c:v>745.24919999999997</c:v>
                </c:pt>
                <c:pt idx="1190">
                  <c:v>745.26869999999997</c:v>
                </c:pt>
                <c:pt idx="1191">
                  <c:v>745.21349999999995</c:v>
                </c:pt>
                <c:pt idx="1192">
                  <c:v>745.28189999999995</c:v>
                </c:pt>
                <c:pt idx="1193">
                  <c:v>745.27750000000003</c:v>
                </c:pt>
                <c:pt idx="1194">
                  <c:v>745.26689999999996</c:v>
                </c:pt>
                <c:pt idx="1195">
                  <c:v>745.25459999999998</c:v>
                </c:pt>
                <c:pt idx="1196">
                  <c:v>745.26340000000005</c:v>
                </c:pt>
                <c:pt idx="1197">
                  <c:v>745.26790000000005</c:v>
                </c:pt>
                <c:pt idx="1198">
                  <c:v>745.29570000000001</c:v>
                </c:pt>
                <c:pt idx="1199">
                  <c:v>745.25149999999996</c:v>
                </c:pt>
                <c:pt idx="1200">
                  <c:v>745.27629999999999</c:v>
                </c:pt>
                <c:pt idx="1201">
                  <c:v>745.25109999999995</c:v>
                </c:pt>
                <c:pt idx="1202">
                  <c:v>745.25289999999995</c:v>
                </c:pt>
                <c:pt idx="1203">
                  <c:v>745.25289999999995</c:v>
                </c:pt>
                <c:pt idx="1204">
                  <c:v>745.24099999999999</c:v>
                </c:pt>
                <c:pt idx="1205">
                  <c:v>745.25549999999998</c:v>
                </c:pt>
                <c:pt idx="1206">
                  <c:v>745.27719999999999</c:v>
                </c:pt>
                <c:pt idx="1207">
                  <c:v>745.28470000000004</c:v>
                </c:pt>
                <c:pt idx="1208">
                  <c:v>745.245</c:v>
                </c:pt>
                <c:pt idx="1209">
                  <c:v>745.27189999999996</c:v>
                </c:pt>
                <c:pt idx="1210">
                  <c:v>745.26880000000006</c:v>
                </c:pt>
                <c:pt idx="1211">
                  <c:v>745.27719999999999</c:v>
                </c:pt>
                <c:pt idx="1212">
                  <c:v>745.28869999999995</c:v>
                </c:pt>
                <c:pt idx="1213">
                  <c:v>745.23659999999995</c:v>
                </c:pt>
                <c:pt idx="1214">
                  <c:v>745.28650000000005</c:v>
                </c:pt>
                <c:pt idx="1215">
                  <c:v>745.25160000000005</c:v>
                </c:pt>
                <c:pt idx="1216">
                  <c:v>745.29309999999998</c:v>
                </c:pt>
                <c:pt idx="1217">
                  <c:v>745.25689999999997</c:v>
                </c:pt>
                <c:pt idx="1218">
                  <c:v>745.2296</c:v>
                </c:pt>
                <c:pt idx="1219">
                  <c:v>745.28210000000001</c:v>
                </c:pt>
                <c:pt idx="1220">
                  <c:v>745.30690000000004</c:v>
                </c:pt>
                <c:pt idx="1221">
                  <c:v>745.21550000000002</c:v>
                </c:pt>
                <c:pt idx="1222">
                  <c:v>745.22209999999995</c:v>
                </c:pt>
                <c:pt idx="1223">
                  <c:v>745.29499999999996</c:v>
                </c:pt>
                <c:pt idx="1224">
                  <c:v>745.23839999999996</c:v>
                </c:pt>
                <c:pt idx="1225">
                  <c:v>745.28570000000002</c:v>
                </c:pt>
                <c:pt idx="1226">
                  <c:v>745.27070000000003</c:v>
                </c:pt>
                <c:pt idx="1227">
                  <c:v>745.32460000000003</c:v>
                </c:pt>
                <c:pt idx="1228">
                  <c:v>745.2663</c:v>
                </c:pt>
                <c:pt idx="1229">
                  <c:v>745.24419999999998</c:v>
                </c:pt>
                <c:pt idx="1230">
                  <c:v>745.24599999999998</c:v>
                </c:pt>
                <c:pt idx="1231">
                  <c:v>745.28660000000002</c:v>
                </c:pt>
                <c:pt idx="1232">
                  <c:v>745.27869999999996</c:v>
                </c:pt>
                <c:pt idx="1233">
                  <c:v>745.22749999999996</c:v>
                </c:pt>
                <c:pt idx="1234">
                  <c:v>745.29110000000003</c:v>
                </c:pt>
                <c:pt idx="1235">
                  <c:v>745.322</c:v>
                </c:pt>
                <c:pt idx="1236">
                  <c:v>745.24429999999995</c:v>
                </c:pt>
                <c:pt idx="1237">
                  <c:v>745.31449999999995</c:v>
                </c:pt>
                <c:pt idx="1238">
                  <c:v>745.30169999999998</c:v>
                </c:pt>
                <c:pt idx="1239">
                  <c:v>745.26279999999997</c:v>
                </c:pt>
                <c:pt idx="1240">
                  <c:v>745.22929999999997</c:v>
                </c:pt>
                <c:pt idx="1241">
                  <c:v>745.26369999999997</c:v>
                </c:pt>
                <c:pt idx="1242">
                  <c:v>745.24779999999998</c:v>
                </c:pt>
                <c:pt idx="1243">
                  <c:v>745.23320000000001</c:v>
                </c:pt>
                <c:pt idx="1244">
                  <c:v>745.25980000000004</c:v>
                </c:pt>
                <c:pt idx="1245">
                  <c:v>745.28269999999998</c:v>
                </c:pt>
                <c:pt idx="1246">
                  <c:v>745.23059999999998</c:v>
                </c:pt>
                <c:pt idx="1247">
                  <c:v>745.26769999999999</c:v>
                </c:pt>
                <c:pt idx="1248">
                  <c:v>745.20460000000003</c:v>
                </c:pt>
                <c:pt idx="1249">
                  <c:v>745.28719999999998</c:v>
                </c:pt>
                <c:pt idx="1250">
                  <c:v>745.25540000000001</c:v>
                </c:pt>
                <c:pt idx="1251">
                  <c:v>745.26949999999999</c:v>
                </c:pt>
                <c:pt idx="1252">
                  <c:v>745.2912</c:v>
                </c:pt>
                <c:pt idx="1253">
                  <c:v>745.28359999999998</c:v>
                </c:pt>
                <c:pt idx="1254">
                  <c:v>745.21299999999997</c:v>
                </c:pt>
                <c:pt idx="1255">
                  <c:v>745.27919999999995</c:v>
                </c:pt>
                <c:pt idx="1256">
                  <c:v>745.2355</c:v>
                </c:pt>
                <c:pt idx="1257">
                  <c:v>745.29380000000003</c:v>
                </c:pt>
                <c:pt idx="1258">
                  <c:v>745.28099999999995</c:v>
                </c:pt>
                <c:pt idx="1259">
                  <c:v>745.2559</c:v>
                </c:pt>
                <c:pt idx="1260">
                  <c:v>745.25980000000004</c:v>
                </c:pt>
                <c:pt idx="1261">
                  <c:v>745.28279999999995</c:v>
                </c:pt>
                <c:pt idx="1262">
                  <c:v>745.28679999999997</c:v>
                </c:pt>
                <c:pt idx="1263">
                  <c:v>745.25059999999996</c:v>
                </c:pt>
                <c:pt idx="1264">
                  <c:v>745.28319999999997</c:v>
                </c:pt>
                <c:pt idx="1265">
                  <c:v>745.2921</c:v>
                </c:pt>
                <c:pt idx="1266">
                  <c:v>745.24699999999996</c:v>
                </c:pt>
                <c:pt idx="1267">
                  <c:v>745.26430000000005</c:v>
                </c:pt>
                <c:pt idx="1268">
                  <c:v>745.255</c:v>
                </c:pt>
                <c:pt idx="1269">
                  <c:v>745.29169999999999</c:v>
                </c:pt>
                <c:pt idx="1270">
                  <c:v>745.27840000000003</c:v>
                </c:pt>
                <c:pt idx="1271">
                  <c:v>745.26300000000003</c:v>
                </c:pt>
                <c:pt idx="1272">
                  <c:v>745.24879999999996</c:v>
                </c:pt>
                <c:pt idx="1273">
                  <c:v>745.2559</c:v>
                </c:pt>
                <c:pt idx="1274">
                  <c:v>745.27670000000001</c:v>
                </c:pt>
                <c:pt idx="1275">
                  <c:v>745.27449999999999</c:v>
                </c:pt>
                <c:pt idx="1276">
                  <c:v>745.28679999999997</c:v>
                </c:pt>
                <c:pt idx="1277">
                  <c:v>745.29129999999998</c:v>
                </c:pt>
                <c:pt idx="1278">
                  <c:v>745.24400000000003</c:v>
                </c:pt>
                <c:pt idx="1279">
                  <c:v>745.28989999999999</c:v>
                </c:pt>
                <c:pt idx="1280">
                  <c:v>745.29610000000002</c:v>
                </c:pt>
                <c:pt idx="1281">
                  <c:v>745.27850000000001</c:v>
                </c:pt>
                <c:pt idx="1282">
                  <c:v>745.25289999999995</c:v>
                </c:pt>
                <c:pt idx="1283">
                  <c:v>745.25239999999997</c:v>
                </c:pt>
                <c:pt idx="1284">
                  <c:v>745.30100000000004</c:v>
                </c:pt>
                <c:pt idx="1285">
                  <c:v>745.27189999999996</c:v>
                </c:pt>
                <c:pt idx="1286">
                  <c:v>745.24760000000003</c:v>
                </c:pt>
                <c:pt idx="1287">
                  <c:v>745.25109999999995</c:v>
                </c:pt>
                <c:pt idx="1288">
                  <c:v>745.27229999999997</c:v>
                </c:pt>
                <c:pt idx="1289">
                  <c:v>745.2595</c:v>
                </c:pt>
                <c:pt idx="1290">
                  <c:v>745.26570000000004</c:v>
                </c:pt>
                <c:pt idx="1291">
                  <c:v>745.27409999999998</c:v>
                </c:pt>
                <c:pt idx="1292">
                  <c:v>745.21839999999997</c:v>
                </c:pt>
                <c:pt idx="1293">
                  <c:v>745.26700000000005</c:v>
                </c:pt>
                <c:pt idx="1294">
                  <c:v>745.27279999999996</c:v>
                </c:pt>
                <c:pt idx="1295">
                  <c:v>745.21979999999996</c:v>
                </c:pt>
                <c:pt idx="1296">
                  <c:v>745.23659999999995</c:v>
                </c:pt>
                <c:pt idx="1297">
                  <c:v>745.25779999999997</c:v>
                </c:pt>
                <c:pt idx="1298">
                  <c:v>745.25819999999999</c:v>
                </c:pt>
                <c:pt idx="1299">
                  <c:v>745.27539999999999</c:v>
                </c:pt>
                <c:pt idx="1300">
                  <c:v>745.26220000000001</c:v>
                </c:pt>
                <c:pt idx="1301">
                  <c:v>745.28390000000002</c:v>
                </c:pt>
                <c:pt idx="1302">
                  <c:v>745.2799</c:v>
                </c:pt>
                <c:pt idx="1303">
                  <c:v>745.24940000000004</c:v>
                </c:pt>
                <c:pt idx="1304">
                  <c:v>745.31169999999997</c:v>
                </c:pt>
                <c:pt idx="1305">
                  <c:v>745.25599999999997</c:v>
                </c:pt>
                <c:pt idx="1306">
                  <c:v>745.24850000000004</c:v>
                </c:pt>
                <c:pt idx="1307">
                  <c:v>745.23170000000005</c:v>
                </c:pt>
                <c:pt idx="1308">
                  <c:v>745.26840000000004</c:v>
                </c:pt>
                <c:pt idx="1309">
                  <c:v>745.26</c:v>
                </c:pt>
                <c:pt idx="1310">
                  <c:v>745.26490000000001</c:v>
                </c:pt>
                <c:pt idx="1311">
                  <c:v>745.20699999999999</c:v>
                </c:pt>
                <c:pt idx="1312">
                  <c:v>745.24019999999996</c:v>
                </c:pt>
                <c:pt idx="1313">
                  <c:v>745.26310000000001</c:v>
                </c:pt>
                <c:pt idx="1314">
                  <c:v>745.23929999999996</c:v>
                </c:pt>
                <c:pt idx="1315">
                  <c:v>745.21720000000005</c:v>
                </c:pt>
                <c:pt idx="1316">
                  <c:v>745.25300000000004</c:v>
                </c:pt>
                <c:pt idx="1317">
                  <c:v>745.26890000000003</c:v>
                </c:pt>
                <c:pt idx="1318">
                  <c:v>745.27509999999995</c:v>
                </c:pt>
                <c:pt idx="1319">
                  <c:v>745.32899999999995</c:v>
                </c:pt>
                <c:pt idx="1320">
                  <c:v>745.36339999999996</c:v>
                </c:pt>
                <c:pt idx="1321">
                  <c:v>745.37800000000004</c:v>
                </c:pt>
                <c:pt idx="1322">
                  <c:v>745.45</c:v>
                </c:pt>
                <c:pt idx="1323">
                  <c:v>745.4982</c:v>
                </c:pt>
                <c:pt idx="1324">
                  <c:v>745.61080000000004</c:v>
                </c:pt>
                <c:pt idx="1325">
                  <c:v>745.70050000000003</c:v>
                </c:pt>
                <c:pt idx="1326">
                  <c:v>745.85069999999996</c:v>
                </c:pt>
                <c:pt idx="1327">
                  <c:v>745.95590000000004</c:v>
                </c:pt>
                <c:pt idx="1328">
                  <c:v>745.99580000000003</c:v>
                </c:pt>
                <c:pt idx="1329">
                  <c:v>746.12390000000005</c:v>
                </c:pt>
                <c:pt idx="1330">
                  <c:v>746.18060000000003</c:v>
                </c:pt>
                <c:pt idx="1331">
                  <c:v>746.26059999999995</c:v>
                </c:pt>
                <c:pt idx="1332">
                  <c:v>746.37030000000004</c:v>
                </c:pt>
                <c:pt idx="1333">
                  <c:v>746.52639999999997</c:v>
                </c:pt>
                <c:pt idx="1334">
                  <c:v>746.6096</c:v>
                </c:pt>
                <c:pt idx="1335">
                  <c:v>746.7577</c:v>
                </c:pt>
                <c:pt idx="1336">
                  <c:v>746.86220000000003</c:v>
                </c:pt>
                <c:pt idx="1337">
                  <c:v>747.01700000000005</c:v>
                </c:pt>
                <c:pt idx="1338">
                  <c:v>747.19399999999996</c:v>
                </c:pt>
                <c:pt idx="1339">
                  <c:v>747.25040000000001</c:v>
                </c:pt>
                <c:pt idx="1340">
                  <c:v>747.39549999999997</c:v>
                </c:pt>
                <c:pt idx="1341">
                  <c:v>747.56910000000005</c:v>
                </c:pt>
                <c:pt idx="1342">
                  <c:v>747.6825</c:v>
                </c:pt>
                <c:pt idx="1343">
                  <c:v>747.87019999999995</c:v>
                </c:pt>
                <c:pt idx="1344">
                  <c:v>747.93989999999997</c:v>
                </c:pt>
                <c:pt idx="1345">
                  <c:v>748.13520000000005</c:v>
                </c:pt>
                <c:pt idx="1346">
                  <c:v>748.32259999999997</c:v>
                </c:pt>
                <c:pt idx="1347">
                  <c:v>748.47720000000004</c:v>
                </c:pt>
                <c:pt idx="1348">
                  <c:v>748.60540000000003</c:v>
                </c:pt>
                <c:pt idx="1349">
                  <c:v>748.77869999999996</c:v>
                </c:pt>
                <c:pt idx="1350">
                  <c:v>748.89449999999999</c:v>
                </c:pt>
                <c:pt idx="1351">
                  <c:v>749.09310000000005</c:v>
                </c:pt>
                <c:pt idx="1352">
                  <c:v>749.23779999999999</c:v>
                </c:pt>
                <c:pt idx="1353">
                  <c:v>749.39930000000004</c:v>
                </c:pt>
                <c:pt idx="1354">
                  <c:v>749.56920000000002</c:v>
                </c:pt>
                <c:pt idx="1355">
                  <c:v>749.70870000000002</c:v>
                </c:pt>
                <c:pt idx="1356">
                  <c:v>749.83230000000003</c:v>
                </c:pt>
                <c:pt idx="1357">
                  <c:v>750.03970000000004</c:v>
                </c:pt>
                <c:pt idx="1358">
                  <c:v>750.20060000000001</c:v>
                </c:pt>
                <c:pt idx="1359">
                  <c:v>757.56410000000005</c:v>
                </c:pt>
                <c:pt idx="1360">
                  <c:v>761.68949999999995</c:v>
                </c:pt>
                <c:pt idx="1361">
                  <c:v>765.83550000000002</c:v>
                </c:pt>
                <c:pt idx="1362">
                  <c:v>770.20759999999996</c:v>
                </c:pt>
                <c:pt idx="1363">
                  <c:v>774.2328</c:v>
                </c:pt>
                <c:pt idx="1364">
                  <c:v>778.49369999999999</c:v>
                </c:pt>
                <c:pt idx="1365">
                  <c:v>782.64030000000002</c:v>
                </c:pt>
                <c:pt idx="1366">
                  <c:v>786.76009999999997</c:v>
                </c:pt>
                <c:pt idx="1367">
                  <c:v>790.76009999999997</c:v>
                </c:pt>
                <c:pt idx="1368">
                  <c:v>795.1567</c:v>
                </c:pt>
                <c:pt idx="1369">
                  <c:v>799.42290000000003</c:v>
                </c:pt>
                <c:pt idx="1370">
                  <c:v>802.77020000000005</c:v>
                </c:pt>
                <c:pt idx="1371">
                  <c:v>804.30139999999994</c:v>
                </c:pt>
                <c:pt idx="1372">
                  <c:v>805.03359999999998</c:v>
                </c:pt>
                <c:pt idx="1373">
                  <c:v>805.00530000000003</c:v>
                </c:pt>
                <c:pt idx="1374">
                  <c:v>805.03779999999995</c:v>
                </c:pt>
                <c:pt idx="1375">
                  <c:v>804.97490000000005</c:v>
                </c:pt>
                <c:pt idx="1376">
                  <c:v>805.01120000000003</c:v>
                </c:pt>
                <c:pt idx="1377">
                  <c:v>805.00360000000001</c:v>
                </c:pt>
                <c:pt idx="1378">
                  <c:v>805.00599999999997</c:v>
                </c:pt>
                <c:pt idx="1379">
                  <c:v>804.99940000000004</c:v>
                </c:pt>
                <c:pt idx="1380">
                  <c:v>805.00549999999998</c:v>
                </c:pt>
                <c:pt idx="1381">
                  <c:v>804.94179999999994</c:v>
                </c:pt>
                <c:pt idx="1382">
                  <c:v>805.01769999999999</c:v>
                </c:pt>
                <c:pt idx="1383">
                  <c:v>805.02160000000003</c:v>
                </c:pt>
                <c:pt idx="1384">
                  <c:v>805.01199999999994</c:v>
                </c:pt>
                <c:pt idx="1385">
                  <c:v>804.99710000000005</c:v>
                </c:pt>
                <c:pt idx="1386">
                  <c:v>805.03689999999995</c:v>
                </c:pt>
                <c:pt idx="1387">
                  <c:v>804.9633</c:v>
                </c:pt>
                <c:pt idx="1388">
                  <c:v>805.04570000000001</c:v>
                </c:pt>
                <c:pt idx="1389">
                  <c:v>804.99419999999998</c:v>
                </c:pt>
                <c:pt idx="1390">
                  <c:v>805.00980000000004</c:v>
                </c:pt>
                <c:pt idx="1391">
                  <c:v>805.00530000000003</c:v>
                </c:pt>
                <c:pt idx="1392">
                  <c:v>804.97389999999996</c:v>
                </c:pt>
                <c:pt idx="1393">
                  <c:v>804.98950000000002</c:v>
                </c:pt>
                <c:pt idx="1394">
                  <c:v>805.01969999999994</c:v>
                </c:pt>
                <c:pt idx="1395">
                  <c:v>804.9864</c:v>
                </c:pt>
                <c:pt idx="1396">
                  <c:v>804.98289999999997</c:v>
                </c:pt>
                <c:pt idx="1397">
                  <c:v>804.97260000000006</c:v>
                </c:pt>
                <c:pt idx="1398">
                  <c:v>804.9896</c:v>
                </c:pt>
                <c:pt idx="1399">
                  <c:v>805.0317</c:v>
                </c:pt>
                <c:pt idx="1400">
                  <c:v>805.0317</c:v>
                </c:pt>
                <c:pt idx="1401">
                  <c:v>805.01840000000004</c:v>
                </c:pt>
                <c:pt idx="1402">
                  <c:v>805.0326</c:v>
                </c:pt>
                <c:pt idx="1403">
                  <c:v>805.01639999999998</c:v>
                </c:pt>
                <c:pt idx="1404">
                  <c:v>805.01990000000001</c:v>
                </c:pt>
                <c:pt idx="1405">
                  <c:v>804.98850000000004</c:v>
                </c:pt>
                <c:pt idx="1406">
                  <c:v>804.99720000000002</c:v>
                </c:pt>
                <c:pt idx="1407">
                  <c:v>805.03779999999995</c:v>
                </c:pt>
                <c:pt idx="1408">
                  <c:v>805.03089999999997</c:v>
                </c:pt>
                <c:pt idx="1409">
                  <c:v>805.01530000000002</c:v>
                </c:pt>
                <c:pt idx="1410">
                  <c:v>805.03779999999995</c:v>
                </c:pt>
                <c:pt idx="1411">
                  <c:v>805.05050000000006</c:v>
                </c:pt>
                <c:pt idx="1412">
                  <c:v>805.0412</c:v>
                </c:pt>
                <c:pt idx="1413">
                  <c:v>805.03920000000005</c:v>
                </c:pt>
                <c:pt idx="1414">
                  <c:v>805.03240000000005</c:v>
                </c:pt>
                <c:pt idx="1415">
                  <c:v>804.97699999999998</c:v>
                </c:pt>
                <c:pt idx="1416">
                  <c:v>805.05050000000006</c:v>
                </c:pt>
                <c:pt idx="1417">
                  <c:v>805.04359999999997</c:v>
                </c:pt>
                <c:pt idx="1418">
                  <c:v>805.00639999999999</c:v>
                </c:pt>
                <c:pt idx="1419">
                  <c:v>805.01710000000003</c:v>
                </c:pt>
                <c:pt idx="1420">
                  <c:v>805.09140000000002</c:v>
                </c:pt>
                <c:pt idx="1421">
                  <c:v>805.00729999999999</c:v>
                </c:pt>
                <c:pt idx="1422">
                  <c:v>805.01020000000005</c:v>
                </c:pt>
                <c:pt idx="1423">
                  <c:v>805.01909999999998</c:v>
                </c:pt>
                <c:pt idx="1424">
                  <c:v>805.02779999999996</c:v>
                </c:pt>
                <c:pt idx="1425">
                  <c:v>805.03959999999995</c:v>
                </c:pt>
                <c:pt idx="1426">
                  <c:v>805.04449999999997</c:v>
                </c:pt>
                <c:pt idx="1427">
                  <c:v>805.03470000000004</c:v>
                </c:pt>
                <c:pt idx="1428">
                  <c:v>805.03959999999995</c:v>
                </c:pt>
                <c:pt idx="1429">
                  <c:v>805.04100000000005</c:v>
                </c:pt>
                <c:pt idx="1430">
                  <c:v>805.00239999999997</c:v>
                </c:pt>
                <c:pt idx="1431">
                  <c:v>804.99990000000003</c:v>
                </c:pt>
                <c:pt idx="1432">
                  <c:v>804.97680000000003</c:v>
                </c:pt>
                <c:pt idx="1433">
                  <c:v>805.00480000000005</c:v>
                </c:pt>
                <c:pt idx="1434">
                  <c:v>805.03409999999997</c:v>
                </c:pt>
                <c:pt idx="1435">
                  <c:v>805.04190000000006</c:v>
                </c:pt>
                <c:pt idx="1436">
                  <c:v>805.0806</c:v>
                </c:pt>
                <c:pt idx="1437">
                  <c:v>805.04049999999995</c:v>
                </c:pt>
                <c:pt idx="1438">
                  <c:v>805.00480000000005</c:v>
                </c:pt>
                <c:pt idx="1439">
                  <c:v>805.03359999999998</c:v>
                </c:pt>
                <c:pt idx="1440">
                  <c:v>804.98609999999996</c:v>
                </c:pt>
                <c:pt idx="1441">
                  <c:v>804.99789999999996</c:v>
                </c:pt>
                <c:pt idx="1442">
                  <c:v>805.02520000000004</c:v>
                </c:pt>
                <c:pt idx="1443">
                  <c:v>805.03210000000001</c:v>
                </c:pt>
                <c:pt idx="1444">
                  <c:v>805.00909999999999</c:v>
                </c:pt>
                <c:pt idx="1445">
                  <c:v>805.03160000000003</c:v>
                </c:pt>
                <c:pt idx="1446">
                  <c:v>805.06010000000003</c:v>
                </c:pt>
                <c:pt idx="1447">
                  <c:v>805.00620000000004</c:v>
                </c:pt>
                <c:pt idx="1448">
                  <c:v>805.04480000000001</c:v>
                </c:pt>
                <c:pt idx="1449">
                  <c:v>805.01840000000004</c:v>
                </c:pt>
                <c:pt idx="1450">
                  <c:v>805.02959999999996</c:v>
                </c:pt>
                <c:pt idx="1451">
                  <c:v>804.99390000000005</c:v>
                </c:pt>
                <c:pt idx="1452">
                  <c:v>805.03650000000005</c:v>
                </c:pt>
                <c:pt idx="1453">
                  <c:v>805.01840000000004</c:v>
                </c:pt>
                <c:pt idx="1454">
                  <c:v>805.00080000000003</c:v>
                </c:pt>
                <c:pt idx="1455">
                  <c:v>805.01350000000002</c:v>
                </c:pt>
                <c:pt idx="1456">
                  <c:v>805.00260000000003</c:v>
                </c:pt>
                <c:pt idx="1457">
                  <c:v>805.02470000000005</c:v>
                </c:pt>
                <c:pt idx="1458">
                  <c:v>805.0095</c:v>
                </c:pt>
                <c:pt idx="1459">
                  <c:v>805.00310000000002</c:v>
                </c:pt>
                <c:pt idx="1460">
                  <c:v>805.03049999999996</c:v>
                </c:pt>
                <c:pt idx="1461">
                  <c:v>805.0086</c:v>
                </c:pt>
                <c:pt idx="1462">
                  <c:v>805.04859999999996</c:v>
                </c:pt>
                <c:pt idx="1463">
                  <c:v>805.07889999999998</c:v>
                </c:pt>
                <c:pt idx="1464">
                  <c:v>805.02409999999998</c:v>
                </c:pt>
                <c:pt idx="1465">
                  <c:v>805.02560000000005</c:v>
                </c:pt>
                <c:pt idx="1466">
                  <c:v>805.04719999999998</c:v>
                </c:pt>
                <c:pt idx="1467">
                  <c:v>805.02760000000001</c:v>
                </c:pt>
                <c:pt idx="1468">
                  <c:v>805.02160000000003</c:v>
                </c:pt>
                <c:pt idx="1469">
                  <c:v>805.03340000000003</c:v>
                </c:pt>
                <c:pt idx="1470">
                  <c:v>805.06529999999998</c:v>
                </c:pt>
                <c:pt idx="1471">
                  <c:v>805.00890000000004</c:v>
                </c:pt>
                <c:pt idx="1472">
                  <c:v>805.03679999999997</c:v>
                </c:pt>
                <c:pt idx="1473">
                  <c:v>804.99279999999999</c:v>
                </c:pt>
                <c:pt idx="1474">
                  <c:v>805.02850000000001</c:v>
                </c:pt>
                <c:pt idx="1475">
                  <c:v>805.02850000000001</c:v>
                </c:pt>
                <c:pt idx="1476">
                  <c:v>805.04859999999996</c:v>
                </c:pt>
                <c:pt idx="1477">
                  <c:v>805.03679999999997</c:v>
                </c:pt>
                <c:pt idx="1478">
                  <c:v>805.0104</c:v>
                </c:pt>
                <c:pt idx="1479">
                  <c:v>805.02449999999999</c:v>
                </c:pt>
                <c:pt idx="1480">
                  <c:v>805.02700000000004</c:v>
                </c:pt>
                <c:pt idx="1481">
                  <c:v>805.02160000000003</c:v>
                </c:pt>
                <c:pt idx="1482">
                  <c:v>805.05150000000003</c:v>
                </c:pt>
                <c:pt idx="1483">
                  <c:v>804.99860000000001</c:v>
                </c:pt>
                <c:pt idx="1484">
                  <c:v>805.04750000000001</c:v>
                </c:pt>
                <c:pt idx="1485">
                  <c:v>805.03279999999995</c:v>
                </c:pt>
                <c:pt idx="1486">
                  <c:v>805.02790000000005</c:v>
                </c:pt>
                <c:pt idx="1487">
                  <c:v>805.04319999999996</c:v>
                </c:pt>
                <c:pt idx="1488">
                  <c:v>804.98590000000002</c:v>
                </c:pt>
                <c:pt idx="1489">
                  <c:v>805.01179999999999</c:v>
                </c:pt>
                <c:pt idx="1490">
                  <c:v>805.00400000000002</c:v>
                </c:pt>
                <c:pt idx="1491">
                  <c:v>805.0421</c:v>
                </c:pt>
                <c:pt idx="1492">
                  <c:v>805.02449999999999</c:v>
                </c:pt>
                <c:pt idx="1493">
                  <c:v>805.02700000000004</c:v>
                </c:pt>
                <c:pt idx="1494">
                  <c:v>805.00599999999997</c:v>
                </c:pt>
                <c:pt idx="1495">
                  <c:v>805.06659999999999</c:v>
                </c:pt>
                <c:pt idx="1496">
                  <c:v>805.02760000000001</c:v>
                </c:pt>
                <c:pt idx="1497">
                  <c:v>805.05240000000003</c:v>
                </c:pt>
                <c:pt idx="1498">
                  <c:v>805.06510000000003</c:v>
                </c:pt>
                <c:pt idx="1499">
                  <c:v>805.00639999999999</c:v>
                </c:pt>
                <c:pt idx="1500">
                  <c:v>805.00980000000004</c:v>
                </c:pt>
                <c:pt idx="1501">
                  <c:v>805.02250000000004</c:v>
                </c:pt>
                <c:pt idx="1502">
                  <c:v>805.03430000000003</c:v>
                </c:pt>
                <c:pt idx="1503">
                  <c:v>805.05619999999999</c:v>
                </c:pt>
                <c:pt idx="1504">
                  <c:v>805.04989999999998</c:v>
                </c:pt>
                <c:pt idx="1505">
                  <c:v>805.0421</c:v>
                </c:pt>
                <c:pt idx="1506">
                  <c:v>805.00400000000002</c:v>
                </c:pt>
                <c:pt idx="1507">
                  <c:v>805.05880000000002</c:v>
                </c:pt>
                <c:pt idx="1508">
                  <c:v>805.05769999999995</c:v>
                </c:pt>
                <c:pt idx="1509">
                  <c:v>805.04549999999995</c:v>
                </c:pt>
                <c:pt idx="1510">
                  <c:v>805.05880000000002</c:v>
                </c:pt>
                <c:pt idx="1511">
                  <c:v>805.06399999999996</c:v>
                </c:pt>
                <c:pt idx="1512">
                  <c:v>805.03660000000002</c:v>
                </c:pt>
                <c:pt idx="1513">
                  <c:v>805.01559999999995</c:v>
                </c:pt>
                <c:pt idx="1514">
                  <c:v>805.03369999999995</c:v>
                </c:pt>
                <c:pt idx="1515">
                  <c:v>805.02049999999997</c:v>
                </c:pt>
                <c:pt idx="1516">
                  <c:v>805.00670000000002</c:v>
                </c:pt>
                <c:pt idx="1517">
                  <c:v>805.01070000000004</c:v>
                </c:pt>
                <c:pt idx="1518">
                  <c:v>805.01409999999998</c:v>
                </c:pt>
                <c:pt idx="1519">
                  <c:v>805.03629999999998</c:v>
                </c:pt>
                <c:pt idx="1520">
                  <c:v>805.0308</c:v>
                </c:pt>
                <c:pt idx="1521">
                  <c:v>805.04790000000003</c:v>
                </c:pt>
                <c:pt idx="1522">
                  <c:v>805.04010000000005</c:v>
                </c:pt>
                <c:pt idx="1523">
                  <c:v>804.99400000000003</c:v>
                </c:pt>
                <c:pt idx="1524">
                  <c:v>805.01559999999995</c:v>
                </c:pt>
                <c:pt idx="1525">
                  <c:v>805.00229999999999</c:v>
                </c:pt>
                <c:pt idx="1526">
                  <c:v>805.03809999999999</c:v>
                </c:pt>
                <c:pt idx="1527">
                  <c:v>805.01850000000002</c:v>
                </c:pt>
                <c:pt idx="1528">
                  <c:v>805.04639999999995</c:v>
                </c:pt>
                <c:pt idx="1529">
                  <c:v>805.08900000000006</c:v>
                </c:pt>
                <c:pt idx="1530">
                  <c:v>804.99749999999995</c:v>
                </c:pt>
                <c:pt idx="1531">
                  <c:v>805.03459999999995</c:v>
                </c:pt>
                <c:pt idx="1532">
                  <c:v>805.0675</c:v>
                </c:pt>
                <c:pt idx="1533">
                  <c:v>805.0444</c:v>
                </c:pt>
                <c:pt idx="1534">
                  <c:v>805.03809999999999</c:v>
                </c:pt>
                <c:pt idx="1535">
                  <c:v>805.02340000000004</c:v>
                </c:pt>
                <c:pt idx="1536">
                  <c:v>805.06200000000001</c:v>
                </c:pt>
                <c:pt idx="1537">
                  <c:v>805.03459999999995</c:v>
                </c:pt>
                <c:pt idx="1538">
                  <c:v>804.98910000000001</c:v>
                </c:pt>
                <c:pt idx="1539">
                  <c:v>805.08159999999998</c:v>
                </c:pt>
                <c:pt idx="1540">
                  <c:v>804.99059999999997</c:v>
                </c:pt>
                <c:pt idx="1541">
                  <c:v>804.99199999999996</c:v>
                </c:pt>
                <c:pt idx="1542">
                  <c:v>805.04300000000001</c:v>
                </c:pt>
                <c:pt idx="1543">
                  <c:v>805.05619999999999</c:v>
                </c:pt>
                <c:pt idx="1544">
                  <c:v>805.01499999999999</c:v>
                </c:pt>
                <c:pt idx="1545">
                  <c:v>805.04150000000004</c:v>
                </c:pt>
                <c:pt idx="1546">
                  <c:v>805.06200000000001</c:v>
                </c:pt>
                <c:pt idx="1547">
                  <c:v>805.00670000000002</c:v>
                </c:pt>
                <c:pt idx="1548">
                  <c:v>805.07320000000004</c:v>
                </c:pt>
                <c:pt idx="1549">
                  <c:v>805.05769999999995</c:v>
                </c:pt>
                <c:pt idx="1550">
                  <c:v>805.03120000000001</c:v>
                </c:pt>
                <c:pt idx="1551">
                  <c:v>805.05709999999999</c:v>
                </c:pt>
                <c:pt idx="1552">
                  <c:v>805.06830000000002</c:v>
                </c:pt>
                <c:pt idx="1553">
                  <c:v>805.01790000000005</c:v>
                </c:pt>
                <c:pt idx="1554">
                  <c:v>805.03899999999999</c:v>
                </c:pt>
                <c:pt idx="1555">
                  <c:v>805.03840000000002</c:v>
                </c:pt>
                <c:pt idx="1556">
                  <c:v>805.04100000000005</c:v>
                </c:pt>
                <c:pt idx="1557">
                  <c:v>805.00810000000001</c:v>
                </c:pt>
                <c:pt idx="1558">
                  <c:v>805.01990000000001</c:v>
                </c:pt>
                <c:pt idx="1559">
                  <c:v>805.0335</c:v>
                </c:pt>
                <c:pt idx="1560">
                  <c:v>805.03319999999997</c:v>
                </c:pt>
                <c:pt idx="1561">
                  <c:v>805.03459999999995</c:v>
                </c:pt>
                <c:pt idx="1562">
                  <c:v>805.04039999999998</c:v>
                </c:pt>
                <c:pt idx="1563">
                  <c:v>804.98419999999999</c:v>
                </c:pt>
                <c:pt idx="1564">
                  <c:v>804.98569999999995</c:v>
                </c:pt>
                <c:pt idx="1565">
                  <c:v>805.05370000000005</c:v>
                </c:pt>
                <c:pt idx="1566">
                  <c:v>805.04880000000003</c:v>
                </c:pt>
                <c:pt idx="1567">
                  <c:v>805.03840000000002</c:v>
                </c:pt>
                <c:pt idx="1568">
                  <c:v>805.01990000000001</c:v>
                </c:pt>
                <c:pt idx="1569">
                  <c:v>805.03899999999999</c:v>
                </c:pt>
                <c:pt idx="1570">
                  <c:v>805.03989999999999</c:v>
                </c:pt>
                <c:pt idx="1571">
                  <c:v>805.0145</c:v>
                </c:pt>
                <c:pt idx="1572">
                  <c:v>805.02769999999998</c:v>
                </c:pt>
                <c:pt idx="1573">
                  <c:v>805.05169999999998</c:v>
                </c:pt>
                <c:pt idx="1574">
                  <c:v>805.03610000000003</c:v>
                </c:pt>
                <c:pt idx="1575">
                  <c:v>805.05859999999996</c:v>
                </c:pt>
                <c:pt idx="1576">
                  <c:v>805.02829999999994</c:v>
                </c:pt>
                <c:pt idx="1577">
                  <c:v>805.06060000000002</c:v>
                </c:pt>
                <c:pt idx="1578">
                  <c:v>805.02970000000005</c:v>
                </c:pt>
                <c:pt idx="1579">
                  <c:v>805.0018</c:v>
                </c:pt>
                <c:pt idx="1580">
                  <c:v>805.02970000000005</c:v>
                </c:pt>
                <c:pt idx="1581">
                  <c:v>805.03660000000002</c:v>
                </c:pt>
                <c:pt idx="1582">
                  <c:v>805.06</c:v>
                </c:pt>
                <c:pt idx="1583">
                  <c:v>805.02919999999995</c:v>
                </c:pt>
                <c:pt idx="1584">
                  <c:v>805.02340000000004</c:v>
                </c:pt>
                <c:pt idx="1585">
                  <c:v>805.03459999999995</c:v>
                </c:pt>
                <c:pt idx="1586">
                  <c:v>805.01589999999999</c:v>
                </c:pt>
                <c:pt idx="1587">
                  <c:v>805.07029999999997</c:v>
                </c:pt>
                <c:pt idx="1588">
                  <c:v>805.02279999999996</c:v>
                </c:pt>
                <c:pt idx="1589">
                  <c:v>805.04190000000006</c:v>
                </c:pt>
                <c:pt idx="1590">
                  <c:v>805.02629999999999</c:v>
                </c:pt>
                <c:pt idx="1591">
                  <c:v>805.02629999999999</c:v>
                </c:pt>
                <c:pt idx="1592">
                  <c:v>805.05460000000005</c:v>
                </c:pt>
                <c:pt idx="1593">
                  <c:v>805.07809999999995</c:v>
                </c:pt>
                <c:pt idx="1594">
                  <c:v>805.04039999999998</c:v>
                </c:pt>
                <c:pt idx="1595">
                  <c:v>805.02139999999997</c:v>
                </c:pt>
                <c:pt idx="1596">
                  <c:v>805.05309999999997</c:v>
                </c:pt>
                <c:pt idx="1597">
                  <c:v>805.03210000000001</c:v>
                </c:pt>
                <c:pt idx="1598">
                  <c:v>805.05169999999998</c:v>
                </c:pt>
                <c:pt idx="1599">
                  <c:v>805.0453</c:v>
                </c:pt>
                <c:pt idx="1600">
                  <c:v>805.02919999999995</c:v>
                </c:pt>
                <c:pt idx="1601">
                  <c:v>805.02229999999997</c:v>
                </c:pt>
                <c:pt idx="1602">
                  <c:v>805.00760000000002</c:v>
                </c:pt>
                <c:pt idx="1603">
                  <c:v>805.0154</c:v>
                </c:pt>
                <c:pt idx="1604">
                  <c:v>805.03150000000005</c:v>
                </c:pt>
                <c:pt idx="1605">
                  <c:v>805.02080000000001</c:v>
                </c:pt>
                <c:pt idx="1606">
                  <c:v>805.04020000000003</c:v>
                </c:pt>
                <c:pt idx="1607">
                  <c:v>805.02170000000001</c:v>
                </c:pt>
                <c:pt idx="1608">
                  <c:v>805.00810000000001</c:v>
                </c:pt>
                <c:pt idx="1609">
                  <c:v>805.01250000000005</c:v>
                </c:pt>
                <c:pt idx="1610">
                  <c:v>805.01589999999999</c:v>
                </c:pt>
                <c:pt idx="1611">
                  <c:v>805.02570000000003</c:v>
                </c:pt>
                <c:pt idx="1612">
                  <c:v>805.0566</c:v>
                </c:pt>
                <c:pt idx="1613">
                  <c:v>805.04480000000001</c:v>
                </c:pt>
                <c:pt idx="1614">
                  <c:v>805.03300000000002</c:v>
                </c:pt>
                <c:pt idx="1615">
                  <c:v>805.02520000000004</c:v>
                </c:pt>
                <c:pt idx="1616">
                  <c:v>805.06380000000001</c:v>
                </c:pt>
                <c:pt idx="1617">
                  <c:v>805.02319999999997</c:v>
                </c:pt>
                <c:pt idx="1618">
                  <c:v>804.98950000000002</c:v>
                </c:pt>
                <c:pt idx="1619">
                  <c:v>805.03700000000003</c:v>
                </c:pt>
                <c:pt idx="1620">
                  <c:v>805.05309999999997</c:v>
                </c:pt>
                <c:pt idx="1621">
                  <c:v>805.06629999999996</c:v>
                </c:pt>
                <c:pt idx="1622">
                  <c:v>805.02170000000001</c:v>
                </c:pt>
                <c:pt idx="1623">
                  <c:v>805.04330000000004</c:v>
                </c:pt>
                <c:pt idx="1624">
                  <c:v>805.05020000000002</c:v>
                </c:pt>
                <c:pt idx="1625">
                  <c:v>805.05889999999999</c:v>
                </c:pt>
                <c:pt idx="1626">
                  <c:v>805.00699999999995</c:v>
                </c:pt>
                <c:pt idx="1627">
                  <c:v>805.02719999999999</c:v>
                </c:pt>
                <c:pt idx="1628">
                  <c:v>805.03549999999996</c:v>
                </c:pt>
                <c:pt idx="1629">
                  <c:v>805.01390000000004</c:v>
                </c:pt>
                <c:pt idx="1630">
                  <c:v>805.02660000000003</c:v>
                </c:pt>
                <c:pt idx="1631">
                  <c:v>805.0471</c:v>
                </c:pt>
                <c:pt idx="1632">
                  <c:v>805.07069999999999</c:v>
                </c:pt>
                <c:pt idx="1633">
                  <c:v>804.99980000000005</c:v>
                </c:pt>
                <c:pt idx="1634">
                  <c:v>805.02030000000002</c:v>
                </c:pt>
                <c:pt idx="1635">
                  <c:v>805.02570000000003</c:v>
                </c:pt>
                <c:pt idx="1636">
                  <c:v>805.03009999999995</c:v>
                </c:pt>
                <c:pt idx="1637">
                  <c:v>805.05309999999997</c:v>
                </c:pt>
                <c:pt idx="1638">
                  <c:v>805.00760000000002</c:v>
                </c:pt>
                <c:pt idx="1639">
                  <c:v>805.05510000000004</c:v>
                </c:pt>
                <c:pt idx="1640">
                  <c:v>804.9846</c:v>
                </c:pt>
                <c:pt idx="1641">
                  <c:v>805.03549999999996</c:v>
                </c:pt>
                <c:pt idx="1642">
                  <c:v>805.04190000000006</c:v>
                </c:pt>
                <c:pt idx="1643">
                  <c:v>805.05799999999999</c:v>
                </c:pt>
                <c:pt idx="1644">
                  <c:v>805.04390000000001</c:v>
                </c:pt>
                <c:pt idx="1645">
                  <c:v>804.99429999999995</c:v>
                </c:pt>
                <c:pt idx="1646">
                  <c:v>805.06780000000003</c:v>
                </c:pt>
                <c:pt idx="1647">
                  <c:v>805.01250000000005</c:v>
                </c:pt>
                <c:pt idx="1648">
                  <c:v>805.01880000000006</c:v>
                </c:pt>
                <c:pt idx="1649">
                  <c:v>805.0462</c:v>
                </c:pt>
                <c:pt idx="1650">
                  <c:v>805.0566</c:v>
                </c:pt>
                <c:pt idx="1651">
                  <c:v>805.0335</c:v>
                </c:pt>
                <c:pt idx="1652">
                  <c:v>805.08879999999999</c:v>
                </c:pt>
                <c:pt idx="1653">
                  <c:v>804.99779999999998</c:v>
                </c:pt>
                <c:pt idx="1654">
                  <c:v>805.04129999999998</c:v>
                </c:pt>
                <c:pt idx="1655">
                  <c:v>805.05110000000002</c:v>
                </c:pt>
                <c:pt idx="1656">
                  <c:v>805.02229999999997</c:v>
                </c:pt>
                <c:pt idx="1657">
                  <c:v>805.04390000000001</c:v>
                </c:pt>
                <c:pt idx="1658">
                  <c:v>805.00210000000004</c:v>
                </c:pt>
                <c:pt idx="1659">
                  <c:v>804.99670000000003</c:v>
                </c:pt>
                <c:pt idx="1660">
                  <c:v>805.08879999999999</c:v>
                </c:pt>
                <c:pt idx="1661">
                  <c:v>805.0462</c:v>
                </c:pt>
                <c:pt idx="1662">
                  <c:v>805.01340000000005</c:v>
                </c:pt>
                <c:pt idx="1663">
                  <c:v>805.03899999999999</c:v>
                </c:pt>
                <c:pt idx="1664">
                  <c:v>805.01340000000005</c:v>
                </c:pt>
                <c:pt idx="1665">
                  <c:v>805.05510000000004</c:v>
                </c:pt>
                <c:pt idx="1666">
                  <c:v>805.05939999999998</c:v>
                </c:pt>
                <c:pt idx="1667">
                  <c:v>805.02859999999998</c:v>
                </c:pt>
                <c:pt idx="1668">
                  <c:v>805.04129999999998</c:v>
                </c:pt>
                <c:pt idx="1669">
                  <c:v>805.02120000000002</c:v>
                </c:pt>
                <c:pt idx="1670">
                  <c:v>805.00360000000001</c:v>
                </c:pt>
                <c:pt idx="1671">
                  <c:v>805.05939999999998</c:v>
                </c:pt>
                <c:pt idx="1672">
                  <c:v>805.04480000000001</c:v>
                </c:pt>
                <c:pt idx="1673">
                  <c:v>805.03009999999995</c:v>
                </c:pt>
                <c:pt idx="1674">
                  <c:v>805.0462</c:v>
                </c:pt>
                <c:pt idx="1675">
                  <c:v>805.0335</c:v>
                </c:pt>
                <c:pt idx="1676">
                  <c:v>805.02030000000002</c:v>
                </c:pt>
                <c:pt idx="1677">
                  <c:v>805.03989999999999</c:v>
                </c:pt>
                <c:pt idx="1678">
                  <c:v>804.99760000000003</c:v>
                </c:pt>
                <c:pt idx="1679">
                  <c:v>805.01049999999998</c:v>
                </c:pt>
                <c:pt idx="1680">
                  <c:v>805.04039999999998</c:v>
                </c:pt>
                <c:pt idx="1681">
                  <c:v>805.02719999999999</c:v>
                </c:pt>
                <c:pt idx="1682">
                  <c:v>805.01880000000006</c:v>
                </c:pt>
                <c:pt idx="1683">
                  <c:v>805.07759999999996</c:v>
                </c:pt>
                <c:pt idx="1684">
                  <c:v>805.06029999999998</c:v>
                </c:pt>
                <c:pt idx="1685">
                  <c:v>805.04819999999995</c:v>
                </c:pt>
                <c:pt idx="1686">
                  <c:v>805.00360000000001</c:v>
                </c:pt>
                <c:pt idx="1687">
                  <c:v>805.05830000000003</c:v>
                </c:pt>
                <c:pt idx="1688">
                  <c:v>805.08299999999997</c:v>
                </c:pt>
                <c:pt idx="1689">
                  <c:v>805.01099999999997</c:v>
                </c:pt>
                <c:pt idx="1690">
                  <c:v>805.03499999999997</c:v>
                </c:pt>
                <c:pt idx="1691">
                  <c:v>805.05799999999999</c:v>
                </c:pt>
                <c:pt idx="1692">
                  <c:v>805.03300000000002</c:v>
                </c:pt>
                <c:pt idx="1693">
                  <c:v>805.04190000000006</c:v>
                </c:pt>
                <c:pt idx="1694">
                  <c:v>805.06029999999998</c:v>
                </c:pt>
                <c:pt idx="1695">
                  <c:v>805.01340000000005</c:v>
                </c:pt>
                <c:pt idx="1696">
                  <c:v>805.01340000000005</c:v>
                </c:pt>
                <c:pt idx="1697">
                  <c:v>805.06719999999996</c:v>
                </c:pt>
                <c:pt idx="1698">
                  <c:v>805.01679999999999</c:v>
                </c:pt>
                <c:pt idx="1699">
                  <c:v>805.02319999999997</c:v>
                </c:pt>
                <c:pt idx="1700">
                  <c:v>805.05460000000005</c:v>
                </c:pt>
                <c:pt idx="1701">
                  <c:v>805.02660000000003</c:v>
                </c:pt>
                <c:pt idx="1702">
                  <c:v>805.04480000000001</c:v>
                </c:pt>
                <c:pt idx="1703">
                  <c:v>804.99580000000003</c:v>
                </c:pt>
                <c:pt idx="1704">
                  <c:v>805.05600000000004</c:v>
                </c:pt>
                <c:pt idx="1705">
                  <c:v>805.02409999999998</c:v>
                </c:pt>
                <c:pt idx="1706">
                  <c:v>805.06380000000001</c:v>
                </c:pt>
                <c:pt idx="1707">
                  <c:v>805.05169999999998</c:v>
                </c:pt>
                <c:pt idx="1708">
                  <c:v>805.02660000000003</c:v>
                </c:pt>
                <c:pt idx="1709">
                  <c:v>805.06089999999995</c:v>
                </c:pt>
                <c:pt idx="1710">
                  <c:v>805.01679999999999</c:v>
                </c:pt>
                <c:pt idx="1711">
                  <c:v>805.04190000000006</c:v>
                </c:pt>
                <c:pt idx="1712">
                  <c:v>805.04769999999996</c:v>
                </c:pt>
                <c:pt idx="1713">
                  <c:v>805.01390000000004</c:v>
                </c:pt>
                <c:pt idx="1714">
                  <c:v>805.02520000000004</c:v>
                </c:pt>
                <c:pt idx="1715">
                  <c:v>805.02750000000003</c:v>
                </c:pt>
                <c:pt idx="1716">
                  <c:v>805.04570000000001</c:v>
                </c:pt>
                <c:pt idx="1717">
                  <c:v>804.99379999999996</c:v>
                </c:pt>
                <c:pt idx="1718">
                  <c:v>805.0652</c:v>
                </c:pt>
                <c:pt idx="1719">
                  <c:v>805.03790000000004</c:v>
                </c:pt>
                <c:pt idx="1720">
                  <c:v>805.04769999999996</c:v>
                </c:pt>
                <c:pt idx="1721">
                  <c:v>805.077</c:v>
                </c:pt>
                <c:pt idx="1722">
                  <c:v>805.03300000000002</c:v>
                </c:pt>
                <c:pt idx="1723">
                  <c:v>805.03099999999995</c:v>
                </c:pt>
                <c:pt idx="1724">
                  <c:v>805.01480000000004</c:v>
                </c:pt>
                <c:pt idx="1725">
                  <c:v>805.03189999999995</c:v>
                </c:pt>
                <c:pt idx="1726">
                  <c:v>805.0154</c:v>
                </c:pt>
                <c:pt idx="1727">
                  <c:v>805.04480000000001</c:v>
                </c:pt>
                <c:pt idx="1728">
                  <c:v>805.02260000000001</c:v>
                </c:pt>
                <c:pt idx="1729">
                  <c:v>805.04570000000001</c:v>
                </c:pt>
                <c:pt idx="1730">
                  <c:v>804.99580000000003</c:v>
                </c:pt>
                <c:pt idx="1731">
                  <c:v>805.05510000000004</c:v>
                </c:pt>
                <c:pt idx="1732">
                  <c:v>805.06669999999997</c:v>
                </c:pt>
                <c:pt idx="1733">
                  <c:v>805.02859999999998</c:v>
                </c:pt>
                <c:pt idx="1734">
                  <c:v>804.98889999999994</c:v>
                </c:pt>
                <c:pt idx="1735">
                  <c:v>805.02170000000001</c:v>
                </c:pt>
                <c:pt idx="1736">
                  <c:v>805.03790000000004</c:v>
                </c:pt>
                <c:pt idx="1737">
                  <c:v>805.0027</c:v>
                </c:pt>
                <c:pt idx="1738">
                  <c:v>802.76250000000005</c:v>
                </c:pt>
                <c:pt idx="1739">
                  <c:v>796.31989999999996</c:v>
                </c:pt>
                <c:pt idx="1740">
                  <c:v>792.44600000000003</c:v>
                </c:pt>
                <c:pt idx="1741">
                  <c:v>787.96540000000005</c:v>
                </c:pt>
                <c:pt idx="1742">
                  <c:v>783.06889999999999</c:v>
                </c:pt>
                <c:pt idx="1743">
                  <c:v>779.81299999999999</c:v>
                </c:pt>
                <c:pt idx="1744">
                  <c:v>774.97080000000005</c:v>
                </c:pt>
                <c:pt idx="1745">
                  <c:v>770.5675</c:v>
                </c:pt>
                <c:pt idx="1746">
                  <c:v>766.27930000000003</c:v>
                </c:pt>
                <c:pt idx="1747">
                  <c:v>762.05780000000004</c:v>
                </c:pt>
                <c:pt idx="1748">
                  <c:v>757.37249999999995</c:v>
                </c:pt>
                <c:pt idx="1749">
                  <c:v>751.39409999999998</c:v>
                </c:pt>
                <c:pt idx="1750">
                  <c:v>750.08150000000001</c:v>
                </c:pt>
                <c:pt idx="1751">
                  <c:v>749.87360000000001</c:v>
                </c:pt>
                <c:pt idx="1752">
                  <c:v>749.73350000000005</c:v>
                </c:pt>
                <c:pt idx="1753">
                  <c:v>749.6028</c:v>
                </c:pt>
                <c:pt idx="1754">
                  <c:v>749.44240000000002</c:v>
                </c:pt>
                <c:pt idx="1755">
                  <c:v>749.34749999999997</c:v>
                </c:pt>
                <c:pt idx="1756">
                  <c:v>749.18060000000003</c:v>
                </c:pt>
                <c:pt idx="1757">
                  <c:v>749.00009999999997</c:v>
                </c:pt>
                <c:pt idx="1758">
                  <c:v>748.90480000000002</c:v>
                </c:pt>
                <c:pt idx="1759">
                  <c:v>748.68560000000002</c:v>
                </c:pt>
                <c:pt idx="1760">
                  <c:v>748.54290000000003</c:v>
                </c:pt>
                <c:pt idx="1761">
                  <c:v>748.39750000000004</c:v>
                </c:pt>
                <c:pt idx="1762">
                  <c:v>748.21699999999998</c:v>
                </c:pt>
                <c:pt idx="1763">
                  <c:v>748.05110000000002</c:v>
                </c:pt>
                <c:pt idx="1764">
                  <c:v>747.88890000000004</c:v>
                </c:pt>
                <c:pt idx="1765">
                  <c:v>747.75109999999995</c:v>
                </c:pt>
                <c:pt idx="1766">
                  <c:v>747.59109999999998</c:v>
                </c:pt>
                <c:pt idx="1767">
                  <c:v>747.42129999999997</c:v>
                </c:pt>
                <c:pt idx="1768">
                  <c:v>747.27430000000004</c:v>
                </c:pt>
                <c:pt idx="1769">
                  <c:v>747.12450000000001</c:v>
                </c:pt>
                <c:pt idx="1770">
                  <c:v>746.96680000000003</c:v>
                </c:pt>
                <c:pt idx="1771">
                  <c:v>746.79539999999997</c:v>
                </c:pt>
                <c:pt idx="1772">
                  <c:v>746.6377</c:v>
                </c:pt>
                <c:pt idx="1773">
                  <c:v>746.49030000000005</c:v>
                </c:pt>
                <c:pt idx="1774">
                  <c:v>746.31399999999996</c:v>
                </c:pt>
                <c:pt idx="1775">
                  <c:v>746.14930000000004</c:v>
                </c:pt>
                <c:pt idx="1776">
                  <c:v>745.98069999999996</c:v>
                </c:pt>
                <c:pt idx="1777">
                  <c:v>745.82219999999995</c:v>
                </c:pt>
                <c:pt idx="1778">
                  <c:v>745.66290000000004</c:v>
                </c:pt>
                <c:pt idx="1779">
                  <c:v>745.49699999999996</c:v>
                </c:pt>
                <c:pt idx="1780">
                  <c:v>745.31290000000001</c:v>
                </c:pt>
                <c:pt idx="1781">
                  <c:v>745.2242</c:v>
                </c:pt>
                <c:pt idx="1782">
                  <c:v>745.00689999999997</c:v>
                </c:pt>
                <c:pt idx="1783">
                  <c:v>744.85919999999999</c:v>
                </c:pt>
                <c:pt idx="1784">
                  <c:v>744.71159999999998</c:v>
                </c:pt>
                <c:pt idx="1785">
                  <c:v>744.57420000000002</c:v>
                </c:pt>
                <c:pt idx="1786">
                  <c:v>744.38049999999998</c:v>
                </c:pt>
                <c:pt idx="1787">
                  <c:v>744.21079999999995</c:v>
                </c:pt>
                <c:pt idx="1788">
                  <c:v>743.98170000000005</c:v>
                </c:pt>
                <c:pt idx="1789">
                  <c:v>743.85810000000004</c:v>
                </c:pt>
                <c:pt idx="1790">
                  <c:v>743.65880000000004</c:v>
                </c:pt>
                <c:pt idx="1791">
                  <c:v>743.47640000000001</c:v>
                </c:pt>
                <c:pt idx="1792">
                  <c:v>743.28250000000003</c:v>
                </c:pt>
                <c:pt idx="1793">
                  <c:v>743.11479999999995</c:v>
                </c:pt>
                <c:pt idx="1794">
                  <c:v>742.9683</c:v>
                </c:pt>
                <c:pt idx="1795">
                  <c:v>742.76390000000004</c:v>
                </c:pt>
                <c:pt idx="1796">
                  <c:v>742.61890000000005</c:v>
                </c:pt>
                <c:pt idx="1797">
                  <c:v>742.43849999999998</c:v>
                </c:pt>
                <c:pt idx="1798">
                  <c:v>742.25059999999996</c:v>
                </c:pt>
                <c:pt idx="1799">
                  <c:v>742.08259999999996</c:v>
                </c:pt>
                <c:pt idx="1800">
                  <c:v>741.92129999999997</c:v>
                </c:pt>
                <c:pt idx="1801">
                  <c:v>741.74590000000001</c:v>
                </c:pt>
                <c:pt idx="1802">
                  <c:v>741.57060000000001</c:v>
                </c:pt>
                <c:pt idx="1803">
                  <c:v>741.41160000000002</c:v>
                </c:pt>
                <c:pt idx="1804">
                  <c:v>741.24040000000002</c:v>
                </c:pt>
                <c:pt idx="1805">
                  <c:v>741.05139999999994</c:v>
                </c:pt>
                <c:pt idx="1806">
                  <c:v>740.8501</c:v>
                </c:pt>
                <c:pt idx="1807">
                  <c:v>740.67679999999996</c:v>
                </c:pt>
                <c:pt idx="1808">
                  <c:v>740.52160000000003</c:v>
                </c:pt>
                <c:pt idx="1809">
                  <c:v>740.36810000000003</c:v>
                </c:pt>
                <c:pt idx="1810">
                  <c:v>740.21339999999998</c:v>
                </c:pt>
                <c:pt idx="1811">
                  <c:v>740.00919999999996</c:v>
                </c:pt>
                <c:pt idx="1812">
                  <c:v>739.85379999999998</c:v>
                </c:pt>
                <c:pt idx="1813">
                  <c:v>739.70399999999995</c:v>
                </c:pt>
                <c:pt idx="1814">
                  <c:v>739.53489999999999</c:v>
                </c:pt>
                <c:pt idx="1815">
                  <c:v>739.37369999999999</c:v>
                </c:pt>
                <c:pt idx="1816">
                  <c:v>739.2047</c:v>
                </c:pt>
                <c:pt idx="1817">
                  <c:v>739.03430000000003</c:v>
                </c:pt>
                <c:pt idx="1818">
                  <c:v>738.8569</c:v>
                </c:pt>
                <c:pt idx="1819">
                  <c:v>738.68880000000001</c:v>
                </c:pt>
                <c:pt idx="1820">
                  <c:v>738.48320000000001</c:v>
                </c:pt>
                <c:pt idx="1821">
                  <c:v>738.3682</c:v>
                </c:pt>
                <c:pt idx="1822">
                  <c:v>738.14549999999997</c:v>
                </c:pt>
                <c:pt idx="1823">
                  <c:v>737.94669999999996</c:v>
                </c:pt>
                <c:pt idx="1824">
                  <c:v>737.82740000000001</c:v>
                </c:pt>
                <c:pt idx="1825">
                  <c:v>737.61940000000004</c:v>
                </c:pt>
                <c:pt idx="1826">
                  <c:v>737.39340000000004</c:v>
                </c:pt>
                <c:pt idx="1827">
                  <c:v>737.22619999999995</c:v>
                </c:pt>
                <c:pt idx="1828">
                  <c:v>737.0616</c:v>
                </c:pt>
                <c:pt idx="1829">
                  <c:v>736.85379999999998</c:v>
                </c:pt>
                <c:pt idx="1830">
                  <c:v>736.64570000000003</c:v>
                </c:pt>
                <c:pt idx="1831">
                  <c:v>736.52099999999996</c:v>
                </c:pt>
                <c:pt idx="1832">
                  <c:v>736.30679999999995</c:v>
                </c:pt>
                <c:pt idx="1833">
                  <c:v>736.12689999999998</c:v>
                </c:pt>
                <c:pt idx="1834">
                  <c:v>735.90269999999998</c:v>
                </c:pt>
                <c:pt idx="1835">
                  <c:v>735.70190000000002</c:v>
                </c:pt>
                <c:pt idx="1836">
                  <c:v>735.53769999999997</c:v>
                </c:pt>
                <c:pt idx="1837">
                  <c:v>735.38379999999995</c:v>
                </c:pt>
                <c:pt idx="1838">
                  <c:v>735.17560000000003</c:v>
                </c:pt>
                <c:pt idx="1839">
                  <c:v>735.03740000000005</c:v>
                </c:pt>
                <c:pt idx="1840">
                  <c:v>734.84360000000004</c:v>
                </c:pt>
                <c:pt idx="1841">
                  <c:v>734.7047</c:v>
                </c:pt>
                <c:pt idx="1842">
                  <c:v>734.51649999999995</c:v>
                </c:pt>
                <c:pt idx="1843">
                  <c:v>734.34550000000002</c:v>
                </c:pt>
                <c:pt idx="1844">
                  <c:v>734.1635</c:v>
                </c:pt>
                <c:pt idx="1845">
                  <c:v>733.94150000000002</c:v>
                </c:pt>
                <c:pt idx="1846">
                  <c:v>733.82389999999998</c:v>
                </c:pt>
                <c:pt idx="1847">
                  <c:v>733.57</c:v>
                </c:pt>
                <c:pt idx="1848">
                  <c:v>733.44590000000005</c:v>
                </c:pt>
                <c:pt idx="1849">
                  <c:v>733.18380000000002</c:v>
                </c:pt>
                <c:pt idx="1850">
                  <c:v>733.0172</c:v>
                </c:pt>
                <c:pt idx="1851">
                  <c:v>732.90859999999998</c:v>
                </c:pt>
                <c:pt idx="1852">
                  <c:v>732.77110000000005</c:v>
                </c:pt>
                <c:pt idx="1853">
                  <c:v>732.65070000000003</c:v>
                </c:pt>
                <c:pt idx="1854">
                  <c:v>732.48630000000003</c:v>
                </c:pt>
                <c:pt idx="1855">
                  <c:v>732.45669999999996</c:v>
                </c:pt>
                <c:pt idx="1856">
                  <c:v>732.28390000000002</c:v>
                </c:pt>
                <c:pt idx="1857">
                  <c:v>732.11159999999995</c:v>
                </c:pt>
                <c:pt idx="1858">
                  <c:v>732.01919999999996</c:v>
                </c:pt>
                <c:pt idx="1859">
                  <c:v>731.89290000000005</c:v>
                </c:pt>
                <c:pt idx="1860">
                  <c:v>731.75840000000005</c:v>
                </c:pt>
                <c:pt idx="1861">
                  <c:v>731.62959999999998</c:v>
                </c:pt>
                <c:pt idx="1862">
                  <c:v>731.49739999999997</c:v>
                </c:pt>
                <c:pt idx="1863">
                  <c:v>731.32039999999995</c:v>
                </c:pt>
                <c:pt idx="1864">
                  <c:v>731.20780000000002</c:v>
                </c:pt>
                <c:pt idx="1865">
                  <c:v>731.04409999999996</c:v>
                </c:pt>
                <c:pt idx="1866">
                  <c:v>730.91579999999999</c:v>
                </c:pt>
                <c:pt idx="1867">
                  <c:v>730.75530000000003</c:v>
                </c:pt>
                <c:pt idx="1868">
                  <c:v>730.54079999999999</c:v>
                </c:pt>
                <c:pt idx="1869">
                  <c:v>730.45920000000001</c:v>
                </c:pt>
                <c:pt idx="1870">
                  <c:v>730.33299999999997</c:v>
                </c:pt>
                <c:pt idx="1871">
                  <c:v>730.19060000000002</c:v>
                </c:pt>
                <c:pt idx="1872">
                  <c:v>730.00040000000001</c:v>
                </c:pt>
                <c:pt idx="1873">
                  <c:v>729.8777</c:v>
                </c:pt>
                <c:pt idx="1874">
                  <c:v>729.64859999999999</c:v>
                </c:pt>
                <c:pt idx="1875">
                  <c:v>729.4787</c:v>
                </c:pt>
                <c:pt idx="1876">
                  <c:v>729.30730000000005</c:v>
                </c:pt>
                <c:pt idx="1877">
                  <c:v>729.20460000000003</c:v>
                </c:pt>
                <c:pt idx="1878">
                  <c:v>729.01750000000004</c:v>
                </c:pt>
                <c:pt idx="1879">
                  <c:v>728.86760000000004</c:v>
                </c:pt>
                <c:pt idx="1880">
                  <c:v>728.66800000000001</c:v>
                </c:pt>
                <c:pt idx="1881">
                  <c:v>728.5616</c:v>
                </c:pt>
                <c:pt idx="1882">
                  <c:v>728.35090000000002</c:v>
                </c:pt>
                <c:pt idx="1883">
                  <c:v>728.18060000000003</c:v>
                </c:pt>
                <c:pt idx="1884">
                  <c:v>728.04190000000006</c:v>
                </c:pt>
                <c:pt idx="1885">
                  <c:v>727.87819999999999</c:v>
                </c:pt>
                <c:pt idx="1886">
                  <c:v>727.71860000000004</c:v>
                </c:pt>
                <c:pt idx="1887">
                  <c:v>727.55589999999995</c:v>
                </c:pt>
                <c:pt idx="1888">
                  <c:v>727.40260000000001</c:v>
                </c:pt>
                <c:pt idx="1889">
                  <c:v>727.17219999999998</c:v>
                </c:pt>
                <c:pt idx="1890">
                  <c:v>727.02250000000004</c:v>
                </c:pt>
                <c:pt idx="1891">
                  <c:v>726.82910000000004</c:v>
                </c:pt>
                <c:pt idx="1892">
                  <c:v>726.67809999999997</c:v>
                </c:pt>
                <c:pt idx="1893">
                  <c:v>726.48389999999995</c:v>
                </c:pt>
                <c:pt idx="1894">
                  <c:v>726.30259999999998</c:v>
                </c:pt>
                <c:pt idx="1895">
                  <c:v>726.14530000000002</c:v>
                </c:pt>
                <c:pt idx="1896">
                  <c:v>725.97140000000002</c:v>
                </c:pt>
                <c:pt idx="1897">
                  <c:v>725.79280000000006</c:v>
                </c:pt>
                <c:pt idx="1898">
                  <c:v>725.58630000000005</c:v>
                </c:pt>
                <c:pt idx="1899">
                  <c:v>725.40170000000001</c:v>
                </c:pt>
                <c:pt idx="1900">
                  <c:v>725.24080000000004</c:v>
                </c:pt>
                <c:pt idx="1901">
                  <c:v>725.06269999999995</c:v>
                </c:pt>
                <c:pt idx="1902">
                  <c:v>724.93320000000006</c:v>
                </c:pt>
                <c:pt idx="1903">
                  <c:v>724.76930000000004</c:v>
                </c:pt>
                <c:pt idx="1904">
                  <c:v>724.60310000000004</c:v>
                </c:pt>
                <c:pt idx="1905">
                  <c:v>724.3768</c:v>
                </c:pt>
                <c:pt idx="1906">
                  <c:v>724.22159999999997</c:v>
                </c:pt>
                <c:pt idx="1907">
                  <c:v>723.99419999999998</c:v>
                </c:pt>
                <c:pt idx="1908">
                  <c:v>723.85220000000004</c:v>
                </c:pt>
                <c:pt idx="1909">
                  <c:v>723.64589999999998</c:v>
                </c:pt>
                <c:pt idx="1910">
                  <c:v>723.45090000000005</c:v>
                </c:pt>
                <c:pt idx="1911">
                  <c:v>723.27710000000002</c:v>
                </c:pt>
                <c:pt idx="1912">
                  <c:v>723.04989999999998</c:v>
                </c:pt>
                <c:pt idx="1913">
                  <c:v>722.89030000000002</c:v>
                </c:pt>
                <c:pt idx="1914">
                  <c:v>722.65200000000004</c:v>
                </c:pt>
                <c:pt idx="1915">
                  <c:v>722.45219999999995</c:v>
                </c:pt>
                <c:pt idx="1916">
                  <c:v>722.29750000000001</c:v>
                </c:pt>
                <c:pt idx="1917">
                  <c:v>722.11410000000001</c:v>
                </c:pt>
                <c:pt idx="1918">
                  <c:v>721.91409999999996</c:v>
                </c:pt>
                <c:pt idx="1919">
                  <c:v>721.72879999999998</c:v>
                </c:pt>
                <c:pt idx="1920">
                  <c:v>721.49059999999997</c:v>
                </c:pt>
                <c:pt idx="1921">
                  <c:v>721.32849999999996</c:v>
                </c:pt>
                <c:pt idx="1922">
                  <c:v>721.12810000000002</c:v>
                </c:pt>
                <c:pt idx="1923">
                  <c:v>720.94529999999997</c:v>
                </c:pt>
                <c:pt idx="1924">
                  <c:v>720.72490000000005</c:v>
                </c:pt>
                <c:pt idx="1925">
                  <c:v>720.52149999999995</c:v>
                </c:pt>
                <c:pt idx="1926">
                  <c:v>720.30100000000004</c:v>
                </c:pt>
                <c:pt idx="1927">
                  <c:v>720.0856</c:v>
                </c:pt>
                <c:pt idx="1928">
                  <c:v>719.90219999999999</c:v>
                </c:pt>
                <c:pt idx="1929">
                  <c:v>719.68380000000002</c:v>
                </c:pt>
                <c:pt idx="1930">
                  <c:v>719.53420000000006</c:v>
                </c:pt>
                <c:pt idx="1931">
                  <c:v>719.3143</c:v>
                </c:pt>
                <c:pt idx="1932">
                  <c:v>719.12530000000004</c:v>
                </c:pt>
                <c:pt idx="1933">
                  <c:v>718.90549999999996</c:v>
                </c:pt>
                <c:pt idx="1934">
                  <c:v>718.67750000000001</c:v>
                </c:pt>
                <c:pt idx="1935">
                  <c:v>718.44979999999998</c:v>
                </c:pt>
                <c:pt idx="1936">
                  <c:v>718.24199999999996</c:v>
                </c:pt>
                <c:pt idx="1937">
                  <c:v>717.97249999999997</c:v>
                </c:pt>
                <c:pt idx="1938">
                  <c:v>717.78110000000004</c:v>
                </c:pt>
                <c:pt idx="1939">
                  <c:v>717.57569999999998</c:v>
                </c:pt>
                <c:pt idx="1940">
                  <c:v>717.3999</c:v>
                </c:pt>
                <c:pt idx="1941">
                  <c:v>717.14919999999995</c:v>
                </c:pt>
                <c:pt idx="1942">
                  <c:v>716.91409999999996</c:v>
                </c:pt>
                <c:pt idx="1943">
                  <c:v>716.69190000000003</c:v>
                </c:pt>
                <c:pt idx="1944">
                  <c:v>716.46040000000005</c:v>
                </c:pt>
                <c:pt idx="1945">
                  <c:v>716.3075</c:v>
                </c:pt>
                <c:pt idx="1946">
                  <c:v>716.11659999999995</c:v>
                </c:pt>
                <c:pt idx="1947">
                  <c:v>715.89210000000003</c:v>
                </c:pt>
                <c:pt idx="1948">
                  <c:v>715.78970000000004</c:v>
                </c:pt>
                <c:pt idx="1949">
                  <c:v>715.61379999999997</c:v>
                </c:pt>
                <c:pt idx="1950">
                  <c:v>715.43589999999995</c:v>
                </c:pt>
                <c:pt idx="1951">
                  <c:v>715.14329999999995</c:v>
                </c:pt>
                <c:pt idx="1952">
                  <c:v>714.87260000000003</c:v>
                </c:pt>
                <c:pt idx="1953">
                  <c:v>714.67759999999998</c:v>
                </c:pt>
                <c:pt idx="1954">
                  <c:v>714.35289999999998</c:v>
                </c:pt>
                <c:pt idx="1955">
                  <c:v>714.15359999999998</c:v>
                </c:pt>
                <c:pt idx="1956">
                  <c:v>714.01210000000003</c:v>
                </c:pt>
                <c:pt idx="1957">
                  <c:v>713.81610000000001</c:v>
                </c:pt>
                <c:pt idx="1958">
                  <c:v>713.64490000000001</c:v>
                </c:pt>
                <c:pt idx="1959">
                  <c:v>713.43140000000005</c:v>
                </c:pt>
                <c:pt idx="1960">
                  <c:v>713.26649999999995</c:v>
                </c:pt>
                <c:pt idx="1961">
                  <c:v>713.0652</c:v>
                </c:pt>
                <c:pt idx="1962">
                  <c:v>712.91390000000001</c:v>
                </c:pt>
                <c:pt idx="1963">
                  <c:v>712.70280000000002</c:v>
                </c:pt>
                <c:pt idx="1964">
                  <c:v>712.5471</c:v>
                </c:pt>
                <c:pt idx="1965">
                  <c:v>712.33770000000004</c:v>
                </c:pt>
                <c:pt idx="1966">
                  <c:v>712.17010000000005</c:v>
                </c:pt>
                <c:pt idx="1967">
                  <c:v>711.96780000000001</c:v>
                </c:pt>
                <c:pt idx="1968">
                  <c:v>711.78110000000004</c:v>
                </c:pt>
                <c:pt idx="1969">
                  <c:v>711.64430000000004</c:v>
                </c:pt>
                <c:pt idx="1970">
                  <c:v>711.3913</c:v>
                </c:pt>
                <c:pt idx="1971">
                  <c:v>711.27430000000004</c:v>
                </c:pt>
                <c:pt idx="1972">
                  <c:v>711.07719999999995</c:v>
                </c:pt>
                <c:pt idx="1973">
                  <c:v>710.89769999999999</c:v>
                </c:pt>
                <c:pt idx="1974">
                  <c:v>710.72889999999995</c:v>
                </c:pt>
                <c:pt idx="1975">
                  <c:v>710.58889999999997</c:v>
                </c:pt>
                <c:pt idx="1976">
                  <c:v>710.46550000000002</c:v>
                </c:pt>
                <c:pt idx="1977">
                  <c:v>710.22640000000001</c:v>
                </c:pt>
                <c:pt idx="1978">
                  <c:v>710.07100000000003</c:v>
                </c:pt>
                <c:pt idx="1979">
                  <c:v>709.89790000000005</c:v>
                </c:pt>
                <c:pt idx="1980">
                  <c:v>709.74559999999997</c:v>
                </c:pt>
                <c:pt idx="1981">
                  <c:v>709.60799999999995</c:v>
                </c:pt>
                <c:pt idx="1982">
                  <c:v>709.40290000000005</c:v>
                </c:pt>
                <c:pt idx="1983">
                  <c:v>709.26559999999995</c:v>
                </c:pt>
                <c:pt idx="1984">
                  <c:v>709.08169999999996</c:v>
                </c:pt>
                <c:pt idx="1985">
                  <c:v>708.87260000000003</c:v>
                </c:pt>
                <c:pt idx="1986">
                  <c:v>708.69860000000006</c:v>
                </c:pt>
                <c:pt idx="1987">
                  <c:v>708.51390000000004</c:v>
                </c:pt>
                <c:pt idx="1988">
                  <c:v>708.31970000000001</c:v>
                </c:pt>
                <c:pt idx="1989">
                  <c:v>708.18240000000003</c:v>
                </c:pt>
                <c:pt idx="1990">
                  <c:v>708.03560000000004</c:v>
                </c:pt>
                <c:pt idx="1991">
                  <c:v>707.89959999999996</c:v>
                </c:pt>
                <c:pt idx="1992">
                  <c:v>707.7944</c:v>
                </c:pt>
                <c:pt idx="1993">
                  <c:v>707.74159999999995</c:v>
                </c:pt>
                <c:pt idx="1994">
                  <c:v>707.60289999999998</c:v>
                </c:pt>
                <c:pt idx="1995">
                  <c:v>707.45410000000004</c:v>
                </c:pt>
                <c:pt idx="1996">
                  <c:v>707.23919999999998</c:v>
                </c:pt>
                <c:pt idx="1997">
                  <c:v>707.10429999999997</c:v>
                </c:pt>
                <c:pt idx="1998">
                  <c:v>706.96010000000001</c:v>
                </c:pt>
                <c:pt idx="1999">
                  <c:v>706.77930000000003</c:v>
                </c:pt>
                <c:pt idx="2000">
                  <c:v>706.63030000000003</c:v>
                </c:pt>
                <c:pt idx="2001">
                  <c:v>706.46349999999995</c:v>
                </c:pt>
                <c:pt idx="2002">
                  <c:v>706.29300000000001</c:v>
                </c:pt>
                <c:pt idx="2003">
                  <c:v>706.14639999999997</c:v>
                </c:pt>
                <c:pt idx="2004">
                  <c:v>706.00900000000001</c:v>
                </c:pt>
                <c:pt idx="2005">
                  <c:v>705.80759999999998</c:v>
                </c:pt>
                <c:pt idx="2006">
                  <c:v>705.64260000000002</c:v>
                </c:pt>
                <c:pt idx="2007">
                  <c:v>705.46429999999998</c:v>
                </c:pt>
                <c:pt idx="2008">
                  <c:v>705.28880000000004</c:v>
                </c:pt>
                <c:pt idx="2009">
                  <c:v>705.14329999999995</c:v>
                </c:pt>
                <c:pt idx="2010">
                  <c:v>704.95740000000001</c:v>
                </c:pt>
                <c:pt idx="2011">
                  <c:v>704.7364</c:v>
                </c:pt>
                <c:pt idx="2012">
                  <c:v>704.64570000000003</c:v>
                </c:pt>
                <c:pt idx="2013">
                  <c:v>704.52229999999997</c:v>
                </c:pt>
                <c:pt idx="2014">
                  <c:v>704.37540000000001</c:v>
                </c:pt>
                <c:pt idx="2015">
                  <c:v>704.26300000000003</c:v>
                </c:pt>
                <c:pt idx="2016">
                  <c:v>704.13319999999999</c:v>
                </c:pt>
                <c:pt idx="2017">
                  <c:v>703.96609999999998</c:v>
                </c:pt>
                <c:pt idx="2018">
                  <c:v>703.82140000000004</c:v>
                </c:pt>
                <c:pt idx="2019">
                  <c:v>703.68629999999996</c:v>
                </c:pt>
                <c:pt idx="2020">
                  <c:v>703.50049999999999</c:v>
                </c:pt>
                <c:pt idx="2021">
                  <c:v>703.3605</c:v>
                </c:pt>
                <c:pt idx="2022">
                  <c:v>703.20759999999996</c:v>
                </c:pt>
                <c:pt idx="2023">
                  <c:v>703.06200000000001</c:v>
                </c:pt>
                <c:pt idx="2024">
                  <c:v>702.86940000000004</c:v>
                </c:pt>
                <c:pt idx="2025">
                  <c:v>702.6952</c:v>
                </c:pt>
                <c:pt idx="2026">
                  <c:v>702.58439999999996</c:v>
                </c:pt>
                <c:pt idx="2027">
                  <c:v>702.41819999999996</c:v>
                </c:pt>
                <c:pt idx="2028">
                  <c:v>702.25459999999998</c:v>
                </c:pt>
                <c:pt idx="2029">
                  <c:v>702.11159999999995</c:v>
                </c:pt>
                <c:pt idx="2030">
                  <c:v>701.97059999999999</c:v>
                </c:pt>
                <c:pt idx="2031">
                  <c:v>701.82889999999998</c:v>
                </c:pt>
                <c:pt idx="2032">
                  <c:v>701.67089999999996</c:v>
                </c:pt>
                <c:pt idx="2033">
                  <c:v>701.52670000000001</c:v>
                </c:pt>
                <c:pt idx="2034">
                  <c:v>701.39290000000005</c:v>
                </c:pt>
                <c:pt idx="2035">
                  <c:v>701.21379999999999</c:v>
                </c:pt>
                <c:pt idx="2036">
                  <c:v>701.01199999999994</c:v>
                </c:pt>
                <c:pt idx="2037">
                  <c:v>700.87649999999996</c:v>
                </c:pt>
                <c:pt idx="2038">
                  <c:v>700.77380000000005</c:v>
                </c:pt>
                <c:pt idx="2039">
                  <c:v>700.63909999999998</c:v>
                </c:pt>
                <c:pt idx="2040">
                  <c:v>700.58939999999996</c:v>
                </c:pt>
                <c:pt idx="2041">
                  <c:v>700.51859999999999</c:v>
                </c:pt>
                <c:pt idx="2042">
                  <c:v>700.48810000000003</c:v>
                </c:pt>
                <c:pt idx="2043">
                  <c:v>700.30470000000003</c:v>
                </c:pt>
                <c:pt idx="2044">
                  <c:v>700.21519999999998</c:v>
                </c:pt>
                <c:pt idx="2045">
                  <c:v>700.11689999999999</c:v>
                </c:pt>
                <c:pt idx="2046">
                  <c:v>700.01459999999997</c:v>
                </c:pt>
                <c:pt idx="2047">
                  <c:v>699.96870000000001</c:v>
                </c:pt>
                <c:pt idx="2048">
                  <c:v>699.81799999999998</c:v>
                </c:pt>
                <c:pt idx="2049">
                  <c:v>699.73339999999996</c:v>
                </c:pt>
                <c:pt idx="2050">
                  <c:v>699.63340000000005</c:v>
                </c:pt>
                <c:pt idx="2051">
                  <c:v>699.64890000000003</c:v>
                </c:pt>
                <c:pt idx="2052">
                  <c:v>699.60680000000002</c:v>
                </c:pt>
                <c:pt idx="2053">
                  <c:v>699.55499999999995</c:v>
                </c:pt>
                <c:pt idx="2054">
                  <c:v>699.52009999999996</c:v>
                </c:pt>
                <c:pt idx="2055">
                  <c:v>699.51289999999995</c:v>
                </c:pt>
                <c:pt idx="2056">
                  <c:v>699.51580000000001</c:v>
                </c:pt>
                <c:pt idx="2057">
                  <c:v>699.52070000000003</c:v>
                </c:pt>
                <c:pt idx="2058">
                  <c:v>699.49109999999996</c:v>
                </c:pt>
                <c:pt idx="2059">
                  <c:v>699.50990000000002</c:v>
                </c:pt>
                <c:pt idx="2060">
                  <c:v>699.48889999999994</c:v>
                </c:pt>
                <c:pt idx="2061">
                  <c:v>699.4837</c:v>
                </c:pt>
                <c:pt idx="2062">
                  <c:v>699.48659999999995</c:v>
                </c:pt>
                <c:pt idx="2063">
                  <c:v>699.53740000000005</c:v>
                </c:pt>
                <c:pt idx="2064">
                  <c:v>699.49260000000004</c:v>
                </c:pt>
                <c:pt idx="2065">
                  <c:v>699.50779999999997</c:v>
                </c:pt>
                <c:pt idx="2066">
                  <c:v>699.51689999999996</c:v>
                </c:pt>
                <c:pt idx="2067">
                  <c:v>699.53530000000001</c:v>
                </c:pt>
                <c:pt idx="2068">
                  <c:v>699.54340000000002</c:v>
                </c:pt>
                <c:pt idx="2069">
                  <c:v>699.52719999999999</c:v>
                </c:pt>
                <c:pt idx="2070">
                  <c:v>699.59479999999996</c:v>
                </c:pt>
                <c:pt idx="2071">
                  <c:v>699.61720000000003</c:v>
                </c:pt>
                <c:pt idx="2072">
                  <c:v>699.62180000000001</c:v>
                </c:pt>
                <c:pt idx="2073">
                  <c:v>699.56679999999994</c:v>
                </c:pt>
                <c:pt idx="2074">
                  <c:v>699.60310000000004</c:v>
                </c:pt>
                <c:pt idx="2075">
                  <c:v>699.65790000000004</c:v>
                </c:pt>
                <c:pt idx="2076">
                  <c:v>699.6069</c:v>
                </c:pt>
                <c:pt idx="2077">
                  <c:v>699.66510000000005</c:v>
                </c:pt>
                <c:pt idx="2078">
                  <c:v>699.65009999999995</c:v>
                </c:pt>
                <c:pt idx="2079">
                  <c:v>699.66219999999998</c:v>
                </c:pt>
                <c:pt idx="2080">
                  <c:v>699.73419999999999</c:v>
                </c:pt>
                <c:pt idx="2081">
                  <c:v>699.71479999999997</c:v>
                </c:pt>
                <c:pt idx="2082">
                  <c:v>694.85419999999999</c:v>
                </c:pt>
                <c:pt idx="2083">
                  <c:v>604.92219999999998</c:v>
                </c:pt>
                <c:pt idx="2084">
                  <c:v>483.59989999999999</c:v>
                </c:pt>
                <c:pt idx="2085">
                  <c:v>377.1429</c:v>
                </c:pt>
                <c:pt idx="2086">
                  <c:v>254.768</c:v>
                </c:pt>
                <c:pt idx="2087">
                  <c:v>149.12620000000001</c:v>
                </c:pt>
                <c:pt idx="2088">
                  <c:v>73.096800000000002</c:v>
                </c:pt>
                <c:pt idx="2089">
                  <c:v>35.043199999999999</c:v>
                </c:pt>
                <c:pt idx="2090">
                  <c:v>17.6677</c:v>
                </c:pt>
                <c:pt idx="2091">
                  <c:v>13.6731</c:v>
                </c:pt>
                <c:pt idx="2092">
                  <c:v>13.6485</c:v>
                </c:pt>
                <c:pt idx="2093">
                  <c:v>13.654299999999999</c:v>
                </c:pt>
                <c:pt idx="2094">
                  <c:v>13.6882</c:v>
                </c:pt>
                <c:pt idx="2095">
                  <c:v>13.6953</c:v>
                </c:pt>
                <c:pt idx="2096">
                  <c:v>13.6846</c:v>
                </c:pt>
                <c:pt idx="2097">
                  <c:v>13.6531</c:v>
                </c:pt>
                <c:pt idx="2098">
                  <c:v>13.684900000000001</c:v>
                </c:pt>
                <c:pt idx="2099">
                  <c:v>13.6416</c:v>
                </c:pt>
                <c:pt idx="2100">
                  <c:v>13.671900000000001</c:v>
                </c:pt>
                <c:pt idx="2101">
                  <c:v>13.683400000000001</c:v>
                </c:pt>
                <c:pt idx="2102">
                  <c:v>13.679600000000001</c:v>
                </c:pt>
                <c:pt idx="2103">
                  <c:v>13.676600000000001</c:v>
                </c:pt>
                <c:pt idx="2104">
                  <c:v>13.635899999999999</c:v>
                </c:pt>
                <c:pt idx="2105">
                  <c:v>13.6836</c:v>
                </c:pt>
                <c:pt idx="2106">
                  <c:v>13.6678</c:v>
                </c:pt>
                <c:pt idx="2107">
                  <c:v>13.6778</c:v>
                </c:pt>
                <c:pt idx="2108">
                  <c:v>13.6693</c:v>
                </c:pt>
                <c:pt idx="2109">
                  <c:v>13.6851</c:v>
                </c:pt>
                <c:pt idx="2110">
                  <c:v>13.648999999999999</c:v>
                </c:pt>
                <c:pt idx="2111">
                  <c:v>13.654500000000001</c:v>
                </c:pt>
                <c:pt idx="2112">
                  <c:v>13.6395</c:v>
                </c:pt>
                <c:pt idx="2113">
                  <c:v>13.634600000000001</c:v>
                </c:pt>
                <c:pt idx="2114">
                  <c:v>13.6509</c:v>
                </c:pt>
                <c:pt idx="2115">
                  <c:v>13.6854</c:v>
                </c:pt>
                <c:pt idx="2116">
                  <c:v>13.6586</c:v>
                </c:pt>
                <c:pt idx="2117">
                  <c:v>13.650600000000001</c:v>
                </c:pt>
                <c:pt idx="2118">
                  <c:v>13.655099999999999</c:v>
                </c:pt>
                <c:pt idx="2119">
                  <c:v>13.682700000000001</c:v>
                </c:pt>
                <c:pt idx="2120">
                  <c:v>13.6829</c:v>
                </c:pt>
                <c:pt idx="2121">
                  <c:v>13.6266</c:v>
                </c:pt>
                <c:pt idx="2122">
                  <c:v>13.6808</c:v>
                </c:pt>
                <c:pt idx="2123">
                  <c:v>13.664199999999999</c:v>
                </c:pt>
                <c:pt idx="2124">
                  <c:v>13.6203</c:v>
                </c:pt>
                <c:pt idx="2125">
                  <c:v>13.610099999999999</c:v>
                </c:pt>
                <c:pt idx="2126">
                  <c:v>13.659599999999999</c:v>
                </c:pt>
                <c:pt idx="2127">
                  <c:v>13.696</c:v>
                </c:pt>
                <c:pt idx="2128">
                  <c:v>13.6683</c:v>
                </c:pt>
                <c:pt idx="2129">
                  <c:v>13.6807</c:v>
                </c:pt>
                <c:pt idx="2130">
                  <c:v>13.667199999999999</c:v>
                </c:pt>
                <c:pt idx="2131">
                  <c:v>13.648</c:v>
                </c:pt>
                <c:pt idx="2132">
                  <c:v>13.626200000000001</c:v>
                </c:pt>
                <c:pt idx="2133">
                  <c:v>13.6648</c:v>
                </c:pt>
                <c:pt idx="2134">
                  <c:v>13.6517</c:v>
                </c:pt>
                <c:pt idx="2135">
                  <c:v>13.6347</c:v>
                </c:pt>
                <c:pt idx="2136">
                  <c:v>13.6837</c:v>
                </c:pt>
                <c:pt idx="2137">
                  <c:v>13.656499999999999</c:v>
                </c:pt>
                <c:pt idx="2138">
                  <c:v>13.6404</c:v>
                </c:pt>
                <c:pt idx="2139">
                  <c:v>13.674300000000001</c:v>
                </c:pt>
                <c:pt idx="2140">
                  <c:v>13.661799999999999</c:v>
                </c:pt>
              </c:numCache>
            </c:numRef>
          </c:xVal>
          <c:yVal>
            <c:numRef>
              <c:f>'MG Data'!$F$10:$F$2153</c:f>
              <c:numCache>
                <c:formatCode>#,##0.000</c:formatCode>
                <c:ptCount val="2144"/>
                <c:pt idx="0">
                  <c:v>0</c:v>
                </c:pt>
                <c:pt idx="1">
                  <c:v>1.389E-3</c:v>
                </c:pt>
                <c:pt idx="2">
                  <c:v>2.7780000000000001E-3</c:v>
                </c:pt>
                <c:pt idx="3">
                  <c:v>4.1669999999999997E-3</c:v>
                </c:pt>
                <c:pt idx="4">
                  <c:v>5.5560000000000002E-3</c:v>
                </c:pt>
                <c:pt idx="5">
                  <c:v>6.9439999999999997E-3</c:v>
                </c:pt>
                <c:pt idx="6">
                  <c:v>8.3330000000000001E-3</c:v>
                </c:pt>
                <c:pt idx="7">
                  <c:v>9.7219999999999997E-3</c:v>
                </c:pt>
                <c:pt idx="8">
                  <c:v>1.1110999999999999E-2</c:v>
                </c:pt>
                <c:pt idx="9">
                  <c:v>1.2500000000000001E-2</c:v>
                </c:pt>
                <c:pt idx="10">
                  <c:v>1.3889E-2</c:v>
                </c:pt>
                <c:pt idx="11">
                  <c:v>1.5278E-2</c:v>
                </c:pt>
                <c:pt idx="12">
                  <c:v>1.6667000000000001E-2</c:v>
                </c:pt>
                <c:pt idx="13">
                  <c:v>1.8055999999999999E-2</c:v>
                </c:pt>
                <c:pt idx="14">
                  <c:v>1.9443999999999999E-2</c:v>
                </c:pt>
                <c:pt idx="15">
                  <c:v>2.0833000000000001E-2</c:v>
                </c:pt>
                <c:pt idx="16">
                  <c:v>2.2221999999999999E-2</c:v>
                </c:pt>
                <c:pt idx="17">
                  <c:v>2.3611E-2</c:v>
                </c:pt>
                <c:pt idx="18">
                  <c:v>2.5000000000000001E-2</c:v>
                </c:pt>
                <c:pt idx="19">
                  <c:v>2.6388999999999999E-2</c:v>
                </c:pt>
                <c:pt idx="20">
                  <c:v>2.7778000000000001E-2</c:v>
                </c:pt>
                <c:pt idx="21">
                  <c:v>2.9166999999999998E-2</c:v>
                </c:pt>
                <c:pt idx="22">
                  <c:v>3.0556E-2</c:v>
                </c:pt>
                <c:pt idx="23">
                  <c:v>3.1944E-2</c:v>
                </c:pt>
                <c:pt idx="24">
                  <c:v>3.3333000000000002E-2</c:v>
                </c:pt>
                <c:pt idx="25">
                  <c:v>3.4722000000000003E-2</c:v>
                </c:pt>
                <c:pt idx="26">
                  <c:v>3.6110999999999997E-2</c:v>
                </c:pt>
                <c:pt idx="27">
                  <c:v>3.7499999999999999E-2</c:v>
                </c:pt>
                <c:pt idx="28">
                  <c:v>3.8889E-2</c:v>
                </c:pt>
                <c:pt idx="29">
                  <c:v>4.0278000000000001E-2</c:v>
                </c:pt>
                <c:pt idx="30">
                  <c:v>4.1667000000000003E-2</c:v>
                </c:pt>
                <c:pt idx="31">
                  <c:v>4.3055999999999997E-2</c:v>
                </c:pt>
                <c:pt idx="32">
                  <c:v>4.4443999999999997E-2</c:v>
                </c:pt>
                <c:pt idx="33">
                  <c:v>4.5832999999999999E-2</c:v>
                </c:pt>
                <c:pt idx="34">
                  <c:v>4.7222E-2</c:v>
                </c:pt>
                <c:pt idx="35">
                  <c:v>4.8611000000000001E-2</c:v>
                </c:pt>
                <c:pt idx="36">
                  <c:v>0.05</c:v>
                </c:pt>
                <c:pt idx="37">
                  <c:v>5.1388999999999997E-2</c:v>
                </c:pt>
                <c:pt idx="38">
                  <c:v>5.2777999999999999E-2</c:v>
                </c:pt>
                <c:pt idx="39">
                  <c:v>5.4167E-2</c:v>
                </c:pt>
                <c:pt idx="40">
                  <c:v>5.5556000000000001E-2</c:v>
                </c:pt>
                <c:pt idx="41">
                  <c:v>5.6944000000000002E-2</c:v>
                </c:pt>
                <c:pt idx="42">
                  <c:v>5.8333000000000003E-2</c:v>
                </c:pt>
                <c:pt idx="43">
                  <c:v>5.9721999999999997E-2</c:v>
                </c:pt>
                <c:pt idx="44">
                  <c:v>6.1110999999999999E-2</c:v>
                </c:pt>
                <c:pt idx="45">
                  <c:v>6.25E-2</c:v>
                </c:pt>
                <c:pt idx="46">
                  <c:v>6.3889000000000001E-2</c:v>
                </c:pt>
                <c:pt idx="47">
                  <c:v>6.5278000000000003E-2</c:v>
                </c:pt>
                <c:pt idx="48">
                  <c:v>6.6667000000000004E-2</c:v>
                </c:pt>
                <c:pt idx="49">
                  <c:v>6.8056000000000005E-2</c:v>
                </c:pt>
                <c:pt idx="50">
                  <c:v>6.9444000000000006E-2</c:v>
                </c:pt>
                <c:pt idx="51">
                  <c:v>7.0832999999999993E-2</c:v>
                </c:pt>
                <c:pt idx="52">
                  <c:v>7.2221999999999995E-2</c:v>
                </c:pt>
                <c:pt idx="53">
                  <c:v>7.3610999999999996E-2</c:v>
                </c:pt>
                <c:pt idx="54">
                  <c:v>7.4999999999999997E-2</c:v>
                </c:pt>
                <c:pt idx="55">
                  <c:v>7.6388999999999999E-2</c:v>
                </c:pt>
                <c:pt idx="56">
                  <c:v>7.7778E-2</c:v>
                </c:pt>
                <c:pt idx="57">
                  <c:v>7.9167000000000001E-2</c:v>
                </c:pt>
                <c:pt idx="58">
                  <c:v>8.0556000000000003E-2</c:v>
                </c:pt>
                <c:pt idx="59">
                  <c:v>8.1944000000000003E-2</c:v>
                </c:pt>
                <c:pt idx="60">
                  <c:v>8.3333000000000004E-2</c:v>
                </c:pt>
                <c:pt idx="61">
                  <c:v>8.4722000000000006E-2</c:v>
                </c:pt>
                <c:pt idx="62">
                  <c:v>8.6110999999999993E-2</c:v>
                </c:pt>
                <c:pt idx="63">
                  <c:v>8.7499999999999994E-2</c:v>
                </c:pt>
                <c:pt idx="64">
                  <c:v>8.8888999999999996E-2</c:v>
                </c:pt>
                <c:pt idx="65">
                  <c:v>9.0277999999999997E-2</c:v>
                </c:pt>
                <c:pt idx="66">
                  <c:v>9.1666999999999998E-2</c:v>
                </c:pt>
                <c:pt idx="67">
                  <c:v>9.3056E-2</c:v>
                </c:pt>
                <c:pt idx="68">
                  <c:v>9.4444E-2</c:v>
                </c:pt>
                <c:pt idx="69">
                  <c:v>9.5833000000000002E-2</c:v>
                </c:pt>
                <c:pt idx="70">
                  <c:v>9.7222000000000003E-2</c:v>
                </c:pt>
                <c:pt idx="71">
                  <c:v>9.8611000000000004E-2</c:v>
                </c:pt>
                <c:pt idx="72">
                  <c:v>0.1</c:v>
                </c:pt>
                <c:pt idx="73">
                  <c:v>0.10138900000000001</c:v>
                </c:pt>
                <c:pt idx="74">
                  <c:v>0.10277799999999999</c:v>
                </c:pt>
                <c:pt idx="75">
                  <c:v>0.104167</c:v>
                </c:pt>
                <c:pt idx="76">
                  <c:v>0.105556</c:v>
                </c:pt>
                <c:pt idx="77">
                  <c:v>0.106944</c:v>
                </c:pt>
                <c:pt idx="78">
                  <c:v>0.108333</c:v>
                </c:pt>
                <c:pt idx="79">
                  <c:v>0.109722</c:v>
                </c:pt>
                <c:pt idx="80">
                  <c:v>0.111111</c:v>
                </c:pt>
                <c:pt idx="81">
                  <c:v>0.1125</c:v>
                </c:pt>
                <c:pt idx="82">
                  <c:v>0.113889</c:v>
                </c:pt>
                <c:pt idx="83">
                  <c:v>0.11527800000000001</c:v>
                </c:pt>
                <c:pt idx="84">
                  <c:v>0.11666700000000001</c:v>
                </c:pt>
                <c:pt idx="85">
                  <c:v>0.11805599999999999</c:v>
                </c:pt>
                <c:pt idx="86">
                  <c:v>0.11944399999999999</c:v>
                </c:pt>
                <c:pt idx="87">
                  <c:v>0.120833</c:v>
                </c:pt>
                <c:pt idx="88">
                  <c:v>0.122222</c:v>
                </c:pt>
                <c:pt idx="89">
                  <c:v>0.123611</c:v>
                </c:pt>
                <c:pt idx="90">
                  <c:v>0.125</c:v>
                </c:pt>
                <c:pt idx="91">
                  <c:v>0.126389</c:v>
                </c:pt>
                <c:pt idx="92">
                  <c:v>0.127778</c:v>
                </c:pt>
                <c:pt idx="93">
                  <c:v>0.129167</c:v>
                </c:pt>
                <c:pt idx="94">
                  <c:v>0.13055600000000001</c:v>
                </c:pt>
                <c:pt idx="95">
                  <c:v>0.13194400000000001</c:v>
                </c:pt>
                <c:pt idx="96">
                  <c:v>0.13333300000000001</c:v>
                </c:pt>
                <c:pt idx="97">
                  <c:v>0.13472200000000001</c:v>
                </c:pt>
                <c:pt idx="98">
                  <c:v>0.13611100000000001</c:v>
                </c:pt>
                <c:pt idx="99">
                  <c:v>0.13750000000000001</c:v>
                </c:pt>
                <c:pt idx="100">
                  <c:v>0.13888900000000001</c:v>
                </c:pt>
                <c:pt idx="101">
                  <c:v>0.14027800000000001</c:v>
                </c:pt>
                <c:pt idx="102">
                  <c:v>0.14166699999999999</c:v>
                </c:pt>
                <c:pt idx="103">
                  <c:v>0.14305599999999999</c:v>
                </c:pt>
                <c:pt idx="104">
                  <c:v>0.14444399999999999</c:v>
                </c:pt>
                <c:pt idx="105">
                  <c:v>0.14583299999999999</c:v>
                </c:pt>
                <c:pt idx="106">
                  <c:v>0.14722199999999999</c:v>
                </c:pt>
                <c:pt idx="107">
                  <c:v>0.14861099999999999</c:v>
                </c:pt>
                <c:pt idx="108">
                  <c:v>0.15</c:v>
                </c:pt>
                <c:pt idx="109">
                  <c:v>0.151389</c:v>
                </c:pt>
                <c:pt idx="110">
                  <c:v>0.152778</c:v>
                </c:pt>
                <c:pt idx="111">
                  <c:v>0.154167</c:v>
                </c:pt>
                <c:pt idx="112">
                  <c:v>0.155556</c:v>
                </c:pt>
                <c:pt idx="113">
                  <c:v>0.156944</c:v>
                </c:pt>
                <c:pt idx="114">
                  <c:v>0.158333</c:v>
                </c:pt>
                <c:pt idx="115">
                  <c:v>0.159722</c:v>
                </c:pt>
                <c:pt idx="116">
                  <c:v>0.161111</c:v>
                </c:pt>
                <c:pt idx="117">
                  <c:v>0.16250000000000001</c:v>
                </c:pt>
                <c:pt idx="118">
                  <c:v>0.16388900000000001</c:v>
                </c:pt>
                <c:pt idx="119">
                  <c:v>0.16527800000000001</c:v>
                </c:pt>
                <c:pt idx="120">
                  <c:v>0.16666700000000001</c:v>
                </c:pt>
                <c:pt idx="121">
                  <c:v>0.16805600000000001</c:v>
                </c:pt>
                <c:pt idx="122">
                  <c:v>0.16944400000000001</c:v>
                </c:pt>
                <c:pt idx="123">
                  <c:v>0.17083300000000001</c:v>
                </c:pt>
                <c:pt idx="124">
                  <c:v>0.17222199999999999</c:v>
                </c:pt>
                <c:pt idx="125">
                  <c:v>0.17361099999999999</c:v>
                </c:pt>
                <c:pt idx="126">
                  <c:v>0.17499999999999999</c:v>
                </c:pt>
                <c:pt idx="127">
                  <c:v>0.17638899999999999</c:v>
                </c:pt>
                <c:pt idx="128">
                  <c:v>0.17777799999999999</c:v>
                </c:pt>
                <c:pt idx="129">
                  <c:v>0.17916699999999999</c:v>
                </c:pt>
                <c:pt idx="130">
                  <c:v>0.18055599999999999</c:v>
                </c:pt>
                <c:pt idx="131">
                  <c:v>0.18194399999999999</c:v>
                </c:pt>
                <c:pt idx="132">
                  <c:v>0.183333</c:v>
                </c:pt>
                <c:pt idx="133">
                  <c:v>0.184722</c:v>
                </c:pt>
                <c:pt idx="134">
                  <c:v>0.186111</c:v>
                </c:pt>
                <c:pt idx="135">
                  <c:v>0.1875</c:v>
                </c:pt>
                <c:pt idx="136">
                  <c:v>0.188889</c:v>
                </c:pt>
                <c:pt idx="137">
                  <c:v>0.190278</c:v>
                </c:pt>
                <c:pt idx="138">
                  <c:v>0.191667</c:v>
                </c:pt>
                <c:pt idx="139">
                  <c:v>0.19305600000000001</c:v>
                </c:pt>
                <c:pt idx="140">
                  <c:v>0.19444400000000001</c:v>
                </c:pt>
                <c:pt idx="141">
                  <c:v>0.19583300000000001</c:v>
                </c:pt>
                <c:pt idx="142">
                  <c:v>0.19722200000000001</c:v>
                </c:pt>
                <c:pt idx="143">
                  <c:v>0.19861100000000001</c:v>
                </c:pt>
                <c:pt idx="144">
                  <c:v>0.2</c:v>
                </c:pt>
                <c:pt idx="145">
                  <c:v>0.20138900000000001</c:v>
                </c:pt>
                <c:pt idx="146">
                  <c:v>0.20277800000000001</c:v>
                </c:pt>
                <c:pt idx="147">
                  <c:v>0.20416699999999999</c:v>
                </c:pt>
                <c:pt idx="148">
                  <c:v>0.20555599999999999</c:v>
                </c:pt>
                <c:pt idx="149">
                  <c:v>0.20694399999999999</c:v>
                </c:pt>
                <c:pt idx="150">
                  <c:v>0.20833299999999999</c:v>
                </c:pt>
                <c:pt idx="151">
                  <c:v>0.20972199999999999</c:v>
                </c:pt>
                <c:pt idx="152">
                  <c:v>0.21111099999999999</c:v>
                </c:pt>
                <c:pt idx="153">
                  <c:v>0.21249999999999999</c:v>
                </c:pt>
                <c:pt idx="154">
                  <c:v>0.213889</c:v>
                </c:pt>
                <c:pt idx="155">
                  <c:v>0.215278</c:v>
                </c:pt>
                <c:pt idx="156">
                  <c:v>0.216667</c:v>
                </c:pt>
                <c:pt idx="157">
                  <c:v>0.218056</c:v>
                </c:pt>
                <c:pt idx="158">
                  <c:v>0.219444</c:v>
                </c:pt>
                <c:pt idx="159">
                  <c:v>0.220833</c:v>
                </c:pt>
                <c:pt idx="160">
                  <c:v>0.222222</c:v>
                </c:pt>
                <c:pt idx="161">
                  <c:v>0.223611</c:v>
                </c:pt>
                <c:pt idx="162">
                  <c:v>0.22500000000000001</c:v>
                </c:pt>
                <c:pt idx="163">
                  <c:v>0.22638900000000001</c:v>
                </c:pt>
                <c:pt idx="164">
                  <c:v>0.22777800000000001</c:v>
                </c:pt>
                <c:pt idx="165">
                  <c:v>0.22916700000000001</c:v>
                </c:pt>
                <c:pt idx="166">
                  <c:v>0.23055600000000001</c:v>
                </c:pt>
                <c:pt idx="167">
                  <c:v>0.23194400000000001</c:v>
                </c:pt>
                <c:pt idx="168">
                  <c:v>0.23333300000000001</c:v>
                </c:pt>
                <c:pt idx="169">
                  <c:v>0.23472199999999999</c:v>
                </c:pt>
                <c:pt idx="170">
                  <c:v>0.23611099999999999</c:v>
                </c:pt>
                <c:pt idx="171">
                  <c:v>0.23749999999999999</c:v>
                </c:pt>
                <c:pt idx="172">
                  <c:v>0.23888899999999999</c:v>
                </c:pt>
                <c:pt idx="173">
                  <c:v>0.24027799999999999</c:v>
                </c:pt>
                <c:pt idx="174">
                  <c:v>0.24166699999999999</c:v>
                </c:pt>
                <c:pt idx="175">
                  <c:v>0.24305599999999999</c:v>
                </c:pt>
                <c:pt idx="176">
                  <c:v>0.24444399999999999</c:v>
                </c:pt>
                <c:pt idx="177">
                  <c:v>0.245833</c:v>
                </c:pt>
                <c:pt idx="178">
                  <c:v>0.247222</c:v>
                </c:pt>
                <c:pt idx="179">
                  <c:v>0.248611</c:v>
                </c:pt>
                <c:pt idx="180">
                  <c:v>0.25</c:v>
                </c:pt>
                <c:pt idx="181">
                  <c:v>0.25138899999999997</c:v>
                </c:pt>
                <c:pt idx="182">
                  <c:v>0.252778</c:v>
                </c:pt>
                <c:pt idx="183">
                  <c:v>0.25416699999999998</c:v>
                </c:pt>
                <c:pt idx="184">
                  <c:v>0.25555600000000001</c:v>
                </c:pt>
                <c:pt idx="185">
                  <c:v>0.25694400000000001</c:v>
                </c:pt>
                <c:pt idx="186">
                  <c:v>0.25833299999999998</c:v>
                </c:pt>
                <c:pt idx="187">
                  <c:v>0.25972200000000001</c:v>
                </c:pt>
                <c:pt idx="188">
                  <c:v>0.26111099999999998</c:v>
                </c:pt>
                <c:pt idx="189">
                  <c:v>0.26250000000000001</c:v>
                </c:pt>
                <c:pt idx="190">
                  <c:v>0.26388899999999998</c:v>
                </c:pt>
                <c:pt idx="191">
                  <c:v>0.26527800000000001</c:v>
                </c:pt>
                <c:pt idx="192">
                  <c:v>0.26666699999999999</c:v>
                </c:pt>
                <c:pt idx="193">
                  <c:v>0.26805600000000002</c:v>
                </c:pt>
                <c:pt idx="194">
                  <c:v>0.26944400000000002</c:v>
                </c:pt>
                <c:pt idx="195">
                  <c:v>0.27083299999999999</c:v>
                </c:pt>
                <c:pt idx="196">
                  <c:v>0.27222200000000002</c:v>
                </c:pt>
                <c:pt idx="197">
                  <c:v>0.27361099999999999</c:v>
                </c:pt>
                <c:pt idx="198">
                  <c:v>0.27500000000000002</c:v>
                </c:pt>
                <c:pt idx="199">
                  <c:v>0.276389</c:v>
                </c:pt>
                <c:pt idx="200">
                  <c:v>0.27777800000000002</c:v>
                </c:pt>
                <c:pt idx="201">
                  <c:v>0.279167</c:v>
                </c:pt>
                <c:pt idx="202">
                  <c:v>0.28055600000000003</c:v>
                </c:pt>
                <c:pt idx="203">
                  <c:v>0.28194399999999997</c:v>
                </c:pt>
                <c:pt idx="204">
                  <c:v>0.283333</c:v>
                </c:pt>
                <c:pt idx="205">
                  <c:v>0.28472199999999998</c:v>
                </c:pt>
                <c:pt idx="206">
                  <c:v>0.286111</c:v>
                </c:pt>
                <c:pt idx="207">
                  <c:v>0.28749999999999998</c:v>
                </c:pt>
                <c:pt idx="208">
                  <c:v>0.28888900000000001</c:v>
                </c:pt>
                <c:pt idx="209">
                  <c:v>0.29027799999999998</c:v>
                </c:pt>
                <c:pt idx="210">
                  <c:v>0.29166700000000001</c:v>
                </c:pt>
                <c:pt idx="211">
                  <c:v>0.29305599999999998</c:v>
                </c:pt>
                <c:pt idx="212">
                  <c:v>0.29444399999999998</c:v>
                </c:pt>
                <c:pt idx="213">
                  <c:v>0.29583300000000001</c:v>
                </c:pt>
                <c:pt idx="214">
                  <c:v>0.29722199999999999</c:v>
                </c:pt>
                <c:pt idx="215">
                  <c:v>0.29861100000000002</c:v>
                </c:pt>
                <c:pt idx="216">
                  <c:v>0.3</c:v>
                </c:pt>
                <c:pt idx="217">
                  <c:v>0.30138900000000002</c:v>
                </c:pt>
                <c:pt idx="218">
                  <c:v>0.30277799999999999</c:v>
                </c:pt>
                <c:pt idx="219">
                  <c:v>0.30416700000000002</c:v>
                </c:pt>
                <c:pt idx="220">
                  <c:v>0.30555599999999999</c:v>
                </c:pt>
                <c:pt idx="221">
                  <c:v>0.30694399999999999</c:v>
                </c:pt>
                <c:pt idx="222">
                  <c:v>0.30833300000000002</c:v>
                </c:pt>
                <c:pt idx="223">
                  <c:v>0.309722</c:v>
                </c:pt>
                <c:pt idx="224">
                  <c:v>0.31111100000000003</c:v>
                </c:pt>
                <c:pt idx="225">
                  <c:v>0.3125</c:v>
                </c:pt>
                <c:pt idx="226">
                  <c:v>0.31388899999999997</c:v>
                </c:pt>
                <c:pt idx="227">
                  <c:v>0.315278</c:v>
                </c:pt>
                <c:pt idx="228">
                  <c:v>0.31666699999999998</c:v>
                </c:pt>
                <c:pt idx="229">
                  <c:v>0.31805600000000001</c:v>
                </c:pt>
                <c:pt idx="230">
                  <c:v>0.31944400000000001</c:v>
                </c:pt>
                <c:pt idx="231">
                  <c:v>0.32083299999999998</c:v>
                </c:pt>
                <c:pt idx="232">
                  <c:v>0.32222200000000001</c:v>
                </c:pt>
                <c:pt idx="233">
                  <c:v>0.32361099999999998</c:v>
                </c:pt>
                <c:pt idx="234">
                  <c:v>0.32500000000000001</c:v>
                </c:pt>
                <c:pt idx="235">
                  <c:v>0.32638899999999998</c:v>
                </c:pt>
                <c:pt idx="236">
                  <c:v>0.32777800000000001</c:v>
                </c:pt>
                <c:pt idx="237">
                  <c:v>0.32916699999999999</c:v>
                </c:pt>
                <c:pt idx="238">
                  <c:v>0.33055600000000002</c:v>
                </c:pt>
                <c:pt idx="239">
                  <c:v>0.33194400000000002</c:v>
                </c:pt>
                <c:pt idx="240">
                  <c:v>0.33333299999999999</c:v>
                </c:pt>
                <c:pt idx="241">
                  <c:v>0.33472200000000002</c:v>
                </c:pt>
                <c:pt idx="242">
                  <c:v>0.33611099999999999</c:v>
                </c:pt>
                <c:pt idx="243">
                  <c:v>0.33750000000000002</c:v>
                </c:pt>
                <c:pt idx="244">
                  <c:v>0.338889</c:v>
                </c:pt>
                <c:pt idx="245">
                  <c:v>0.34027800000000002</c:v>
                </c:pt>
                <c:pt idx="246">
                  <c:v>0.341667</c:v>
                </c:pt>
                <c:pt idx="247">
                  <c:v>0.34305600000000003</c:v>
                </c:pt>
                <c:pt idx="248">
                  <c:v>0.34444399999999997</c:v>
                </c:pt>
                <c:pt idx="249">
                  <c:v>0.345833</c:v>
                </c:pt>
                <c:pt idx="250">
                  <c:v>0.34722199999999998</c:v>
                </c:pt>
                <c:pt idx="251">
                  <c:v>0.348611</c:v>
                </c:pt>
                <c:pt idx="252">
                  <c:v>0.35</c:v>
                </c:pt>
                <c:pt idx="253">
                  <c:v>0.35138900000000001</c:v>
                </c:pt>
                <c:pt idx="254">
                  <c:v>0.35277799999999998</c:v>
                </c:pt>
                <c:pt idx="255">
                  <c:v>0.35416700000000001</c:v>
                </c:pt>
                <c:pt idx="256">
                  <c:v>0.35555599999999998</c:v>
                </c:pt>
                <c:pt idx="257">
                  <c:v>0.35694399999999998</c:v>
                </c:pt>
                <c:pt idx="258">
                  <c:v>0.35833300000000001</c:v>
                </c:pt>
                <c:pt idx="259">
                  <c:v>0.35972199999999999</c:v>
                </c:pt>
                <c:pt idx="260">
                  <c:v>0.36111100000000002</c:v>
                </c:pt>
                <c:pt idx="261">
                  <c:v>0.36249999999999999</c:v>
                </c:pt>
                <c:pt idx="262">
                  <c:v>0.36388900000000002</c:v>
                </c:pt>
                <c:pt idx="263">
                  <c:v>0.36527799999999999</c:v>
                </c:pt>
                <c:pt idx="264">
                  <c:v>0.36666700000000002</c:v>
                </c:pt>
                <c:pt idx="265">
                  <c:v>0.36805599999999999</c:v>
                </c:pt>
                <c:pt idx="266">
                  <c:v>0.36944399999999999</c:v>
                </c:pt>
                <c:pt idx="267">
                  <c:v>0.37083300000000002</c:v>
                </c:pt>
                <c:pt idx="268">
                  <c:v>0.372222</c:v>
                </c:pt>
                <c:pt idx="269">
                  <c:v>0.37361100000000003</c:v>
                </c:pt>
                <c:pt idx="270">
                  <c:v>0.375</c:v>
                </c:pt>
                <c:pt idx="271">
                  <c:v>0.37638899999999997</c:v>
                </c:pt>
                <c:pt idx="272">
                  <c:v>0.377778</c:v>
                </c:pt>
                <c:pt idx="273">
                  <c:v>0.37916699999999998</c:v>
                </c:pt>
                <c:pt idx="274">
                  <c:v>0.38055600000000001</c:v>
                </c:pt>
                <c:pt idx="275">
                  <c:v>0.38194400000000001</c:v>
                </c:pt>
                <c:pt idx="276">
                  <c:v>0.38333299999999998</c:v>
                </c:pt>
                <c:pt idx="277">
                  <c:v>0.38472200000000001</c:v>
                </c:pt>
                <c:pt idx="278">
                  <c:v>0.38611099999999998</c:v>
                </c:pt>
                <c:pt idx="279">
                  <c:v>0.38750000000000001</c:v>
                </c:pt>
                <c:pt idx="280">
                  <c:v>0.38888899999999998</c:v>
                </c:pt>
                <c:pt idx="281">
                  <c:v>0.39027800000000001</c:v>
                </c:pt>
                <c:pt idx="282">
                  <c:v>0.39166699999999999</c:v>
                </c:pt>
                <c:pt idx="283">
                  <c:v>0.39305600000000002</c:v>
                </c:pt>
                <c:pt idx="284">
                  <c:v>0.39444400000000002</c:v>
                </c:pt>
                <c:pt idx="285">
                  <c:v>0.39583299999999999</c:v>
                </c:pt>
                <c:pt idx="286">
                  <c:v>0.39722200000000002</c:v>
                </c:pt>
                <c:pt idx="287">
                  <c:v>0.39861099999999999</c:v>
                </c:pt>
                <c:pt idx="288">
                  <c:v>0.4</c:v>
                </c:pt>
                <c:pt idx="289">
                  <c:v>0.401389</c:v>
                </c:pt>
                <c:pt idx="290">
                  <c:v>0.40277800000000002</c:v>
                </c:pt>
                <c:pt idx="291">
                  <c:v>0.404167</c:v>
                </c:pt>
                <c:pt idx="292">
                  <c:v>0.40555600000000003</c:v>
                </c:pt>
                <c:pt idx="293">
                  <c:v>0.40694399999999997</c:v>
                </c:pt>
                <c:pt idx="294">
                  <c:v>0.408333</c:v>
                </c:pt>
                <c:pt idx="295">
                  <c:v>0.40972199999999998</c:v>
                </c:pt>
                <c:pt idx="296">
                  <c:v>0.411111</c:v>
                </c:pt>
                <c:pt idx="297">
                  <c:v>0.41249999999999998</c:v>
                </c:pt>
                <c:pt idx="298">
                  <c:v>0.41388900000000001</c:v>
                </c:pt>
                <c:pt idx="299">
                  <c:v>0.41527799999999998</c:v>
                </c:pt>
                <c:pt idx="300">
                  <c:v>0.41666700000000001</c:v>
                </c:pt>
                <c:pt idx="301">
                  <c:v>0.41805599999999998</c:v>
                </c:pt>
                <c:pt idx="302">
                  <c:v>0.41944399999999998</c:v>
                </c:pt>
                <c:pt idx="303">
                  <c:v>0.42083300000000001</c:v>
                </c:pt>
                <c:pt idx="304">
                  <c:v>0.42222199999999999</c:v>
                </c:pt>
                <c:pt idx="305">
                  <c:v>0.42361100000000002</c:v>
                </c:pt>
                <c:pt idx="306">
                  <c:v>0.42499999999999999</c:v>
                </c:pt>
                <c:pt idx="307">
                  <c:v>0.42638900000000002</c:v>
                </c:pt>
                <c:pt idx="308">
                  <c:v>0.42777799999999999</c:v>
                </c:pt>
                <c:pt idx="309">
                  <c:v>0.42916700000000002</c:v>
                </c:pt>
                <c:pt idx="310">
                  <c:v>0.43055599999999999</c:v>
                </c:pt>
                <c:pt idx="311">
                  <c:v>0.43194399999999999</c:v>
                </c:pt>
                <c:pt idx="312">
                  <c:v>0.43333300000000002</c:v>
                </c:pt>
                <c:pt idx="313">
                  <c:v>0.434722</c:v>
                </c:pt>
                <c:pt idx="314">
                  <c:v>0.43611100000000003</c:v>
                </c:pt>
                <c:pt idx="315">
                  <c:v>0.4375</c:v>
                </c:pt>
                <c:pt idx="316">
                  <c:v>0.43888899999999997</c:v>
                </c:pt>
                <c:pt idx="317">
                  <c:v>0.440278</c:v>
                </c:pt>
                <c:pt idx="318">
                  <c:v>0.44166699999999998</c:v>
                </c:pt>
                <c:pt idx="319">
                  <c:v>0.44305600000000001</c:v>
                </c:pt>
                <c:pt idx="320">
                  <c:v>0.44444400000000001</c:v>
                </c:pt>
                <c:pt idx="321">
                  <c:v>0.44583299999999998</c:v>
                </c:pt>
                <c:pt idx="322">
                  <c:v>0.44722200000000001</c:v>
                </c:pt>
                <c:pt idx="323">
                  <c:v>0.44861099999999998</c:v>
                </c:pt>
                <c:pt idx="324">
                  <c:v>0.45</c:v>
                </c:pt>
                <c:pt idx="325">
                  <c:v>0.45138899999999998</c:v>
                </c:pt>
                <c:pt idx="326">
                  <c:v>0.45277800000000001</c:v>
                </c:pt>
                <c:pt idx="327">
                  <c:v>0.45416699999999999</c:v>
                </c:pt>
                <c:pt idx="328">
                  <c:v>0.45555600000000002</c:v>
                </c:pt>
                <c:pt idx="329">
                  <c:v>0.45694400000000002</c:v>
                </c:pt>
                <c:pt idx="330">
                  <c:v>0.45833299999999999</c:v>
                </c:pt>
                <c:pt idx="331">
                  <c:v>0.45972200000000002</c:v>
                </c:pt>
                <c:pt idx="332">
                  <c:v>0.46111099999999999</c:v>
                </c:pt>
                <c:pt idx="333">
                  <c:v>0.46250000000000002</c:v>
                </c:pt>
                <c:pt idx="334">
                  <c:v>0.463889</c:v>
                </c:pt>
                <c:pt idx="335">
                  <c:v>0.46527800000000002</c:v>
                </c:pt>
                <c:pt idx="336">
                  <c:v>0.466667</c:v>
                </c:pt>
                <c:pt idx="337">
                  <c:v>0.46805600000000003</c:v>
                </c:pt>
                <c:pt idx="338">
                  <c:v>0.46944399999999997</c:v>
                </c:pt>
                <c:pt idx="339">
                  <c:v>0.470833</c:v>
                </c:pt>
                <c:pt idx="340">
                  <c:v>0.47222199999999998</c:v>
                </c:pt>
                <c:pt idx="341">
                  <c:v>0.473611</c:v>
                </c:pt>
                <c:pt idx="342">
                  <c:v>0.47499999999999998</c:v>
                </c:pt>
                <c:pt idx="343">
                  <c:v>0.47638900000000001</c:v>
                </c:pt>
                <c:pt idx="344">
                  <c:v>0.47777799999999998</c:v>
                </c:pt>
                <c:pt idx="345">
                  <c:v>0.47916700000000001</c:v>
                </c:pt>
                <c:pt idx="346">
                  <c:v>0.48055599999999998</c:v>
                </c:pt>
                <c:pt idx="347">
                  <c:v>0.48194399999999998</c:v>
                </c:pt>
                <c:pt idx="348">
                  <c:v>0.48333300000000001</c:v>
                </c:pt>
                <c:pt idx="349">
                  <c:v>0.48472199999999999</c:v>
                </c:pt>
                <c:pt idx="350">
                  <c:v>0.48611100000000002</c:v>
                </c:pt>
                <c:pt idx="351">
                  <c:v>0.48749999999999999</c:v>
                </c:pt>
                <c:pt idx="352">
                  <c:v>0.48888900000000002</c:v>
                </c:pt>
                <c:pt idx="353">
                  <c:v>0.49027799999999999</c:v>
                </c:pt>
                <c:pt idx="354">
                  <c:v>0.49166700000000002</c:v>
                </c:pt>
                <c:pt idx="355">
                  <c:v>0.49305599999999999</c:v>
                </c:pt>
                <c:pt idx="356">
                  <c:v>0.49444399999999999</c:v>
                </c:pt>
                <c:pt idx="357">
                  <c:v>0.49583300000000002</c:v>
                </c:pt>
                <c:pt idx="358">
                  <c:v>0.497222</c:v>
                </c:pt>
                <c:pt idx="359">
                  <c:v>0.49861100000000003</c:v>
                </c:pt>
                <c:pt idx="360">
                  <c:v>0.5</c:v>
                </c:pt>
                <c:pt idx="361">
                  <c:v>0.50138899999999997</c:v>
                </c:pt>
                <c:pt idx="362">
                  <c:v>0.50277799999999995</c:v>
                </c:pt>
                <c:pt idx="363">
                  <c:v>0.50416700000000003</c:v>
                </c:pt>
                <c:pt idx="364">
                  <c:v>0.50555600000000001</c:v>
                </c:pt>
                <c:pt idx="365">
                  <c:v>0.50694399999999995</c:v>
                </c:pt>
                <c:pt idx="366">
                  <c:v>0.50833300000000003</c:v>
                </c:pt>
                <c:pt idx="367">
                  <c:v>0.50972200000000001</c:v>
                </c:pt>
                <c:pt idx="368">
                  <c:v>0.51111099999999998</c:v>
                </c:pt>
                <c:pt idx="369">
                  <c:v>0.51249999999999996</c:v>
                </c:pt>
                <c:pt idx="370">
                  <c:v>0.51388900000000004</c:v>
                </c:pt>
                <c:pt idx="371">
                  <c:v>0.51527800000000001</c:v>
                </c:pt>
                <c:pt idx="372">
                  <c:v>0.51666699999999999</c:v>
                </c:pt>
                <c:pt idx="373">
                  <c:v>0.51805599999999996</c:v>
                </c:pt>
                <c:pt idx="374">
                  <c:v>0.51944400000000002</c:v>
                </c:pt>
                <c:pt idx="375">
                  <c:v>0.52083299999999999</c:v>
                </c:pt>
                <c:pt idx="376">
                  <c:v>0.52222199999999996</c:v>
                </c:pt>
                <c:pt idx="377">
                  <c:v>0.52361100000000005</c:v>
                </c:pt>
                <c:pt idx="378">
                  <c:v>0.52500000000000002</c:v>
                </c:pt>
                <c:pt idx="379">
                  <c:v>0.526389</c:v>
                </c:pt>
                <c:pt idx="380">
                  <c:v>0.52777799999999997</c:v>
                </c:pt>
                <c:pt idx="381">
                  <c:v>0.52916700000000005</c:v>
                </c:pt>
                <c:pt idx="382">
                  <c:v>0.53055600000000003</c:v>
                </c:pt>
                <c:pt idx="383">
                  <c:v>0.53194399999999997</c:v>
                </c:pt>
                <c:pt idx="384">
                  <c:v>0.53333299999999995</c:v>
                </c:pt>
                <c:pt idx="385">
                  <c:v>0.53472200000000003</c:v>
                </c:pt>
                <c:pt idx="386">
                  <c:v>0.536111</c:v>
                </c:pt>
                <c:pt idx="387">
                  <c:v>0.53749999999999998</c:v>
                </c:pt>
                <c:pt idx="388">
                  <c:v>0.53888899999999995</c:v>
                </c:pt>
                <c:pt idx="389">
                  <c:v>0.54027800000000004</c:v>
                </c:pt>
                <c:pt idx="390">
                  <c:v>0.54166700000000001</c:v>
                </c:pt>
                <c:pt idx="391">
                  <c:v>0.54305599999999998</c:v>
                </c:pt>
                <c:pt idx="392">
                  <c:v>0.54444400000000004</c:v>
                </c:pt>
                <c:pt idx="393">
                  <c:v>0.54583300000000001</c:v>
                </c:pt>
                <c:pt idx="394">
                  <c:v>0.54722199999999999</c:v>
                </c:pt>
                <c:pt idx="395">
                  <c:v>0.54861099999999996</c:v>
                </c:pt>
                <c:pt idx="396">
                  <c:v>0.55000000000000004</c:v>
                </c:pt>
                <c:pt idx="397">
                  <c:v>0.55138900000000002</c:v>
                </c:pt>
                <c:pt idx="398">
                  <c:v>0.55277799999999999</c:v>
                </c:pt>
                <c:pt idx="399">
                  <c:v>0.55416699999999997</c:v>
                </c:pt>
                <c:pt idx="400">
                  <c:v>0.55555600000000005</c:v>
                </c:pt>
                <c:pt idx="401">
                  <c:v>0.55694399999999999</c:v>
                </c:pt>
                <c:pt idx="402">
                  <c:v>0.55833299999999997</c:v>
                </c:pt>
                <c:pt idx="403">
                  <c:v>0.55972200000000005</c:v>
                </c:pt>
                <c:pt idx="404">
                  <c:v>0.56111100000000003</c:v>
                </c:pt>
                <c:pt idx="405">
                  <c:v>0.5625</c:v>
                </c:pt>
                <c:pt idx="406">
                  <c:v>0.56388899999999997</c:v>
                </c:pt>
                <c:pt idx="407">
                  <c:v>0.56527799999999995</c:v>
                </c:pt>
                <c:pt idx="408">
                  <c:v>0.56666700000000003</c:v>
                </c:pt>
                <c:pt idx="409">
                  <c:v>0.56805600000000001</c:v>
                </c:pt>
                <c:pt idx="410">
                  <c:v>0.56944399999999995</c:v>
                </c:pt>
                <c:pt idx="411">
                  <c:v>0.57083300000000003</c:v>
                </c:pt>
                <c:pt idx="412">
                  <c:v>0.57222200000000001</c:v>
                </c:pt>
                <c:pt idx="413">
                  <c:v>0.57361099999999998</c:v>
                </c:pt>
                <c:pt idx="414">
                  <c:v>0.57499999999999996</c:v>
                </c:pt>
                <c:pt idx="415">
                  <c:v>0.57638900000000004</c:v>
                </c:pt>
                <c:pt idx="416">
                  <c:v>0.57777800000000001</c:v>
                </c:pt>
                <c:pt idx="417">
                  <c:v>0.57916699999999999</c:v>
                </c:pt>
                <c:pt idx="418">
                  <c:v>0.58055599999999996</c:v>
                </c:pt>
                <c:pt idx="419">
                  <c:v>0.58194400000000002</c:v>
                </c:pt>
                <c:pt idx="420">
                  <c:v>0.58333299999999999</c:v>
                </c:pt>
                <c:pt idx="421">
                  <c:v>0.58472199999999996</c:v>
                </c:pt>
                <c:pt idx="422">
                  <c:v>0.58611100000000005</c:v>
                </c:pt>
                <c:pt idx="423">
                  <c:v>0.58750000000000002</c:v>
                </c:pt>
                <c:pt idx="424">
                  <c:v>0.588889</c:v>
                </c:pt>
                <c:pt idx="425">
                  <c:v>0.59027799999999997</c:v>
                </c:pt>
                <c:pt idx="426">
                  <c:v>0.59166700000000005</c:v>
                </c:pt>
                <c:pt idx="427">
                  <c:v>0.59305600000000003</c:v>
                </c:pt>
                <c:pt idx="428">
                  <c:v>0.59444399999999997</c:v>
                </c:pt>
                <c:pt idx="429">
                  <c:v>0.59583299999999995</c:v>
                </c:pt>
                <c:pt idx="430">
                  <c:v>0.59722200000000003</c:v>
                </c:pt>
                <c:pt idx="431">
                  <c:v>0.598611</c:v>
                </c:pt>
                <c:pt idx="432">
                  <c:v>0.6</c:v>
                </c:pt>
                <c:pt idx="433">
                  <c:v>0.60138899999999995</c:v>
                </c:pt>
                <c:pt idx="434">
                  <c:v>0.60277800000000004</c:v>
                </c:pt>
                <c:pt idx="435">
                  <c:v>0.60416700000000001</c:v>
                </c:pt>
                <c:pt idx="436">
                  <c:v>0.60555599999999998</c:v>
                </c:pt>
                <c:pt idx="437">
                  <c:v>0.60694400000000004</c:v>
                </c:pt>
                <c:pt idx="438">
                  <c:v>0.60833300000000001</c:v>
                </c:pt>
                <c:pt idx="439">
                  <c:v>0.60972199999999999</c:v>
                </c:pt>
                <c:pt idx="440">
                  <c:v>0.61111099999999996</c:v>
                </c:pt>
                <c:pt idx="441">
                  <c:v>0.61250000000000004</c:v>
                </c:pt>
                <c:pt idx="442">
                  <c:v>0.61388900000000002</c:v>
                </c:pt>
                <c:pt idx="443">
                  <c:v>0.61527799999999999</c:v>
                </c:pt>
                <c:pt idx="444">
                  <c:v>0.61666699999999997</c:v>
                </c:pt>
                <c:pt idx="445">
                  <c:v>0.61805600000000005</c:v>
                </c:pt>
                <c:pt idx="446">
                  <c:v>0.61944399999999999</c:v>
                </c:pt>
                <c:pt idx="447">
                  <c:v>0.62083299999999997</c:v>
                </c:pt>
                <c:pt idx="448">
                  <c:v>0.62222200000000005</c:v>
                </c:pt>
                <c:pt idx="449">
                  <c:v>0.62361100000000003</c:v>
                </c:pt>
                <c:pt idx="450">
                  <c:v>0.625</c:v>
                </c:pt>
                <c:pt idx="451">
                  <c:v>0.62638899999999997</c:v>
                </c:pt>
                <c:pt idx="452">
                  <c:v>0.62777799999999995</c:v>
                </c:pt>
                <c:pt idx="453">
                  <c:v>0.62916700000000003</c:v>
                </c:pt>
                <c:pt idx="454">
                  <c:v>0.63055600000000001</c:v>
                </c:pt>
                <c:pt idx="455">
                  <c:v>0.63194399999999995</c:v>
                </c:pt>
                <c:pt idx="456">
                  <c:v>0.63333300000000003</c:v>
                </c:pt>
                <c:pt idx="457">
                  <c:v>0.63472200000000001</c:v>
                </c:pt>
                <c:pt idx="458">
                  <c:v>0.63611099999999998</c:v>
                </c:pt>
                <c:pt idx="459">
                  <c:v>0.63749999999999996</c:v>
                </c:pt>
                <c:pt idx="460">
                  <c:v>0.63888900000000004</c:v>
                </c:pt>
                <c:pt idx="461">
                  <c:v>0.64027800000000001</c:v>
                </c:pt>
                <c:pt idx="462">
                  <c:v>0.64166699999999999</c:v>
                </c:pt>
                <c:pt idx="463">
                  <c:v>0.64305599999999996</c:v>
                </c:pt>
                <c:pt idx="464">
                  <c:v>0.64444400000000002</c:v>
                </c:pt>
                <c:pt idx="465">
                  <c:v>0.64583299999999999</c:v>
                </c:pt>
                <c:pt idx="466">
                  <c:v>0.64722199999999996</c:v>
                </c:pt>
                <c:pt idx="467">
                  <c:v>0.64861100000000005</c:v>
                </c:pt>
                <c:pt idx="468">
                  <c:v>0.65</c:v>
                </c:pt>
                <c:pt idx="469">
                  <c:v>0.651389</c:v>
                </c:pt>
                <c:pt idx="470">
                  <c:v>0.65277799999999997</c:v>
                </c:pt>
                <c:pt idx="471">
                  <c:v>0.65416700000000005</c:v>
                </c:pt>
                <c:pt idx="472">
                  <c:v>0.65555600000000003</c:v>
                </c:pt>
                <c:pt idx="473">
                  <c:v>0.65694399999999997</c:v>
                </c:pt>
                <c:pt idx="474">
                  <c:v>0.65833299999999995</c:v>
                </c:pt>
                <c:pt idx="475">
                  <c:v>0.65972200000000003</c:v>
                </c:pt>
                <c:pt idx="476">
                  <c:v>0.661111</c:v>
                </c:pt>
                <c:pt idx="477">
                  <c:v>0.66249999999999998</c:v>
                </c:pt>
                <c:pt idx="478">
                  <c:v>0.66388899999999995</c:v>
                </c:pt>
                <c:pt idx="479">
                  <c:v>0.66527800000000004</c:v>
                </c:pt>
                <c:pt idx="480">
                  <c:v>0.66666700000000001</c:v>
                </c:pt>
                <c:pt idx="481">
                  <c:v>0.66805599999999998</c:v>
                </c:pt>
                <c:pt idx="482">
                  <c:v>0.66944400000000004</c:v>
                </c:pt>
                <c:pt idx="483">
                  <c:v>0.67083300000000001</c:v>
                </c:pt>
                <c:pt idx="484">
                  <c:v>0.67222199999999999</c:v>
                </c:pt>
                <c:pt idx="485">
                  <c:v>0.67361099999999996</c:v>
                </c:pt>
                <c:pt idx="486">
                  <c:v>0.67500000000000004</c:v>
                </c:pt>
                <c:pt idx="487">
                  <c:v>0.67638900000000002</c:v>
                </c:pt>
                <c:pt idx="488">
                  <c:v>0.67777799999999999</c:v>
                </c:pt>
                <c:pt idx="489">
                  <c:v>0.67916699999999997</c:v>
                </c:pt>
                <c:pt idx="490">
                  <c:v>0.68055600000000005</c:v>
                </c:pt>
                <c:pt idx="491">
                  <c:v>0.68194399999999999</c:v>
                </c:pt>
                <c:pt idx="492">
                  <c:v>0.68333299999999997</c:v>
                </c:pt>
                <c:pt idx="493">
                  <c:v>0.68472200000000005</c:v>
                </c:pt>
                <c:pt idx="494">
                  <c:v>0.68611100000000003</c:v>
                </c:pt>
                <c:pt idx="495">
                  <c:v>0.6875</c:v>
                </c:pt>
                <c:pt idx="496">
                  <c:v>0.68888899999999997</c:v>
                </c:pt>
                <c:pt idx="497">
                  <c:v>0.69027799999999995</c:v>
                </c:pt>
                <c:pt idx="498">
                  <c:v>0.69166700000000003</c:v>
                </c:pt>
                <c:pt idx="499">
                  <c:v>0.69305600000000001</c:v>
                </c:pt>
                <c:pt idx="500">
                  <c:v>0.69444399999999995</c:v>
                </c:pt>
                <c:pt idx="501">
                  <c:v>0.69583300000000003</c:v>
                </c:pt>
                <c:pt idx="502">
                  <c:v>0.69722200000000001</c:v>
                </c:pt>
                <c:pt idx="503">
                  <c:v>0.69861099999999998</c:v>
                </c:pt>
                <c:pt idx="504">
                  <c:v>0.7</c:v>
                </c:pt>
                <c:pt idx="505">
                  <c:v>0.70138900000000004</c:v>
                </c:pt>
                <c:pt idx="506">
                  <c:v>0.70277800000000001</c:v>
                </c:pt>
                <c:pt idx="507">
                  <c:v>0.70416699999999999</c:v>
                </c:pt>
                <c:pt idx="508">
                  <c:v>0.70555599999999996</c:v>
                </c:pt>
                <c:pt idx="509">
                  <c:v>0.70694400000000002</c:v>
                </c:pt>
                <c:pt idx="510">
                  <c:v>0.70833299999999999</c:v>
                </c:pt>
                <c:pt idx="511">
                  <c:v>0.70972199999999996</c:v>
                </c:pt>
                <c:pt idx="512">
                  <c:v>0.71111100000000005</c:v>
                </c:pt>
                <c:pt idx="513">
                  <c:v>0.71250000000000002</c:v>
                </c:pt>
                <c:pt idx="514">
                  <c:v>0.713889</c:v>
                </c:pt>
                <c:pt idx="515">
                  <c:v>0.71527799999999997</c:v>
                </c:pt>
                <c:pt idx="516">
                  <c:v>0.71666700000000005</c:v>
                </c:pt>
                <c:pt idx="517">
                  <c:v>0.71805600000000003</c:v>
                </c:pt>
                <c:pt idx="518">
                  <c:v>0.71944399999999997</c:v>
                </c:pt>
                <c:pt idx="519">
                  <c:v>0.72083299999999995</c:v>
                </c:pt>
                <c:pt idx="520">
                  <c:v>0.72222200000000003</c:v>
                </c:pt>
                <c:pt idx="521">
                  <c:v>0.723611</c:v>
                </c:pt>
                <c:pt idx="522">
                  <c:v>0.72499999999999998</c:v>
                </c:pt>
                <c:pt idx="523">
                  <c:v>0.72638899999999995</c:v>
                </c:pt>
                <c:pt idx="524">
                  <c:v>0.72777800000000004</c:v>
                </c:pt>
                <c:pt idx="525">
                  <c:v>0.72916700000000001</c:v>
                </c:pt>
                <c:pt idx="526">
                  <c:v>0.73055599999999998</c:v>
                </c:pt>
                <c:pt idx="527">
                  <c:v>0.73194400000000004</c:v>
                </c:pt>
                <c:pt idx="528">
                  <c:v>0.73333300000000001</c:v>
                </c:pt>
                <c:pt idx="529">
                  <c:v>0.73472199999999999</c:v>
                </c:pt>
                <c:pt idx="530">
                  <c:v>0.73611099999999996</c:v>
                </c:pt>
                <c:pt idx="531">
                  <c:v>0.73750000000000004</c:v>
                </c:pt>
                <c:pt idx="532">
                  <c:v>0.73888900000000002</c:v>
                </c:pt>
                <c:pt idx="533">
                  <c:v>0.74027799999999999</c:v>
                </c:pt>
                <c:pt idx="534">
                  <c:v>0.74166699999999997</c:v>
                </c:pt>
                <c:pt idx="535">
                  <c:v>0.74305600000000005</c:v>
                </c:pt>
                <c:pt idx="536">
                  <c:v>0.74444399999999999</c:v>
                </c:pt>
                <c:pt idx="537">
                  <c:v>0.74583299999999997</c:v>
                </c:pt>
                <c:pt idx="538">
                  <c:v>0.74722200000000005</c:v>
                </c:pt>
                <c:pt idx="539">
                  <c:v>0.74861100000000003</c:v>
                </c:pt>
                <c:pt idx="540">
                  <c:v>0.75</c:v>
                </c:pt>
                <c:pt idx="541">
                  <c:v>0.75138899999999997</c:v>
                </c:pt>
                <c:pt idx="542">
                  <c:v>0.75277799999999995</c:v>
                </c:pt>
                <c:pt idx="543">
                  <c:v>0.75416700000000003</c:v>
                </c:pt>
                <c:pt idx="544">
                  <c:v>0.75555600000000001</c:v>
                </c:pt>
                <c:pt idx="545">
                  <c:v>0.75694399999999995</c:v>
                </c:pt>
                <c:pt idx="546">
                  <c:v>0.75833300000000003</c:v>
                </c:pt>
                <c:pt idx="547">
                  <c:v>0.75972200000000001</c:v>
                </c:pt>
                <c:pt idx="548">
                  <c:v>0.76111099999999998</c:v>
                </c:pt>
                <c:pt idx="549">
                  <c:v>0.76249999999999996</c:v>
                </c:pt>
                <c:pt idx="550">
                  <c:v>0.76388900000000004</c:v>
                </c:pt>
                <c:pt idx="551">
                  <c:v>0.76527800000000001</c:v>
                </c:pt>
                <c:pt idx="552">
                  <c:v>0.76666699999999999</c:v>
                </c:pt>
                <c:pt idx="553">
                  <c:v>0.76805599999999996</c:v>
                </c:pt>
                <c:pt idx="554">
                  <c:v>0.76944400000000002</c:v>
                </c:pt>
                <c:pt idx="555">
                  <c:v>0.77083299999999999</c:v>
                </c:pt>
                <c:pt idx="556">
                  <c:v>0.77222199999999996</c:v>
                </c:pt>
                <c:pt idx="557">
                  <c:v>0.77361100000000005</c:v>
                </c:pt>
                <c:pt idx="558">
                  <c:v>0.77500000000000002</c:v>
                </c:pt>
                <c:pt idx="559">
                  <c:v>0.776389</c:v>
                </c:pt>
                <c:pt idx="560">
                  <c:v>0.77777799999999997</c:v>
                </c:pt>
                <c:pt idx="561">
                  <c:v>0.77916700000000005</c:v>
                </c:pt>
                <c:pt idx="562">
                  <c:v>0.78055600000000003</c:v>
                </c:pt>
                <c:pt idx="563">
                  <c:v>0.78194399999999997</c:v>
                </c:pt>
                <c:pt idx="564">
                  <c:v>0.78333299999999995</c:v>
                </c:pt>
                <c:pt idx="565">
                  <c:v>0.78472200000000003</c:v>
                </c:pt>
                <c:pt idx="566">
                  <c:v>0.786111</c:v>
                </c:pt>
                <c:pt idx="567">
                  <c:v>0.78749999999999998</c:v>
                </c:pt>
                <c:pt idx="568">
                  <c:v>0.78888899999999995</c:v>
                </c:pt>
                <c:pt idx="569">
                  <c:v>0.79027800000000004</c:v>
                </c:pt>
                <c:pt idx="570">
                  <c:v>0.79166700000000001</c:v>
                </c:pt>
                <c:pt idx="571">
                  <c:v>0.79305599999999998</c:v>
                </c:pt>
                <c:pt idx="572">
                  <c:v>0.79444400000000004</c:v>
                </c:pt>
                <c:pt idx="573">
                  <c:v>0.79583300000000001</c:v>
                </c:pt>
                <c:pt idx="574">
                  <c:v>0.79722199999999999</c:v>
                </c:pt>
                <c:pt idx="575">
                  <c:v>0.79861099999999996</c:v>
                </c:pt>
                <c:pt idx="576">
                  <c:v>0.8</c:v>
                </c:pt>
                <c:pt idx="577">
                  <c:v>0.80138900000000002</c:v>
                </c:pt>
                <c:pt idx="578">
                  <c:v>0.80277799999999999</c:v>
                </c:pt>
                <c:pt idx="579">
                  <c:v>0.80416699999999997</c:v>
                </c:pt>
                <c:pt idx="580">
                  <c:v>0.80555600000000005</c:v>
                </c:pt>
                <c:pt idx="581">
                  <c:v>0.80694399999999999</c:v>
                </c:pt>
                <c:pt idx="582">
                  <c:v>0.80833299999999997</c:v>
                </c:pt>
                <c:pt idx="583">
                  <c:v>0.80972200000000005</c:v>
                </c:pt>
                <c:pt idx="584">
                  <c:v>0.81111100000000003</c:v>
                </c:pt>
                <c:pt idx="585">
                  <c:v>0.8125</c:v>
                </c:pt>
                <c:pt idx="586">
                  <c:v>0.81388899999999997</c:v>
                </c:pt>
                <c:pt idx="587">
                  <c:v>0.81527799999999995</c:v>
                </c:pt>
                <c:pt idx="588">
                  <c:v>0.81666700000000003</c:v>
                </c:pt>
                <c:pt idx="589">
                  <c:v>0.81805600000000001</c:v>
                </c:pt>
                <c:pt idx="590">
                  <c:v>0.81944399999999995</c:v>
                </c:pt>
                <c:pt idx="591">
                  <c:v>0.82083300000000003</c:v>
                </c:pt>
                <c:pt idx="592">
                  <c:v>0.82222200000000001</c:v>
                </c:pt>
                <c:pt idx="593">
                  <c:v>0.82361099999999998</c:v>
                </c:pt>
                <c:pt idx="594">
                  <c:v>0.82499999999999996</c:v>
                </c:pt>
                <c:pt idx="595">
                  <c:v>0.82638900000000004</c:v>
                </c:pt>
                <c:pt idx="596">
                  <c:v>0.82777800000000001</c:v>
                </c:pt>
                <c:pt idx="597">
                  <c:v>0.82916699999999999</c:v>
                </c:pt>
                <c:pt idx="598">
                  <c:v>0.83055599999999996</c:v>
                </c:pt>
                <c:pt idx="599">
                  <c:v>0.83194400000000002</c:v>
                </c:pt>
                <c:pt idx="600">
                  <c:v>0.83333299999999999</c:v>
                </c:pt>
                <c:pt idx="601">
                  <c:v>0.83472199999999996</c:v>
                </c:pt>
                <c:pt idx="602">
                  <c:v>0.83611100000000005</c:v>
                </c:pt>
                <c:pt idx="603">
                  <c:v>0.83750000000000002</c:v>
                </c:pt>
                <c:pt idx="604">
                  <c:v>0.838889</c:v>
                </c:pt>
                <c:pt idx="605">
                  <c:v>0.84027799999999997</c:v>
                </c:pt>
                <c:pt idx="606">
                  <c:v>0.84166700000000005</c:v>
                </c:pt>
                <c:pt idx="607">
                  <c:v>0.84305600000000003</c:v>
                </c:pt>
                <c:pt idx="608">
                  <c:v>0.84444399999999997</c:v>
                </c:pt>
                <c:pt idx="609">
                  <c:v>0.84583299999999995</c:v>
                </c:pt>
                <c:pt idx="610">
                  <c:v>0.84722200000000003</c:v>
                </c:pt>
                <c:pt idx="611">
                  <c:v>0.848611</c:v>
                </c:pt>
                <c:pt idx="612">
                  <c:v>0.85</c:v>
                </c:pt>
                <c:pt idx="613">
                  <c:v>0.85138899999999995</c:v>
                </c:pt>
                <c:pt idx="614">
                  <c:v>0.85277800000000004</c:v>
                </c:pt>
                <c:pt idx="615">
                  <c:v>0.85416700000000001</c:v>
                </c:pt>
                <c:pt idx="616">
                  <c:v>0.85555599999999998</c:v>
                </c:pt>
                <c:pt idx="617">
                  <c:v>0.85694400000000004</c:v>
                </c:pt>
                <c:pt idx="618">
                  <c:v>0.85833300000000001</c:v>
                </c:pt>
                <c:pt idx="619">
                  <c:v>0.85972199999999999</c:v>
                </c:pt>
                <c:pt idx="620">
                  <c:v>0.86111099999999996</c:v>
                </c:pt>
                <c:pt idx="621">
                  <c:v>0.86250000000000004</c:v>
                </c:pt>
                <c:pt idx="622">
                  <c:v>0.86388900000000002</c:v>
                </c:pt>
                <c:pt idx="623">
                  <c:v>0.86527799999999999</c:v>
                </c:pt>
                <c:pt idx="624">
                  <c:v>0.86666699999999997</c:v>
                </c:pt>
                <c:pt idx="625">
                  <c:v>0.86805600000000005</c:v>
                </c:pt>
                <c:pt idx="626">
                  <c:v>0.86944399999999999</c:v>
                </c:pt>
                <c:pt idx="627">
                  <c:v>0.87083299999999997</c:v>
                </c:pt>
                <c:pt idx="628">
                  <c:v>0.87222200000000005</c:v>
                </c:pt>
                <c:pt idx="629">
                  <c:v>0.87361100000000003</c:v>
                </c:pt>
                <c:pt idx="630">
                  <c:v>0.875</c:v>
                </c:pt>
                <c:pt idx="631">
                  <c:v>0.87638899999999997</c:v>
                </c:pt>
                <c:pt idx="632">
                  <c:v>0.87777799999999995</c:v>
                </c:pt>
                <c:pt idx="633">
                  <c:v>0.87916700000000003</c:v>
                </c:pt>
                <c:pt idx="634">
                  <c:v>0.88055600000000001</c:v>
                </c:pt>
                <c:pt idx="635">
                  <c:v>0.88194399999999995</c:v>
                </c:pt>
                <c:pt idx="636">
                  <c:v>0.88333300000000003</c:v>
                </c:pt>
                <c:pt idx="637">
                  <c:v>0.88472200000000001</c:v>
                </c:pt>
                <c:pt idx="638">
                  <c:v>0.88611099999999998</c:v>
                </c:pt>
                <c:pt idx="639">
                  <c:v>0.88749999999999996</c:v>
                </c:pt>
                <c:pt idx="640">
                  <c:v>0.88888900000000004</c:v>
                </c:pt>
                <c:pt idx="641">
                  <c:v>0.89027800000000001</c:v>
                </c:pt>
                <c:pt idx="642">
                  <c:v>0.89166699999999999</c:v>
                </c:pt>
                <c:pt idx="643">
                  <c:v>0.89305599999999996</c:v>
                </c:pt>
                <c:pt idx="644">
                  <c:v>0.89444400000000002</c:v>
                </c:pt>
                <c:pt idx="645">
                  <c:v>0.89583299999999999</c:v>
                </c:pt>
                <c:pt idx="646">
                  <c:v>0.89722199999999996</c:v>
                </c:pt>
                <c:pt idx="647">
                  <c:v>0.89861100000000005</c:v>
                </c:pt>
                <c:pt idx="648">
                  <c:v>0.9</c:v>
                </c:pt>
                <c:pt idx="649">
                  <c:v>0.901389</c:v>
                </c:pt>
                <c:pt idx="650">
                  <c:v>0.90277799999999997</c:v>
                </c:pt>
                <c:pt idx="651">
                  <c:v>0.90416700000000005</c:v>
                </c:pt>
                <c:pt idx="652">
                  <c:v>0.90555600000000003</c:v>
                </c:pt>
                <c:pt idx="653">
                  <c:v>0.90694399999999997</c:v>
                </c:pt>
                <c:pt idx="654">
                  <c:v>0.90833299999999995</c:v>
                </c:pt>
                <c:pt idx="655">
                  <c:v>0.90972200000000003</c:v>
                </c:pt>
                <c:pt idx="656">
                  <c:v>0.911111</c:v>
                </c:pt>
                <c:pt idx="657">
                  <c:v>0.91249999999999998</c:v>
                </c:pt>
                <c:pt idx="658">
                  <c:v>0.91388899999999995</c:v>
                </c:pt>
                <c:pt idx="659">
                  <c:v>0.91527800000000004</c:v>
                </c:pt>
                <c:pt idx="660">
                  <c:v>0.91666700000000001</c:v>
                </c:pt>
                <c:pt idx="661">
                  <c:v>0.91805599999999998</c:v>
                </c:pt>
                <c:pt idx="662">
                  <c:v>0.91944400000000004</c:v>
                </c:pt>
                <c:pt idx="663">
                  <c:v>0.92083300000000001</c:v>
                </c:pt>
                <c:pt idx="664">
                  <c:v>0.92222199999999999</c:v>
                </c:pt>
                <c:pt idx="665">
                  <c:v>0.92361099999999996</c:v>
                </c:pt>
                <c:pt idx="666">
                  <c:v>0.92500000000000004</c:v>
                </c:pt>
                <c:pt idx="667">
                  <c:v>0.92638900000000002</c:v>
                </c:pt>
                <c:pt idx="668">
                  <c:v>0.92777799999999999</c:v>
                </c:pt>
                <c:pt idx="669">
                  <c:v>0.92916699999999997</c:v>
                </c:pt>
                <c:pt idx="670">
                  <c:v>0.93055600000000005</c:v>
                </c:pt>
                <c:pt idx="671">
                  <c:v>0.93194399999999999</c:v>
                </c:pt>
                <c:pt idx="672">
                  <c:v>0.93333299999999997</c:v>
                </c:pt>
                <c:pt idx="673">
                  <c:v>0.93472200000000005</c:v>
                </c:pt>
                <c:pt idx="674">
                  <c:v>0.93611100000000003</c:v>
                </c:pt>
                <c:pt idx="675">
                  <c:v>0.9375</c:v>
                </c:pt>
                <c:pt idx="676">
                  <c:v>0.93888899999999997</c:v>
                </c:pt>
                <c:pt idx="677">
                  <c:v>0.94027799999999995</c:v>
                </c:pt>
                <c:pt idx="678">
                  <c:v>0.94166700000000003</c:v>
                </c:pt>
                <c:pt idx="679">
                  <c:v>0.94305600000000001</c:v>
                </c:pt>
                <c:pt idx="680">
                  <c:v>0.94444399999999995</c:v>
                </c:pt>
                <c:pt idx="681">
                  <c:v>0.94583300000000003</c:v>
                </c:pt>
                <c:pt idx="682">
                  <c:v>0.94722200000000001</c:v>
                </c:pt>
                <c:pt idx="683">
                  <c:v>0.94861099999999998</c:v>
                </c:pt>
                <c:pt idx="684">
                  <c:v>0.95</c:v>
                </c:pt>
                <c:pt idx="685">
                  <c:v>0.95138900000000004</c:v>
                </c:pt>
                <c:pt idx="686">
                  <c:v>0.95277800000000001</c:v>
                </c:pt>
                <c:pt idx="687">
                  <c:v>0.95416699999999999</c:v>
                </c:pt>
                <c:pt idx="688">
                  <c:v>0.95555599999999996</c:v>
                </c:pt>
                <c:pt idx="689">
                  <c:v>0.95694400000000002</c:v>
                </c:pt>
                <c:pt idx="690">
                  <c:v>0.95833299999999999</c:v>
                </c:pt>
                <c:pt idx="691">
                  <c:v>0.95972199999999996</c:v>
                </c:pt>
                <c:pt idx="692">
                  <c:v>0.96111100000000005</c:v>
                </c:pt>
                <c:pt idx="693">
                  <c:v>0.96250000000000002</c:v>
                </c:pt>
                <c:pt idx="694">
                  <c:v>0.963889</c:v>
                </c:pt>
                <c:pt idx="695">
                  <c:v>0.96527799999999997</c:v>
                </c:pt>
                <c:pt idx="696">
                  <c:v>0.96666700000000005</c:v>
                </c:pt>
                <c:pt idx="697">
                  <c:v>0.96805600000000003</c:v>
                </c:pt>
                <c:pt idx="698">
                  <c:v>0.96944399999999997</c:v>
                </c:pt>
                <c:pt idx="699">
                  <c:v>0.97083299999999995</c:v>
                </c:pt>
                <c:pt idx="700">
                  <c:v>0.97222200000000003</c:v>
                </c:pt>
                <c:pt idx="701">
                  <c:v>0.973611</c:v>
                </c:pt>
                <c:pt idx="702">
                  <c:v>0.97499999999999998</c:v>
                </c:pt>
                <c:pt idx="703">
                  <c:v>0.97638899999999995</c:v>
                </c:pt>
                <c:pt idx="704">
                  <c:v>0.97777800000000004</c:v>
                </c:pt>
                <c:pt idx="705">
                  <c:v>0.97916700000000001</c:v>
                </c:pt>
                <c:pt idx="706">
                  <c:v>0.98055599999999998</c:v>
                </c:pt>
                <c:pt idx="707">
                  <c:v>0.98194400000000004</c:v>
                </c:pt>
                <c:pt idx="708">
                  <c:v>0.98333300000000001</c:v>
                </c:pt>
                <c:pt idx="709">
                  <c:v>0.98472199999999999</c:v>
                </c:pt>
                <c:pt idx="710">
                  <c:v>0.98611099999999996</c:v>
                </c:pt>
                <c:pt idx="711">
                  <c:v>0.98750000000000004</c:v>
                </c:pt>
                <c:pt idx="712">
                  <c:v>0.98888900000000002</c:v>
                </c:pt>
                <c:pt idx="713">
                  <c:v>0.99027799999999999</c:v>
                </c:pt>
                <c:pt idx="714">
                  <c:v>0.99166699999999997</c:v>
                </c:pt>
                <c:pt idx="715">
                  <c:v>0.99305600000000005</c:v>
                </c:pt>
                <c:pt idx="716">
                  <c:v>0.99444399999999999</c:v>
                </c:pt>
                <c:pt idx="717">
                  <c:v>0.99583299999999997</c:v>
                </c:pt>
                <c:pt idx="718">
                  <c:v>0.99722200000000005</c:v>
                </c:pt>
                <c:pt idx="719">
                  <c:v>0.99861100000000003</c:v>
                </c:pt>
                <c:pt idx="720">
                  <c:v>1</c:v>
                </c:pt>
                <c:pt idx="721">
                  <c:v>1.0013890000000001</c:v>
                </c:pt>
                <c:pt idx="722">
                  <c:v>1.0027779999999999</c:v>
                </c:pt>
                <c:pt idx="723">
                  <c:v>1.004167</c:v>
                </c:pt>
                <c:pt idx="724">
                  <c:v>1.0055559999999999</c:v>
                </c:pt>
                <c:pt idx="725">
                  <c:v>1.0069440000000001</c:v>
                </c:pt>
                <c:pt idx="726">
                  <c:v>1.0083329999999999</c:v>
                </c:pt>
                <c:pt idx="727">
                  <c:v>1.009722</c:v>
                </c:pt>
                <c:pt idx="728">
                  <c:v>1.0111110000000001</c:v>
                </c:pt>
                <c:pt idx="729">
                  <c:v>1.0125</c:v>
                </c:pt>
                <c:pt idx="730">
                  <c:v>1.013889</c:v>
                </c:pt>
                <c:pt idx="731">
                  <c:v>1.0152779999999999</c:v>
                </c:pt>
                <c:pt idx="732">
                  <c:v>1.016667</c:v>
                </c:pt>
                <c:pt idx="733">
                  <c:v>1.0180560000000001</c:v>
                </c:pt>
                <c:pt idx="734">
                  <c:v>1.019444</c:v>
                </c:pt>
                <c:pt idx="735">
                  <c:v>1.0208330000000001</c:v>
                </c:pt>
                <c:pt idx="736">
                  <c:v>1.022222</c:v>
                </c:pt>
                <c:pt idx="737">
                  <c:v>1.023611</c:v>
                </c:pt>
                <c:pt idx="738">
                  <c:v>1.0249999999999999</c:v>
                </c:pt>
                <c:pt idx="739">
                  <c:v>1.026389</c:v>
                </c:pt>
                <c:pt idx="740">
                  <c:v>1.0277780000000001</c:v>
                </c:pt>
                <c:pt idx="741">
                  <c:v>1.0291669999999999</c:v>
                </c:pt>
                <c:pt idx="742">
                  <c:v>1.030556</c:v>
                </c:pt>
                <c:pt idx="743">
                  <c:v>1.031944</c:v>
                </c:pt>
                <c:pt idx="744">
                  <c:v>1.0333330000000001</c:v>
                </c:pt>
                <c:pt idx="745">
                  <c:v>1.0347219999999999</c:v>
                </c:pt>
                <c:pt idx="746">
                  <c:v>1.036111</c:v>
                </c:pt>
                <c:pt idx="747">
                  <c:v>1.0375000000000001</c:v>
                </c:pt>
                <c:pt idx="748">
                  <c:v>1.038889</c:v>
                </c:pt>
                <c:pt idx="749">
                  <c:v>1.040278</c:v>
                </c:pt>
                <c:pt idx="750">
                  <c:v>1.0416669999999999</c:v>
                </c:pt>
                <c:pt idx="751">
                  <c:v>1.043056</c:v>
                </c:pt>
                <c:pt idx="752">
                  <c:v>1.0444439999999999</c:v>
                </c:pt>
                <c:pt idx="753">
                  <c:v>1.045833</c:v>
                </c:pt>
                <c:pt idx="754">
                  <c:v>1.0472220000000001</c:v>
                </c:pt>
                <c:pt idx="755">
                  <c:v>1.048611</c:v>
                </c:pt>
                <c:pt idx="756">
                  <c:v>1.05</c:v>
                </c:pt>
                <c:pt idx="757">
                  <c:v>1.0513889999999999</c:v>
                </c:pt>
                <c:pt idx="758">
                  <c:v>1.052778</c:v>
                </c:pt>
                <c:pt idx="759">
                  <c:v>1.0541670000000001</c:v>
                </c:pt>
                <c:pt idx="760">
                  <c:v>1.0555559999999999</c:v>
                </c:pt>
                <c:pt idx="761">
                  <c:v>1.0569440000000001</c:v>
                </c:pt>
                <c:pt idx="762">
                  <c:v>1.058333</c:v>
                </c:pt>
                <c:pt idx="763">
                  <c:v>1.0597220000000001</c:v>
                </c:pt>
                <c:pt idx="764">
                  <c:v>1.0611109999999999</c:v>
                </c:pt>
                <c:pt idx="765">
                  <c:v>1.0625</c:v>
                </c:pt>
                <c:pt idx="766">
                  <c:v>1.0638890000000001</c:v>
                </c:pt>
                <c:pt idx="767">
                  <c:v>1.0652779999999999</c:v>
                </c:pt>
                <c:pt idx="768">
                  <c:v>1.066667</c:v>
                </c:pt>
                <c:pt idx="769">
                  <c:v>1.0680559999999999</c:v>
                </c:pt>
                <c:pt idx="770">
                  <c:v>1.0694440000000001</c:v>
                </c:pt>
                <c:pt idx="771">
                  <c:v>1.0708329999999999</c:v>
                </c:pt>
                <c:pt idx="772">
                  <c:v>1.072222</c:v>
                </c:pt>
                <c:pt idx="773">
                  <c:v>1.0736110000000001</c:v>
                </c:pt>
                <c:pt idx="774">
                  <c:v>1.075</c:v>
                </c:pt>
                <c:pt idx="775">
                  <c:v>1.076389</c:v>
                </c:pt>
                <c:pt idx="776">
                  <c:v>1.0777779999999999</c:v>
                </c:pt>
                <c:pt idx="777">
                  <c:v>1.079167</c:v>
                </c:pt>
                <c:pt idx="778">
                  <c:v>1.0805560000000001</c:v>
                </c:pt>
                <c:pt idx="779">
                  <c:v>1.081944</c:v>
                </c:pt>
                <c:pt idx="780">
                  <c:v>1.0833330000000001</c:v>
                </c:pt>
                <c:pt idx="781">
                  <c:v>1.084722</c:v>
                </c:pt>
                <c:pt idx="782">
                  <c:v>1.086111</c:v>
                </c:pt>
                <c:pt idx="783">
                  <c:v>1.0874999999999999</c:v>
                </c:pt>
                <c:pt idx="784">
                  <c:v>1.088889</c:v>
                </c:pt>
                <c:pt idx="785">
                  <c:v>1.0902780000000001</c:v>
                </c:pt>
                <c:pt idx="786">
                  <c:v>1.0916669999999999</c:v>
                </c:pt>
                <c:pt idx="787">
                  <c:v>1.093056</c:v>
                </c:pt>
                <c:pt idx="788">
                  <c:v>1.094444</c:v>
                </c:pt>
                <c:pt idx="789">
                  <c:v>1.0958330000000001</c:v>
                </c:pt>
                <c:pt idx="790">
                  <c:v>1.0972219999999999</c:v>
                </c:pt>
                <c:pt idx="791">
                  <c:v>1.098611</c:v>
                </c:pt>
                <c:pt idx="792">
                  <c:v>1.1000000000000001</c:v>
                </c:pt>
                <c:pt idx="793">
                  <c:v>1.101389</c:v>
                </c:pt>
                <c:pt idx="794">
                  <c:v>1.102778</c:v>
                </c:pt>
                <c:pt idx="795">
                  <c:v>1.1041669999999999</c:v>
                </c:pt>
                <c:pt idx="796">
                  <c:v>1.105556</c:v>
                </c:pt>
                <c:pt idx="797">
                  <c:v>1.1069439999999999</c:v>
                </c:pt>
                <c:pt idx="798">
                  <c:v>1.108333</c:v>
                </c:pt>
                <c:pt idx="799">
                  <c:v>1.1097220000000001</c:v>
                </c:pt>
                <c:pt idx="800">
                  <c:v>1.111111</c:v>
                </c:pt>
                <c:pt idx="801">
                  <c:v>1.1125</c:v>
                </c:pt>
                <c:pt idx="802">
                  <c:v>1.1138889999999999</c:v>
                </c:pt>
                <c:pt idx="803">
                  <c:v>1.115278</c:v>
                </c:pt>
                <c:pt idx="804">
                  <c:v>1.1166670000000001</c:v>
                </c:pt>
                <c:pt idx="805">
                  <c:v>1.1180559999999999</c:v>
                </c:pt>
                <c:pt idx="806">
                  <c:v>1.1194440000000001</c:v>
                </c:pt>
                <c:pt idx="807">
                  <c:v>1.120833</c:v>
                </c:pt>
                <c:pt idx="808">
                  <c:v>1.1222220000000001</c:v>
                </c:pt>
                <c:pt idx="809">
                  <c:v>1.1236109999999999</c:v>
                </c:pt>
                <c:pt idx="810">
                  <c:v>1.125</c:v>
                </c:pt>
                <c:pt idx="811">
                  <c:v>1.1263890000000001</c:v>
                </c:pt>
                <c:pt idx="812">
                  <c:v>1.1277779999999999</c:v>
                </c:pt>
                <c:pt idx="813">
                  <c:v>1.129167</c:v>
                </c:pt>
                <c:pt idx="814">
                  <c:v>1.1305559999999999</c:v>
                </c:pt>
                <c:pt idx="815">
                  <c:v>1.1319440000000001</c:v>
                </c:pt>
                <c:pt idx="816">
                  <c:v>1.1333329999999999</c:v>
                </c:pt>
                <c:pt idx="817">
                  <c:v>1.134722</c:v>
                </c:pt>
                <c:pt idx="818">
                  <c:v>1.1361110000000001</c:v>
                </c:pt>
                <c:pt idx="819">
                  <c:v>1.1375</c:v>
                </c:pt>
                <c:pt idx="820">
                  <c:v>1.138889</c:v>
                </c:pt>
                <c:pt idx="821">
                  <c:v>1.1402779999999999</c:v>
                </c:pt>
                <c:pt idx="822">
                  <c:v>1.141667</c:v>
                </c:pt>
                <c:pt idx="823">
                  <c:v>1.1430560000000001</c:v>
                </c:pt>
                <c:pt idx="824">
                  <c:v>1.144444</c:v>
                </c:pt>
                <c:pt idx="825">
                  <c:v>1.1458330000000001</c:v>
                </c:pt>
                <c:pt idx="826">
                  <c:v>1.147222</c:v>
                </c:pt>
                <c:pt idx="827">
                  <c:v>1.148611</c:v>
                </c:pt>
                <c:pt idx="828">
                  <c:v>1.1499999999999999</c:v>
                </c:pt>
                <c:pt idx="829">
                  <c:v>1.151389</c:v>
                </c:pt>
                <c:pt idx="830">
                  <c:v>1.1527780000000001</c:v>
                </c:pt>
                <c:pt idx="831">
                  <c:v>1.1541669999999999</c:v>
                </c:pt>
                <c:pt idx="832">
                  <c:v>1.155556</c:v>
                </c:pt>
                <c:pt idx="833">
                  <c:v>1.156944</c:v>
                </c:pt>
                <c:pt idx="834">
                  <c:v>1.1583330000000001</c:v>
                </c:pt>
                <c:pt idx="835">
                  <c:v>1.1597219999999999</c:v>
                </c:pt>
                <c:pt idx="836">
                  <c:v>1.161111</c:v>
                </c:pt>
                <c:pt idx="837">
                  <c:v>1.1625000000000001</c:v>
                </c:pt>
                <c:pt idx="838">
                  <c:v>1.163889</c:v>
                </c:pt>
                <c:pt idx="839">
                  <c:v>1.165278</c:v>
                </c:pt>
                <c:pt idx="840">
                  <c:v>1.1666669999999999</c:v>
                </c:pt>
                <c:pt idx="841">
                  <c:v>1.168056</c:v>
                </c:pt>
                <c:pt idx="842">
                  <c:v>1.1694439999999999</c:v>
                </c:pt>
                <c:pt idx="843">
                  <c:v>1.170833</c:v>
                </c:pt>
                <c:pt idx="844">
                  <c:v>1.1722220000000001</c:v>
                </c:pt>
                <c:pt idx="845">
                  <c:v>1.173611</c:v>
                </c:pt>
                <c:pt idx="846">
                  <c:v>1.175</c:v>
                </c:pt>
                <c:pt idx="847">
                  <c:v>1.1763889999999999</c:v>
                </c:pt>
                <c:pt idx="848">
                  <c:v>1.177778</c:v>
                </c:pt>
                <c:pt idx="849">
                  <c:v>1.1791670000000001</c:v>
                </c:pt>
                <c:pt idx="850">
                  <c:v>1.1805559999999999</c:v>
                </c:pt>
                <c:pt idx="851">
                  <c:v>1.1819440000000001</c:v>
                </c:pt>
                <c:pt idx="852">
                  <c:v>1.183333</c:v>
                </c:pt>
                <c:pt idx="853">
                  <c:v>1.1847220000000001</c:v>
                </c:pt>
                <c:pt idx="854">
                  <c:v>1.1861109999999999</c:v>
                </c:pt>
                <c:pt idx="855">
                  <c:v>1.1875</c:v>
                </c:pt>
                <c:pt idx="856">
                  <c:v>1.1888890000000001</c:v>
                </c:pt>
                <c:pt idx="857">
                  <c:v>1.1902779999999999</c:v>
                </c:pt>
                <c:pt idx="858">
                  <c:v>1.191667</c:v>
                </c:pt>
                <c:pt idx="859">
                  <c:v>1.1930559999999999</c:v>
                </c:pt>
                <c:pt idx="860">
                  <c:v>1.1944440000000001</c:v>
                </c:pt>
                <c:pt idx="861">
                  <c:v>1.1958329999999999</c:v>
                </c:pt>
                <c:pt idx="862">
                  <c:v>1.197222</c:v>
                </c:pt>
                <c:pt idx="863">
                  <c:v>1.1986110000000001</c:v>
                </c:pt>
                <c:pt idx="864">
                  <c:v>1.2</c:v>
                </c:pt>
                <c:pt idx="865">
                  <c:v>1.201389</c:v>
                </c:pt>
                <c:pt idx="866">
                  <c:v>1.2027779999999999</c:v>
                </c:pt>
                <c:pt idx="867">
                  <c:v>1.204167</c:v>
                </c:pt>
                <c:pt idx="868">
                  <c:v>1.2055560000000001</c:v>
                </c:pt>
                <c:pt idx="869">
                  <c:v>1.206944</c:v>
                </c:pt>
                <c:pt idx="870">
                  <c:v>1.2083330000000001</c:v>
                </c:pt>
                <c:pt idx="871">
                  <c:v>1.209722</c:v>
                </c:pt>
                <c:pt idx="872">
                  <c:v>1.211111</c:v>
                </c:pt>
                <c:pt idx="873">
                  <c:v>1.2124999999999999</c:v>
                </c:pt>
                <c:pt idx="874">
                  <c:v>1.213889</c:v>
                </c:pt>
                <c:pt idx="875">
                  <c:v>1.2152780000000001</c:v>
                </c:pt>
                <c:pt idx="876">
                  <c:v>1.2166669999999999</c:v>
                </c:pt>
                <c:pt idx="877">
                  <c:v>1.218056</c:v>
                </c:pt>
                <c:pt idx="878">
                  <c:v>1.219444</c:v>
                </c:pt>
                <c:pt idx="879">
                  <c:v>1.2208330000000001</c:v>
                </c:pt>
                <c:pt idx="880">
                  <c:v>1.2222219999999999</c:v>
                </c:pt>
                <c:pt idx="881">
                  <c:v>1.223611</c:v>
                </c:pt>
                <c:pt idx="882">
                  <c:v>1.2250000000000001</c:v>
                </c:pt>
                <c:pt idx="883">
                  <c:v>1.226389</c:v>
                </c:pt>
                <c:pt idx="884">
                  <c:v>1.227778</c:v>
                </c:pt>
                <c:pt idx="885">
                  <c:v>1.2291669999999999</c:v>
                </c:pt>
                <c:pt idx="886">
                  <c:v>1.230556</c:v>
                </c:pt>
                <c:pt idx="887">
                  <c:v>1.2319439999999999</c:v>
                </c:pt>
                <c:pt idx="888">
                  <c:v>1.233333</c:v>
                </c:pt>
                <c:pt idx="889">
                  <c:v>1.2347220000000001</c:v>
                </c:pt>
                <c:pt idx="890">
                  <c:v>1.236111</c:v>
                </c:pt>
                <c:pt idx="891">
                  <c:v>1.2375</c:v>
                </c:pt>
                <c:pt idx="892">
                  <c:v>1.2388889999999999</c:v>
                </c:pt>
                <c:pt idx="893">
                  <c:v>1.240278</c:v>
                </c:pt>
                <c:pt idx="894">
                  <c:v>1.2416670000000001</c:v>
                </c:pt>
                <c:pt idx="895">
                  <c:v>1.2430559999999999</c:v>
                </c:pt>
                <c:pt idx="896">
                  <c:v>1.2444440000000001</c:v>
                </c:pt>
                <c:pt idx="897">
                  <c:v>1.245833</c:v>
                </c:pt>
                <c:pt idx="898">
                  <c:v>1.2472220000000001</c:v>
                </c:pt>
                <c:pt idx="899">
                  <c:v>1.2486109999999999</c:v>
                </c:pt>
                <c:pt idx="900">
                  <c:v>1.25</c:v>
                </c:pt>
                <c:pt idx="901">
                  <c:v>1.2513890000000001</c:v>
                </c:pt>
                <c:pt idx="902">
                  <c:v>1.2527779999999999</c:v>
                </c:pt>
                <c:pt idx="903">
                  <c:v>1.254167</c:v>
                </c:pt>
                <c:pt idx="904">
                  <c:v>1.2555559999999999</c:v>
                </c:pt>
                <c:pt idx="905">
                  <c:v>1.2569440000000001</c:v>
                </c:pt>
                <c:pt idx="906">
                  <c:v>1.2583329999999999</c:v>
                </c:pt>
                <c:pt idx="907">
                  <c:v>1.259722</c:v>
                </c:pt>
                <c:pt idx="908">
                  <c:v>1.2611110000000001</c:v>
                </c:pt>
                <c:pt idx="909">
                  <c:v>1.2625</c:v>
                </c:pt>
                <c:pt idx="910">
                  <c:v>1.263889</c:v>
                </c:pt>
                <c:pt idx="911">
                  <c:v>1.2652779999999999</c:v>
                </c:pt>
                <c:pt idx="912">
                  <c:v>1.266667</c:v>
                </c:pt>
                <c:pt idx="913">
                  <c:v>1.2680560000000001</c:v>
                </c:pt>
                <c:pt idx="914">
                  <c:v>1.269444</c:v>
                </c:pt>
                <c:pt idx="915">
                  <c:v>1.2708330000000001</c:v>
                </c:pt>
                <c:pt idx="916">
                  <c:v>1.272222</c:v>
                </c:pt>
                <c:pt idx="917">
                  <c:v>1.273611</c:v>
                </c:pt>
                <c:pt idx="918">
                  <c:v>1.2749999999999999</c:v>
                </c:pt>
                <c:pt idx="919">
                  <c:v>1.276389</c:v>
                </c:pt>
                <c:pt idx="920">
                  <c:v>1.2777780000000001</c:v>
                </c:pt>
                <c:pt idx="921">
                  <c:v>1.2791669999999999</c:v>
                </c:pt>
                <c:pt idx="922">
                  <c:v>1.280556</c:v>
                </c:pt>
                <c:pt idx="923">
                  <c:v>1.281944</c:v>
                </c:pt>
                <c:pt idx="924">
                  <c:v>1.2833330000000001</c:v>
                </c:pt>
                <c:pt idx="925">
                  <c:v>1.2847219999999999</c:v>
                </c:pt>
                <c:pt idx="926">
                  <c:v>1.286111</c:v>
                </c:pt>
                <c:pt idx="927">
                  <c:v>1.2875000000000001</c:v>
                </c:pt>
                <c:pt idx="928">
                  <c:v>1.288889</c:v>
                </c:pt>
                <c:pt idx="929">
                  <c:v>1.290278</c:v>
                </c:pt>
                <c:pt idx="930">
                  <c:v>1.2916669999999999</c:v>
                </c:pt>
                <c:pt idx="931">
                  <c:v>1.293056</c:v>
                </c:pt>
                <c:pt idx="932">
                  <c:v>1.2944439999999999</c:v>
                </c:pt>
                <c:pt idx="933">
                  <c:v>1.295833</c:v>
                </c:pt>
                <c:pt idx="934">
                  <c:v>1.2972220000000001</c:v>
                </c:pt>
                <c:pt idx="935">
                  <c:v>1.298611</c:v>
                </c:pt>
                <c:pt idx="936">
                  <c:v>1.3</c:v>
                </c:pt>
                <c:pt idx="937">
                  <c:v>1.3013889999999999</c:v>
                </c:pt>
                <c:pt idx="938">
                  <c:v>1.302778</c:v>
                </c:pt>
                <c:pt idx="939">
                  <c:v>1.3041670000000001</c:v>
                </c:pt>
                <c:pt idx="940">
                  <c:v>1.3055559999999999</c:v>
                </c:pt>
                <c:pt idx="941">
                  <c:v>1.3069440000000001</c:v>
                </c:pt>
                <c:pt idx="942">
                  <c:v>1.308333</c:v>
                </c:pt>
                <c:pt idx="943">
                  <c:v>1.3097220000000001</c:v>
                </c:pt>
                <c:pt idx="944">
                  <c:v>1.3111109999999999</c:v>
                </c:pt>
                <c:pt idx="945">
                  <c:v>1.3125</c:v>
                </c:pt>
                <c:pt idx="946">
                  <c:v>1.3138890000000001</c:v>
                </c:pt>
                <c:pt idx="947">
                  <c:v>1.3152779999999999</c:v>
                </c:pt>
                <c:pt idx="948">
                  <c:v>1.316667</c:v>
                </c:pt>
                <c:pt idx="949">
                  <c:v>1.3180559999999999</c:v>
                </c:pt>
                <c:pt idx="950">
                  <c:v>1.3194440000000001</c:v>
                </c:pt>
                <c:pt idx="951">
                  <c:v>1.3208329999999999</c:v>
                </c:pt>
                <c:pt idx="952">
                  <c:v>1.322222</c:v>
                </c:pt>
                <c:pt idx="953">
                  <c:v>1.3236110000000001</c:v>
                </c:pt>
                <c:pt idx="954">
                  <c:v>1.325</c:v>
                </c:pt>
                <c:pt idx="955">
                  <c:v>1.326389</c:v>
                </c:pt>
                <c:pt idx="956">
                  <c:v>1.3277779999999999</c:v>
                </c:pt>
                <c:pt idx="957">
                  <c:v>1.329167</c:v>
                </c:pt>
                <c:pt idx="958">
                  <c:v>1.3305560000000001</c:v>
                </c:pt>
                <c:pt idx="959">
                  <c:v>1.331944</c:v>
                </c:pt>
                <c:pt idx="960">
                  <c:v>1.3333330000000001</c:v>
                </c:pt>
                <c:pt idx="961">
                  <c:v>1.334722</c:v>
                </c:pt>
                <c:pt idx="962">
                  <c:v>1.336111</c:v>
                </c:pt>
                <c:pt idx="963">
                  <c:v>1.3374999999999999</c:v>
                </c:pt>
                <c:pt idx="964">
                  <c:v>1.338889</c:v>
                </c:pt>
                <c:pt idx="965">
                  <c:v>1.3402780000000001</c:v>
                </c:pt>
                <c:pt idx="966">
                  <c:v>1.3416669999999999</c:v>
                </c:pt>
                <c:pt idx="967">
                  <c:v>1.343056</c:v>
                </c:pt>
                <c:pt idx="968">
                  <c:v>1.344444</c:v>
                </c:pt>
                <c:pt idx="969">
                  <c:v>1.3458330000000001</c:v>
                </c:pt>
                <c:pt idx="970">
                  <c:v>1.3472219999999999</c:v>
                </c:pt>
                <c:pt idx="971">
                  <c:v>1.348611</c:v>
                </c:pt>
                <c:pt idx="972">
                  <c:v>1.35</c:v>
                </c:pt>
                <c:pt idx="973">
                  <c:v>1.351389</c:v>
                </c:pt>
                <c:pt idx="974">
                  <c:v>1.352778</c:v>
                </c:pt>
                <c:pt idx="975">
                  <c:v>1.3541669999999999</c:v>
                </c:pt>
                <c:pt idx="976">
                  <c:v>1.355556</c:v>
                </c:pt>
                <c:pt idx="977">
                  <c:v>1.3569439999999999</c:v>
                </c:pt>
                <c:pt idx="978">
                  <c:v>1.358333</c:v>
                </c:pt>
                <c:pt idx="979">
                  <c:v>1.3597220000000001</c:v>
                </c:pt>
                <c:pt idx="980">
                  <c:v>1.361111</c:v>
                </c:pt>
                <c:pt idx="981">
                  <c:v>1.3625</c:v>
                </c:pt>
                <c:pt idx="982">
                  <c:v>1.3638889999999999</c:v>
                </c:pt>
                <c:pt idx="983">
                  <c:v>1.365278</c:v>
                </c:pt>
                <c:pt idx="984">
                  <c:v>1.3666670000000001</c:v>
                </c:pt>
                <c:pt idx="985">
                  <c:v>1.3680559999999999</c:v>
                </c:pt>
                <c:pt idx="986">
                  <c:v>1.3694440000000001</c:v>
                </c:pt>
                <c:pt idx="987">
                  <c:v>1.370833</c:v>
                </c:pt>
                <c:pt idx="988">
                  <c:v>1.3722220000000001</c:v>
                </c:pt>
                <c:pt idx="989">
                  <c:v>1.3736109999999999</c:v>
                </c:pt>
                <c:pt idx="990">
                  <c:v>1.375</c:v>
                </c:pt>
                <c:pt idx="991">
                  <c:v>1.3763890000000001</c:v>
                </c:pt>
                <c:pt idx="992">
                  <c:v>1.3777779999999999</c:v>
                </c:pt>
                <c:pt idx="993">
                  <c:v>1.379167</c:v>
                </c:pt>
                <c:pt idx="994">
                  <c:v>1.3805559999999999</c:v>
                </c:pt>
                <c:pt idx="995">
                  <c:v>1.3819440000000001</c:v>
                </c:pt>
                <c:pt idx="996">
                  <c:v>1.3833329999999999</c:v>
                </c:pt>
                <c:pt idx="997">
                  <c:v>1.384722</c:v>
                </c:pt>
                <c:pt idx="998">
                  <c:v>1.3861110000000001</c:v>
                </c:pt>
                <c:pt idx="999">
                  <c:v>1.3875</c:v>
                </c:pt>
                <c:pt idx="1000">
                  <c:v>1.388889</c:v>
                </c:pt>
                <c:pt idx="1001">
                  <c:v>1.3902779999999999</c:v>
                </c:pt>
                <c:pt idx="1002">
                  <c:v>1.391667</c:v>
                </c:pt>
                <c:pt idx="1003">
                  <c:v>1.3930560000000001</c:v>
                </c:pt>
                <c:pt idx="1004">
                  <c:v>1.394444</c:v>
                </c:pt>
                <c:pt idx="1005">
                  <c:v>1.3958330000000001</c:v>
                </c:pt>
                <c:pt idx="1006">
                  <c:v>1.397222</c:v>
                </c:pt>
                <c:pt idx="1007">
                  <c:v>1.398611</c:v>
                </c:pt>
                <c:pt idx="1008">
                  <c:v>1.4</c:v>
                </c:pt>
                <c:pt idx="1009">
                  <c:v>1.401389</c:v>
                </c:pt>
                <c:pt idx="1010">
                  <c:v>1.4027780000000001</c:v>
                </c:pt>
                <c:pt idx="1011">
                  <c:v>1.4041669999999999</c:v>
                </c:pt>
                <c:pt idx="1012">
                  <c:v>1.405556</c:v>
                </c:pt>
                <c:pt idx="1013">
                  <c:v>1.406944</c:v>
                </c:pt>
                <c:pt idx="1014">
                  <c:v>1.4083330000000001</c:v>
                </c:pt>
                <c:pt idx="1015">
                  <c:v>1.4097219999999999</c:v>
                </c:pt>
                <c:pt idx="1016">
                  <c:v>1.411111</c:v>
                </c:pt>
                <c:pt idx="1017">
                  <c:v>1.4125000000000001</c:v>
                </c:pt>
                <c:pt idx="1018">
                  <c:v>1.413889</c:v>
                </c:pt>
                <c:pt idx="1019">
                  <c:v>1.415278</c:v>
                </c:pt>
                <c:pt idx="1020">
                  <c:v>1.4166669999999999</c:v>
                </c:pt>
                <c:pt idx="1021">
                  <c:v>1.418056</c:v>
                </c:pt>
                <c:pt idx="1022">
                  <c:v>1.4194439999999999</c:v>
                </c:pt>
                <c:pt idx="1023">
                  <c:v>1.420833</c:v>
                </c:pt>
                <c:pt idx="1024">
                  <c:v>1.4222220000000001</c:v>
                </c:pt>
                <c:pt idx="1025">
                  <c:v>1.423611</c:v>
                </c:pt>
                <c:pt idx="1026">
                  <c:v>1.425</c:v>
                </c:pt>
                <c:pt idx="1027">
                  <c:v>1.4263889999999999</c:v>
                </c:pt>
                <c:pt idx="1028">
                  <c:v>1.427778</c:v>
                </c:pt>
                <c:pt idx="1029">
                  <c:v>1.4291670000000001</c:v>
                </c:pt>
                <c:pt idx="1030">
                  <c:v>1.4305559999999999</c:v>
                </c:pt>
                <c:pt idx="1031">
                  <c:v>1.4319440000000001</c:v>
                </c:pt>
                <c:pt idx="1032">
                  <c:v>1.433333</c:v>
                </c:pt>
                <c:pt idx="1033">
                  <c:v>1.4347220000000001</c:v>
                </c:pt>
                <c:pt idx="1034">
                  <c:v>1.4361109999999999</c:v>
                </c:pt>
                <c:pt idx="1035">
                  <c:v>1.4375</c:v>
                </c:pt>
                <c:pt idx="1036">
                  <c:v>1.4388890000000001</c:v>
                </c:pt>
                <c:pt idx="1037">
                  <c:v>1.4402779999999999</c:v>
                </c:pt>
                <c:pt idx="1038">
                  <c:v>1.441667</c:v>
                </c:pt>
                <c:pt idx="1039">
                  <c:v>1.4430559999999999</c:v>
                </c:pt>
                <c:pt idx="1040">
                  <c:v>1.4444440000000001</c:v>
                </c:pt>
                <c:pt idx="1041">
                  <c:v>1.4458329999999999</c:v>
                </c:pt>
                <c:pt idx="1042">
                  <c:v>1.447222</c:v>
                </c:pt>
                <c:pt idx="1043">
                  <c:v>1.4486110000000001</c:v>
                </c:pt>
                <c:pt idx="1044">
                  <c:v>1.45</c:v>
                </c:pt>
                <c:pt idx="1045">
                  <c:v>1.451389</c:v>
                </c:pt>
                <c:pt idx="1046">
                  <c:v>1.4527779999999999</c:v>
                </c:pt>
                <c:pt idx="1047">
                  <c:v>1.454167</c:v>
                </c:pt>
                <c:pt idx="1048">
                  <c:v>1.4555560000000001</c:v>
                </c:pt>
                <c:pt idx="1049">
                  <c:v>1.456944</c:v>
                </c:pt>
                <c:pt idx="1050">
                  <c:v>1.4583330000000001</c:v>
                </c:pt>
                <c:pt idx="1051">
                  <c:v>1.459722</c:v>
                </c:pt>
                <c:pt idx="1052">
                  <c:v>1.461111</c:v>
                </c:pt>
                <c:pt idx="1053">
                  <c:v>1.4624999999999999</c:v>
                </c:pt>
                <c:pt idx="1054">
                  <c:v>1.463889</c:v>
                </c:pt>
                <c:pt idx="1055">
                  <c:v>1.4652780000000001</c:v>
                </c:pt>
                <c:pt idx="1056">
                  <c:v>1.4666669999999999</c:v>
                </c:pt>
                <c:pt idx="1057">
                  <c:v>1.468056</c:v>
                </c:pt>
                <c:pt idx="1058">
                  <c:v>1.469444</c:v>
                </c:pt>
                <c:pt idx="1059">
                  <c:v>1.4708330000000001</c:v>
                </c:pt>
                <c:pt idx="1060">
                  <c:v>1.4722219999999999</c:v>
                </c:pt>
                <c:pt idx="1061">
                  <c:v>1.473611</c:v>
                </c:pt>
                <c:pt idx="1062">
                  <c:v>1.4750000000000001</c:v>
                </c:pt>
                <c:pt idx="1063">
                  <c:v>1.476389</c:v>
                </c:pt>
                <c:pt idx="1064">
                  <c:v>1.477778</c:v>
                </c:pt>
                <c:pt idx="1065">
                  <c:v>1.4791669999999999</c:v>
                </c:pt>
                <c:pt idx="1066">
                  <c:v>1.480556</c:v>
                </c:pt>
                <c:pt idx="1067">
                  <c:v>1.4819439999999999</c:v>
                </c:pt>
                <c:pt idx="1068">
                  <c:v>1.483333</c:v>
                </c:pt>
                <c:pt idx="1069">
                  <c:v>1.4847220000000001</c:v>
                </c:pt>
                <c:pt idx="1070">
                  <c:v>1.486111</c:v>
                </c:pt>
                <c:pt idx="1071">
                  <c:v>1.4875</c:v>
                </c:pt>
                <c:pt idx="1072">
                  <c:v>1.4888889999999999</c:v>
                </c:pt>
                <c:pt idx="1073">
                  <c:v>1.490278</c:v>
                </c:pt>
                <c:pt idx="1074">
                  <c:v>1.4916670000000001</c:v>
                </c:pt>
                <c:pt idx="1075">
                  <c:v>1.4930559999999999</c:v>
                </c:pt>
                <c:pt idx="1076">
                  <c:v>1.4944440000000001</c:v>
                </c:pt>
                <c:pt idx="1077">
                  <c:v>1.495833</c:v>
                </c:pt>
                <c:pt idx="1078">
                  <c:v>1.4972220000000001</c:v>
                </c:pt>
                <c:pt idx="1079">
                  <c:v>1.4986109999999999</c:v>
                </c:pt>
                <c:pt idx="1080">
                  <c:v>1.5</c:v>
                </c:pt>
                <c:pt idx="1081">
                  <c:v>1.5013890000000001</c:v>
                </c:pt>
                <c:pt idx="1082">
                  <c:v>1.5027779999999999</c:v>
                </c:pt>
                <c:pt idx="1083">
                  <c:v>1.504167</c:v>
                </c:pt>
                <c:pt idx="1084">
                  <c:v>1.5055559999999999</c:v>
                </c:pt>
                <c:pt idx="1085">
                  <c:v>1.5069440000000001</c:v>
                </c:pt>
                <c:pt idx="1086">
                  <c:v>1.5083329999999999</c:v>
                </c:pt>
                <c:pt idx="1087">
                  <c:v>1.509722</c:v>
                </c:pt>
                <c:pt idx="1088">
                  <c:v>1.5111110000000001</c:v>
                </c:pt>
                <c:pt idx="1089">
                  <c:v>1.5125</c:v>
                </c:pt>
                <c:pt idx="1090">
                  <c:v>1.513889</c:v>
                </c:pt>
                <c:pt idx="1091">
                  <c:v>1.5152779999999999</c:v>
                </c:pt>
                <c:pt idx="1092">
                  <c:v>1.516667</c:v>
                </c:pt>
                <c:pt idx="1093">
                  <c:v>1.5180560000000001</c:v>
                </c:pt>
                <c:pt idx="1094">
                  <c:v>1.519444</c:v>
                </c:pt>
                <c:pt idx="1095">
                  <c:v>1.5208330000000001</c:v>
                </c:pt>
                <c:pt idx="1096">
                  <c:v>1.522222</c:v>
                </c:pt>
                <c:pt idx="1097">
                  <c:v>1.523611</c:v>
                </c:pt>
                <c:pt idx="1098">
                  <c:v>1.5249999999999999</c:v>
                </c:pt>
                <c:pt idx="1099">
                  <c:v>1.526389</c:v>
                </c:pt>
                <c:pt idx="1100">
                  <c:v>1.5277780000000001</c:v>
                </c:pt>
                <c:pt idx="1101">
                  <c:v>1.5291669999999999</c:v>
                </c:pt>
                <c:pt idx="1102">
                  <c:v>1.530556</c:v>
                </c:pt>
                <c:pt idx="1103">
                  <c:v>1.531944</c:v>
                </c:pt>
                <c:pt idx="1104">
                  <c:v>1.5333330000000001</c:v>
                </c:pt>
                <c:pt idx="1105">
                  <c:v>1.5347219999999999</c:v>
                </c:pt>
                <c:pt idx="1106">
                  <c:v>1.536111</c:v>
                </c:pt>
                <c:pt idx="1107">
                  <c:v>1.5375000000000001</c:v>
                </c:pt>
                <c:pt idx="1108">
                  <c:v>1.538889</c:v>
                </c:pt>
                <c:pt idx="1109">
                  <c:v>1.540278</c:v>
                </c:pt>
                <c:pt idx="1110">
                  <c:v>1.5416669999999999</c:v>
                </c:pt>
                <c:pt idx="1111">
                  <c:v>1.543056</c:v>
                </c:pt>
                <c:pt idx="1112">
                  <c:v>1.5444439999999999</c:v>
                </c:pt>
                <c:pt idx="1113">
                  <c:v>1.545833</c:v>
                </c:pt>
                <c:pt idx="1114">
                  <c:v>1.5472220000000001</c:v>
                </c:pt>
                <c:pt idx="1115">
                  <c:v>1.548611</c:v>
                </c:pt>
                <c:pt idx="1116">
                  <c:v>1.55</c:v>
                </c:pt>
                <c:pt idx="1117">
                  <c:v>1.5513889999999999</c:v>
                </c:pt>
                <c:pt idx="1118">
                  <c:v>1.552778</c:v>
                </c:pt>
                <c:pt idx="1119">
                  <c:v>1.5541670000000001</c:v>
                </c:pt>
                <c:pt idx="1120">
                  <c:v>1.5555559999999999</c:v>
                </c:pt>
                <c:pt idx="1121">
                  <c:v>1.5569440000000001</c:v>
                </c:pt>
                <c:pt idx="1122">
                  <c:v>1.558333</c:v>
                </c:pt>
                <c:pt idx="1123">
                  <c:v>1.5597220000000001</c:v>
                </c:pt>
                <c:pt idx="1124">
                  <c:v>1.5611109999999999</c:v>
                </c:pt>
                <c:pt idx="1125">
                  <c:v>1.5625</c:v>
                </c:pt>
                <c:pt idx="1126">
                  <c:v>1.5638890000000001</c:v>
                </c:pt>
                <c:pt idx="1127">
                  <c:v>1.5652779999999999</c:v>
                </c:pt>
                <c:pt idx="1128">
                  <c:v>1.566667</c:v>
                </c:pt>
                <c:pt idx="1129">
                  <c:v>1.5680559999999999</c:v>
                </c:pt>
                <c:pt idx="1130">
                  <c:v>1.5694440000000001</c:v>
                </c:pt>
                <c:pt idx="1131">
                  <c:v>1.5708329999999999</c:v>
                </c:pt>
                <c:pt idx="1132">
                  <c:v>1.572222</c:v>
                </c:pt>
                <c:pt idx="1133">
                  <c:v>1.5736110000000001</c:v>
                </c:pt>
                <c:pt idx="1134">
                  <c:v>1.575</c:v>
                </c:pt>
                <c:pt idx="1135">
                  <c:v>1.576389</c:v>
                </c:pt>
                <c:pt idx="1136">
                  <c:v>1.5777779999999999</c:v>
                </c:pt>
                <c:pt idx="1137">
                  <c:v>1.579167</c:v>
                </c:pt>
                <c:pt idx="1138">
                  <c:v>1.5805560000000001</c:v>
                </c:pt>
                <c:pt idx="1139">
                  <c:v>1.581944</c:v>
                </c:pt>
                <c:pt idx="1140">
                  <c:v>1.5833330000000001</c:v>
                </c:pt>
                <c:pt idx="1141">
                  <c:v>1.584722</c:v>
                </c:pt>
                <c:pt idx="1142">
                  <c:v>1.586111</c:v>
                </c:pt>
                <c:pt idx="1143">
                  <c:v>1.5874999999999999</c:v>
                </c:pt>
                <c:pt idx="1144">
                  <c:v>1.588889</c:v>
                </c:pt>
                <c:pt idx="1145">
                  <c:v>1.5902780000000001</c:v>
                </c:pt>
                <c:pt idx="1146">
                  <c:v>1.5916669999999999</c:v>
                </c:pt>
                <c:pt idx="1147">
                  <c:v>1.593056</c:v>
                </c:pt>
                <c:pt idx="1148">
                  <c:v>1.594444</c:v>
                </c:pt>
                <c:pt idx="1149">
                  <c:v>1.5958330000000001</c:v>
                </c:pt>
                <c:pt idx="1150">
                  <c:v>1.5972219999999999</c:v>
                </c:pt>
                <c:pt idx="1151">
                  <c:v>1.598611</c:v>
                </c:pt>
                <c:pt idx="1152">
                  <c:v>1.6</c:v>
                </c:pt>
                <c:pt idx="1153">
                  <c:v>1.601389</c:v>
                </c:pt>
                <c:pt idx="1154">
                  <c:v>1.602778</c:v>
                </c:pt>
                <c:pt idx="1155">
                  <c:v>1.6041669999999999</c:v>
                </c:pt>
                <c:pt idx="1156">
                  <c:v>1.605556</c:v>
                </c:pt>
                <c:pt idx="1157">
                  <c:v>1.6069439999999999</c:v>
                </c:pt>
                <c:pt idx="1158">
                  <c:v>1.608333</c:v>
                </c:pt>
                <c:pt idx="1159">
                  <c:v>1.6097220000000001</c:v>
                </c:pt>
                <c:pt idx="1160">
                  <c:v>1.611111</c:v>
                </c:pt>
                <c:pt idx="1161">
                  <c:v>1.6125</c:v>
                </c:pt>
                <c:pt idx="1162">
                  <c:v>1.6138889999999999</c:v>
                </c:pt>
                <c:pt idx="1163">
                  <c:v>1.615278</c:v>
                </c:pt>
                <c:pt idx="1164">
                  <c:v>1.6166670000000001</c:v>
                </c:pt>
                <c:pt idx="1165">
                  <c:v>1.6180559999999999</c:v>
                </c:pt>
                <c:pt idx="1166">
                  <c:v>1.6194440000000001</c:v>
                </c:pt>
                <c:pt idx="1167">
                  <c:v>1.620833</c:v>
                </c:pt>
                <c:pt idx="1168">
                  <c:v>1.6222220000000001</c:v>
                </c:pt>
                <c:pt idx="1169">
                  <c:v>1.6236109999999999</c:v>
                </c:pt>
                <c:pt idx="1170">
                  <c:v>1.625</c:v>
                </c:pt>
                <c:pt idx="1171">
                  <c:v>1.6263890000000001</c:v>
                </c:pt>
                <c:pt idx="1172">
                  <c:v>1.6277779999999999</c:v>
                </c:pt>
                <c:pt idx="1173">
                  <c:v>1.629167</c:v>
                </c:pt>
                <c:pt idx="1174">
                  <c:v>1.6305559999999999</c:v>
                </c:pt>
                <c:pt idx="1175">
                  <c:v>1.6319440000000001</c:v>
                </c:pt>
                <c:pt idx="1176">
                  <c:v>1.6333329999999999</c:v>
                </c:pt>
                <c:pt idx="1177">
                  <c:v>1.634722</c:v>
                </c:pt>
                <c:pt idx="1178">
                  <c:v>1.6361110000000001</c:v>
                </c:pt>
                <c:pt idx="1179">
                  <c:v>1.6375</c:v>
                </c:pt>
                <c:pt idx="1180">
                  <c:v>1.638889</c:v>
                </c:pt>
                <c:pt idx="1181">
                  <c:v>1.6402779999999999</c:v>
                </c:pt>
                <c:pt idx="1182">
                  <c:v>1.641667</c:v>
                </c:pt>
                <c:pt idx="1183">
                  <c:v>1.6430560000000001</c:v>
                </c:pt>
                <c:pt idx="1184">
                  <c:v>1.644444</c:v>
                </c:pt>
                <c:pt idx="1185">
                  <c:v>1.6458330000000001</c:v>
                </c:pt>
                <c:pt idx="1186">
                  <c:v>1.647222</c:v>
                </c:pt>
                <c:pt idx="1187">
                  <c:v>1.648611</c:v>
                </c:pt>
                <c:pt idx="1188">
                  <c:v>1.65</c:v>
                </c:pt>
                <c:pt idx="1189">
                  <c:v>1.651389</c:v>
                </c:pt>
                <c:pt idx="1190">
                  <c:v>1.6527780000000001</c:v>
                </c:pt>
                <c:pt idx="1191">
                  <c:v>1.6541669999999999</c:v>
                </c:pt>
                <c:pt idx="1192">
                  <c:v>1.655556</c:v>
                </c:pt>
                <c:pt idx="1193">
                  <c:v>1.656944</c:v>
                </c:pt>
                <c:pt idx="1194">
                  <c:v>1.6583330000000001</c:v>
                </c:pt>
                <c:pt idx="1195">
                  <c:v>1.6597219999999999</c:v>
                </c:pt>
                <c:pt idx="1196">
                  <c:v>1.661111</c:v>
                </c:pt>
                <c:pt idx="1197">
                  <c:v>1.6625000000000001</c:v>
                </c:pt>
                <c:pt idx="1198">
                  <c:v>1.663889</c:v>
                </c:pt>
                <c:pt idx="1199">
                  <c:v>1.665278</c:v>
                </c:pt>
                <c:pt idx="1200">
                  <c:v>1.6666669999999999</c:v>
                </c:pt>
                <c:pt idx="1201">
                  <c:v>1.668056</c:v>
                </c:pt>
                <c:pt idx="1202">
                  <c:v>1.6694439999999999</c:v>
                </c:pt>
                <c:pt idx="1203">
                  <c:v>1.670833</c:v>
                </c:pt>
                <c:pt idx="1204">
                  <c:v>1.6722220000000001</c:v>
                </c:pt>
                <c:pt idx="1205">
                  <c:v>1.673611</c:v>
                </c:pt>
                <c:pt idx="1206">
                  <c:v>1.675</c:v>
                </c:pt>
                <c:pt idx="1207">
                  <c:v>1.6763889999999999</c:v>
                </c:pt>
                <c:pt idx="1208">
                  <c:v>1.677778</c:v>
                </c:pt>
                <c:pt idx="1209">
                  <c:v>1.6791670000000001</c:v>
                </c:pt>
                <c:pt idx="1210">
                  <c:v>1.6805559999999999</c:v>
                </c:pt>
                <c:pt idx="1211">
                  <c:v>1.6819440000000001</c:v>
                </c:pt>
                <c:pt idx="1212">
                  <c:v>1.683333</c:v>
                </c:pt>
                <c:pt idx="1213">
                  <c:v>1.6847220000000001</c:v>
                </c:pt>
                <c:pt idx="1214">
                  <c:v>1.6861109999999999</c:v>
                </c:pt>
                <c:pt idx="1215">
                  <c:v>1.6875</c:v>
                </c:pt>
                <c:pt idx="1216">
                  <c:v>1.6888890000000001</c:v>
                </c:pt>
                <c:pt idx="1217">
                  <c:v>1.6902779999999999</c:v>
                </c:pt>
                <c:pt idx="1218">
                  <c:v>1.691667</c:v>
                </c:pt>
                <c:pt idx="1219">
                  <c:v>1.6930559999999999</c:v>
                </c:pt>
                <c:pt idx="1220">
                  <c:v>1.6944440000000001</c:v>
                </c:pt>
                <c:pt idx="1221">
                  <c:v>1.6958329999999999</c:v>
                </c:pt>
                <c:pt idx="1222">
                  <c:v>1.697222</c:v>
                </c:pt>
                <c:pt idx="1223">
                  <c:v>1.6986110000000001</c:v>
                </c:pt>
                <c:pt idx="1224">
                  <c:v>1.7</c:v>
                </c:pt>
                <c:pt idx="1225">
                  <c:v>1.701389</c:v>
                </c:pt>
                <c:pt idx="1226">
                  <c:v>1.7027779999999999</c:v>
                </c:pt>
                <c:pt idx="1227">
                  <c:v>1.704167</c:v>
                </c:pt>
                <c:pt idx="1228">
                  <c:v>1.7055560000000001</c:v>
                </c:pt>
                <c:pt idx="1229">
                  <c:v>1.706944</c:v>
                </c:pt>
                <c:pt idx="1230">
                  <c:v>1.7083330000000001</c:v>
                </c:pt>
                <c:pt idx="1231">
                  <c:v>1.709722</c:v>
                </c:pt>
                <c:pt idx="1232">
                  <c:v>1.711111</c:v>
                </c:pt>
                <c:pt idx="1233">
                  <c:v>1.7124999999999999</c:v>
                </c:pt>
                <c:pt idx="1234">
                  <c:v>1.713889</c:v>
                </c:pt>
                <c:pt idx="1235">
                  <c:v>1.7152780000000001</c:v>
                </c:pt>
                <c:pt idx="1236">
                  <c:v>1.7166669999999999</c:v>
                </c:pt>
                <c:pt idx="1237">
                  <c:v>1.718056</c:v>
                </c:pt>
                <c:pt idx="1238">
                  <c:v>1.719444</c:v>
                </c:pt>
                <c:pt idx="1239">
                  <c:v>1.7208330000000001</c:v>
                </c:pt>
                <c:pt idx="1240">
                  <c:v>1.7222219999999999</c:v>
                </c:pt>
                <c:pt idx="1241">
                  <c:v>1.723611</c:v>
                </c:pt>
                <c:pt idx="1242">
                  <c:v>1.7250000000000001</c:v>
                </c:pt>
                <c:pt idx="1243">
                  <c:v>1.726389</c:v>
                </c:pt>
                <c:pt idx="1244">
                  <c:v>1.727778</c:v>
                </c:pt>
                <c:pt idx="1245">
                  <c:v>1.7291669999999999</c:v>
                </c:pt>
                <c:pt idx="1246">
                  <c:v>1.730556</c:v>
                </c:pt>
                <c:pt idx="1247">
                  <c:v>1.7319439999999999</c:v>
                </c:pt>
                <c:pt idx="1248">
                  <c:v>1.733333</c:v>
                </c:pt>
                <c:pt idx="1249">
                  <c:v>1.7347220000000001</c:v>
                </c:pt>
                <c:pt idx="1250">
                  <c:v>1.736111</c:v>
                </c:pt>
                <c:pt idx="1251">
                  <c:v>1.7375</c:v>
                </c:pt>
                <c:pt idx="1252">
                  <c:v>1.7388889999999999</c:v>
                </c:pt>
                <c:pt idx="1253">
                  <c:v>1.740278</c:v>
                </c:pt>
                <c:pt idx="1254">
                  <c:v>1.7416670000000001</c:v>
                </c:pt>
                <c:pt idx="1255">
                  <c:v>1.7430559999999999</c:v>
                </c:pt>
                <c:pt idx="1256">
                  <c:v>1.7444440000000001</c:v>
                </c:pt>
                <c:pt idx="1257">
                  <c:v>1.745833</c:v>
                </c:pt>
                <c:pt idx="1258">
                  <c:v>1.7472220000000001</c:v>
                </c:pt>
                <c:pt idx="1259">
                  <c:v>1.7486109999999999</c:v>
                </c:pt>
                <c:pt idx="1260">
                  <c:v>1.75</c:v>
                </c:pt>
                <c:pt idx="1261">
                  <c:v>1.7513890000000001</c:v>
                </c:pt>
                <c:pt idx="1262">
                  <c:v>1.7527779999999999</c:v>
                </c:pt>
                <c:pt idx="1263">
                  <c:v>1.754167</c:v>
                </c:pt>
                <c:pt idx="1264">
                  <c:v>1.7555559999999999</c:v>
                </c:pt>
                <c:pt idx="1265">
                  <c:v>1.7569440000000001</c:v>
                </c:pt>
                <c:pt idx="1266">
                  <c:v>1.7583329999999999</c:v>
                </c:pt>
                <c:pt idx="1267">
                  <c:v>1.759722</c:v>
                </c:pt>
                <c:pt idx="1268">
                  <c:v>1.7611110000000001</c:v>
                </c:pt>
                <c:pt idx="1269">
                  <c:v>1.7625</c:v>
                </c:pt>
                <c:pt idx="1270">
                  <c:v>1.763889</c:v>
                </c:pt>
                <c:pt idx="1271">
                  <c:v>1.7652779999999999</c:v>
                </c:pt>
                <c:pt idx="1272">
                  <c:v>1.766667</c:v>
                </c:pt>
                <c:pt idx="1273">
                  <c:v>1.7680560000000001</c:v>
                </c:pt>
                <c:pt idx="1274">
                  <c:v>1.769444</c:v>
                </c:pt>
                <c:pt idx="1275">
                  <c:v>1.7708330000000001</c:v>
                </c:pt>
                <c:pt idx="1276">
                  <c:v>1.772222</c:v>
                </c:pt>
                <c:pt idx="1277">
                  <c:v>1.773611</c:v>
                </c:pt>
                <c:pt idx="1278">
                  <c:v>1.7749999999999999</c:v>
                </c:pt>
                <c:pt idx="1279">
                  <c:v>1.776389</c:v>
                </c:pt>
                <c:pt idx="1280">
                  <c:v>1.7777780000000001</c:v>
                </c:pt>
                <c:pt idx="1281">
                  <c:v>1.7791669999999999</c:v>
                </c:pt>
                <c:pt idx="1282">
                  <c:v>1.780556</c:v>
                </c:pt>
                <c:pt idx="1283">
                  <c:v>1.781944</c:v>
                </c:pt>
                <c:pt idx="1284">
                  <c:v>1.7833330000000001</c:v>
                </c:pt>
                <c:pt idx="1285">
                  <c:v>1.7847219999999999</c:v>
                </c:pt>
                <c:pt idx="1286">
                  <c:v>1.786111</c:v>
                </c:pt>
                <c:pt idx="1287">
                  <c:v>1.7875000000000001</c:v>
                </c:pt>
                <c:pt idx="1288">
                  <c:v>1.788889</c:v>
                </c:pt>
                <c:pt idx="1289">
                  <c:v>1.790278</c:v>
                </c:pt>
                <c:pt idx="1290">
                  <c:v>1.7916669999999999</c:v>
                </c:pt>
                <c:pt idx="1291">
                  <c:v>1.793056</c:v>
                </c:pt>
                <c:pt idx="1292">
                  <c:v>1.7944439999999999</c:v>
                </c:pt>
                <c:pt idx="1293">
                  <c:v>1.795833</c:v>
                </c:pt>
                <c:pt idx="1294">
                  <c:v>1.7972220000000001</c:v>
                </c:pt>
                <c:pt idx="1295">
                  <c:v>1.798611</c:v>
                </c:pt>
                <c:pt idx="1296">
                  <c:v>1.8</c:v>
                </c:pt>
                <c:pt idx="1297">
                  <c:v>1.8013889999999999</c:v>
                </c:pt>
                <c:pt idx="1298">
                  <c:v>1.802778</c:v>
                </c:pt>
                <c:pt idx="1299">
                  <c:v>1.8041670000000001</c:v>
                </c:pt>
                <c:pt idx="1300">
                  <c:v>1.8055559999999999</c:v>
                </c:pt>
                <c:pt idx="1301">
                  <c:v>1.8069440000000001</c:v>
                </c:pt>
                <c:pt idx="1302">
                  <c:v>1.808333</c:v>
                </c:pt>
                <c:pt idx="1303">
                  <c:v>1.8097220000000001</c:v>
                </c:pt>
                <c:pt idx="1304">
                  <c:v>1.8111109999999999</c:v>
                </c:pt>
                <c:pt idx="1305">
                  <c:v>1.8125</c:v>
                </c:pt>
                <c:pt idx="1306">
                  <c:v>1.8138890000000001</c:v>
                </c:pt>
                <c:pt idx="1307">
                  <c:v>1.8152779999999999</c:v>
                </c:pt>
                <c:pt idx="1308">
                  <c:v>1.816667</c:v>
                </c:pt>
                <c:pt idx="1309">
                  <c:v>1.8180559999999999</c:v>
                </c:pt>
                <c:pt idx="1310">
                  <c:v>1.8194440000000001</c:v>
                </c:pt>
                <c:pt idx="1311">
                  <c:v>1.8208329999999999</c:v>
                </c:pt>
                <c:pt idx="1312">
                  <c:v>1.822222</c:v>
                </c:pt>
                <c:pt idx="1313">
                  <c:v>1.8236110000000001</c:v>
                </c:pt>
                <c:pt idx="1314">
                  <c:v>1.825</c:v>
                </c:pt>
                <c:pt idx="1315">
                  <c:v>1.826389</c:v>
                </c:pt>
                <c:pt idx="1316">
                  <c:v>1.8277779999999999</c:v>
                </c:pt>
                <c:pt idx="1317">
                  <c:v>1.829167</c:v>
                </c:pt>
                <c:pt idx="1318">
                  <c:v>1.8305560000000001</c:v>
                </c:pt>
                <c:pt idx="1319">
                  <c:v>1.831944</c:v>
                </c:pt>
                <c:pt idx="1320">
                  <c:v>1.8333330000000001</c:v>
                </c:pt>
                <c:pt idx="1321">
                  <c:v>1.834722</c:v>
                </c:pt>
                <c:pt idx="1322">
                  <c:v>1.836111</c:v>
                </c:pt>
                <c:pt idx="1323">
                  <c:v>1.8374999999999999</c:v>
                </c:pt>
                <c:pt idx="1324">
                  <c:v>1.838889</c:v>
                </c:pt>
                <c:pt idx="1325">
                  <c:v>1.8402780000000001</c:v>
                </c:pt>
                <c:pt idx="1326">
                  <c:v>1.8416669999999999</c:v>
                </c:pt>
                <c:pt idx="1327">
                  <c:v>1.843056</c:v>
                </c:pt>
                <c:pt idx="1328">
                  <c:v>1.844444</c:v>
                </c:pt>
                <c:pt idx="1329">
                  <c:v>1.8458330000000001</c:v>
                </c:pt>
                <c:pt idx="1330">
                  <c:v>1.8472219999999999</c:v>
                </c:pt>
                <c:pt idx="1331">
                  <c:v>1.848611</c:v>
                </c:pt>
                <c:pt idx="1332">
                  <c:v>1.85</c:v>
                </c:pt>
                <c:pt idx="1333">
                  <c:v>1.851389</c:v>
                </c:pt>
                <c:pt idx="1334">
                  <c:v>1.852778</c:v>
                </c:pt>
                <c:pt idx="1335">
                  <c:v>1.8541669999999999</c:v>
                </c:pt>
                <c:pt idx="1336">
                  <c:v>1.855556</c:v>
                </c:pt>
                <c:pt idx="1337">
                  <c:v>1.8569439999999999</c:v>
                </c:pt>
                <c:pt idx="1338">
                  <c:v>1.858333</c:v>
                </c:pt>
                <c:pt idx="1339">
                  <c:v>1.8597220000000001</c:v>
                </c:pt>
                <c:pt idx="1340">
                  <c:v>1.861111</c:v>
                </c:pt>
                <c:pt idx="1341">
                  <c:v>1.8625</c:v>
                </c:pt>
                <c:pt idx="1342">
                  <c:v>1.8638889999999999</c:v>
                </c:pt>
                <c:pt idx="1343">
                  <c:v>1.865278</c:v>
                </c:pt>
                <c:pt idx="1344">
                  <c:v>1.8666670000000001</c:v>
                </c:pt>
                <c:pt idx="1345">
                  <c:v>1.8680559999999999</c:v>
                </c:pt>
                <c:pt idx="1346">
                  <c:v>1.8694440000000001</c:v>
                </c:pt>
                <c:pt idx="1347">
                  <c:v>1.870833</c:v>
                </c:pt>
                <c:pt idx="1348">
                  <c:v>1.8722220000000001</c:v>
                </c:pt>
                <c:pt idx="1349">
                  <c:v>1.8736109999999999</c:v>
                </c:pt>
                <c:pt idx="1350">
                  <c:v>1.875</c:v>
                </c:pt>
                <c:pt idx="1351">
                  <c:v>1.8763890000000001</c:v>
                </c:pt>
                <c:pt idx="1352">
                  <c:v>1.8777779999999999</c:v>
                </c:pt>
                <c:pt idx="1353">
                  <c:v>1.879167</c:v>
                </c:pt>
                <c:pt idx="1354">
                  <c:v>1.8805559999999999</c:v>
                </c:pt>
                <c:pt idx="1355">
                  <c:v>1.8819440000000001</c:v>
                </c:pt>
                <c:pt idx="1356">
                  <c:v>1.8833329999999999</c:v>
                </c:pt>
                <c:pt idx="1357">
                  <c:v>1.884722</c:v>
                </c:pt>
                <c:pt idx="1358">
                  <c:v>1.8861110000000001</c:v>
                </c:pt>
                <c:pt idx="1359">
                  <c:v>1.8875</c:v>
                </c:pt>
                <c:pt idx="1360">
                  <c:v>1.888889</c:v>
                </c:pt>
                <c:pt idx="1361">
                  <c:v>1.8902779999999999</c:v>
                </c:pt>
                <c:pt idx="1362">
                  <c:v>1.891667</c:v>
                </c:pt>
                <c:pt idx="1363">
                  <c:v>1.8930560000000001</c:v>
                </c:pt>
                <c:pt idx="1364">
                  <c:v>1.894444</c:v>
                </c:pt>
                <c:pt idx="1365">
                  <c:v>1.8958330000000001</c:v>
                </c:pt>
                <c:pt idx="1366">
                  <c:v>1.897222</c:v>
                </c:pt>
                <c:pt idx="1367">
                  <c:v>1.898611</c:v>
                </c:pt>
                <c:pt idx="1368">
                  <c:v>1.9</c:v>
                </c:pt>
                <c:pt idx="1369">
                  <c:v>1.901389</c:v>
                </c:pt>
                <c:pt idx="1370">
                  <c:v>1.9027780000000001</c:v>
                </c:pt>
                <c:pt idx="1371">
                  <c:v>1.9041669999999999</c:v>
                </c:pt>
                <c:pt idx="1372">
                  <c:v>1.905556</c:v>
                </c:pt>
                <c:pt idx="1373">
                  <c:v>1.906944</c:v>
                </c:pt>
                <c:pt idx="1374">
                  <c:v>1.9083330000000001</c:v>
                </c:pt>
                <c:pt idx="1375">
                  <c:v>1.9097219999999999</c:v>
                </c:pt>
                <c:pt idx="1376">
                  <c:v>1.911111</c:v>
                </c:pt>
                <c:pt idx="1377">
                  <c:v>1.9125000000000001</c:v>
                </c:pt>
                <c:pt idx="1378">
                  <c:v>1.913889</c:v>
                </c:pt>
                <c:pt idx="1379">
                  <c:v>1.915278</c:v>
                </c:pt>
                <c:pt idx="1380">
                  <c:v>1.9166669999999999</c:v>
                </c:pt>
                <c:pt idx="1381">
                  <c:v>1.918056</c:v>
                </c:pt>
                <c:pt idx="1382">
                  <c:v>1.9194439999999999</c:v>
                </c:pt>
                <c:pt idx="1383">
                  <c:v>1.920833</c:v>
                </c:pt>
                <c:pt idx="1384">
                  <c:v>1.9222220000000001</c:v>
                </c:pt>
                <c:pt idx="1385">
                  <c:v>1.923611</c:v>
                </c:pt>
                <c:pt idx="1386">
                  <c:v>1.925</c:v>
                </c:pt>
                <c:pt idx="1387">
                  <c:v>1.9263889999999999</c:v>
                </c:pt>
                <c:pt idx="1388">
                  <c:v>1.927778</c:v>
                </c:pt>
                <c:pt idx="1389">
                  <c:v>1.9291670000000001</c:v>
                </c:pt>
                <c:pt idx="1390">
                  <c:v>1.9305559999999999</c:v>
                </c:pt>
                <c:pt idx="1391">
                  <c:v>1.9319440000000001</c:v>
                </c:pt>
                <c:pt idx="1392">
                  <c:v>1.933333</c:v>
                </c:pt>
                <c:pt idx="1393">
                  <c:v>1.9347220000000001</c:v>
                </c:pt>
                <c:pt idx="1394">
                  <c:v>1.9361109999999999</c:v>
                </c:pt>
                <c:pt idx="1395">
                  <c:v>1.9375</c:v>
                </c:pt>
                <c:pt idx="1396">
                  <c:v>1.9388890000000001</c:v>
                </c:pt>
                <c:pt idx="1397">
                  <c:v>1.9402779999999999</c:v>
                </c:pt>
                <c:pt idx="1398">
                  <c:v>1.941667</c:v>
                </c:pt>
                <c:pt idx="1399">
                  <c:v>1.9430559999999999</c:v>
                </c:pt>
                <c:pt idx="1400">
                  <c:v>1.9444440000000001</c:v>
                </c:pt>
                <c:pt idx="1401">
                  <c:v>1.9458329999999999</c:v>
                </c:pt>
                <c:pt idx="1402">
                  <c:v>1.947222</c:v>
                </c:pt>
                <c:pt idx="1403">
                  <c:v>1.9486110000000001</c:v>
                </c:pt>
                <c:pt idx="1404">
                  <c:v>1.95</c:v>
                </c:pt>
                <c:pt idx="1405">
                  <c:v>1.951389</c:v>
                </c:pt>
                <c:pt idx="1406">
                  <c:v>1.9527779999999999</c:v>
                </c:pt>
                <c:pt idx="1407">
                  <c:v>1.954167</c:v>
                </c:pt>
                <c:pt idx="1408">
                  <c:v>1.9555560000000001</c:v>
                </c:pt>
                <c:pt idx="1409">
                  <c:v>1.956944</c:v>
                </c:pt>
                <c:pt idx="1410">
                  <c:v>1.9583330000000001</c:v>
                </c:pt>
                <c:pt idx="1411">
                  <c:v>1.959722</c:v>
                </c:pt>
                <c:pt idx="1412">
                  <c:v>1.961111</c:v>
                </c:pt>
                <c:pt idx="1413">
                  <c:v>1.9624999999999999</c:v>
                </c:pt>
                <c:pt idx="1414">
                  <c:v>1.963889</c:v>
                </c:pt>
                <c:pt idx="1415">
                  <c:v>1.9652780000000001</c:v>
                </c:pt>
                <c:pt idx="1416">
                  <c:v>1.9666669999999999</c:v>
                </c:pt>
                <c:pt idx="1417">
                  <c:v>1.968056</c:v>
                </c:pt>
                <c:pt idx="1418">
                  <c:v>1.969444</c:v>
                </c:pt>
                <c:pt idx="1419">
                  <c:v>1.9708330000000001</c:v>
                </c:pt>
                <c:pt idx="1420">
                  <c:v>1.9722219999999999</c:v>
                </c:pt>
                <c:pt idx="1421">
                  <c:v>1.973611</c:v>
                </c:pt>
                <c:pt idx="1422">
                  <c:v>1.9750000000000001</c:v>
                </c:pt>
                <c:pt idx="1423">
                  <c:v>1.976389</c:v>
                </c:pt>
                <c:pt idx="1424">
                  <c:v>1.977778</c:v>
                </c:pt>
                <c:pt idx="1425">
                  <c:v>1.9791669999999999</c:v>
                </c:pt>
                <c:pt idx="1426">
                  <c:v>1.980556</c:v>
                </c:pt>
                <c:pt idx="1427">
                  <c:v>1.9819439999999999</c:v>
                </c:pt>
                <c:pt idx="1428">
                  <c:v>1.983333</c:v>
                </c:pt>
                <c:pt idx="1429">
                  <c:v>1.9847220000000001</c:v>
                </c:pt>
                <c:pt idx="1430">
                  <c:v>1.986111</c:v>
                </c:pt>
                <c:pt idx="1431">
                  <c:v>1.9875</c:v>
                </c:pt>
                <c:pt idx="1432">
                  <c:v>1.9888889999999999</c:v>
                </c:pt>
                <c:pt idx="1433">
                  <c:v>1.990278</c:v>
                </c:pt>
                <c:pt idx="1434">
                  <c:v>1.9916670000000001</c:v>
                </c:pt>
                <c:pt idx="1435">
                  <c:v>1.9930559999999999</c:v>
                </c:pt>
                <c:pt idx="1436">
                  <c:v>1.9944440000000001</c:v>
                </c:pt>
                <c:pt idx="1437">
                  <c:v>1.995833</c:v>
                </c:pt>
                <c:pt idx="1438">
                  <c:v>1.9972220000000001</c:v>
                </c:pt>
                <c:pt idx="1439">
                  <c:v>1.9986109999999999</c:v>
                </c:pt>
                <c:pt idx="1440">
                  <c:v>2</c:v>
                </c:pt>
                <c:pt idx="1441">
                  <c:v>2.0013890000000001</c:v>
                </c:pt>
                <c:pt idx="1442">
                  <c:v>2.0027780000000002</c:v>
                </c:pt>
                <c:pt idx="1443">
                  <c:v>2.0041669999999998</c:v>
                </c:pt>
                <c:pt idx="1444">
                  <c:v>2.0055559999999999</c:v>
                </c:pt>
                <c:pt idx="1445">
                  <c:v>2.0069439999999998</c:v>
                </c:pt>
                <c:pt idx="1446">
                  <c:v>2.0083329999999999</c:v>
                </c:pt>
                <c:pt idx="1447">
                  <c:v>2.009722</c:v>
                </c:pt>
                <c:pt idx="1448">
                  <c:v>2.0111110000000001</c:v>
                </c:pt>
                <c:pt idx="1449">
                  <c:v>2.0125000000000002</c:v>
                </c:pt>
                <c:pt idx="1450">
                  <c:v>2.0138889999999998</c:v>
                </c:pt>
                <c:pt idx="1451">
                  <c:v>2.0152779999999999</c:v>
                </c:pt>
                <c:pt idx="1452">
                  <c:v>2.016667</c:v>
                </c:pt>
                <c:pt idx="1453">
                  <c:v>2.0180560000000001</c:v>
                </c:pt>
                <c:pt idx="1454">
                  <c:v>2.019444</c:v>
                </c:pt>
                <c:pt idx="1455">
                  <c:v>2.0208330000000001</c:v>
                </c:pt>
                <c:pt idx="1456">
                  <c:v>2.0222220000000002</c:v>
                </c:pt>
                <c:pt idx="1457">
                  <c:v>2.0236109999999998</c:v>
                </c:pt>
                <c:pt idx="1458">
                  <c:v>2.0249999999999999</c:v>
                </c:pt>
                <c:pt idx="1459">
                  <c:v>2.026389</c:v>
                </c:pt>
                <c:pt idx="1460">
                  <c:v>2.0277780000000001</c:v>
                </c:pt>
                <c:pt idx="1461">
                  <c:v>2.0291670000000002</c:v>
                </c:pt>
                <c:pt idx="1462">
                  <c:v>2.0305559999999998</c:v>
                </c:pt>
                <c:pt idx="1463">
                  <c:v>2.0319440000000002</c:v>
                </c:pt>
                <c:pt idx="1464">
                  <c:v>2.0333329999999998</c:v>
                </c:pt>
                <c:pt idx="1465">
                  <c:v>2.0347219999999999</c:v>
                </c:pt>
                <c:pt idx="1466">
                  <c:v>2.036111</c:v>
                </c:pt>
                <c:pt idx="1467">
                  <c:v>2.0375000000000001</c:v>
                </c:pt>
                <c:pt idx="1468">
                  <c:v>2.0388890000000002</c:v>
                </c:pt>
                <c:pt idx="1469">
                  <c:v>2.0402779999999998</c:v>
                </c:pt>
                <c:pt idx="1470">
                  <c:v>2.0416669999999999</c:v>
                </c:pt>
                <c:pt idx="1471">
                  <c:v>2.043056</c:v>
                </c:pt>
                <c:pt idx="1472">
                  <c:v>2.0444439999999999</c:v>
                </c:pt>
                <c:pt idx="1473">
                  <c:v>2.045833</c:v>
                </c:pt>
                <c:pt idx="1474">
                  <c:v>2.0472220000000001</c:v>
                </c:pt>
                <c:pt idx="1475">
                  <c:v>2.0486110000000002</c:v>
                </c:pt>
                <c:pt idx="1476">
                  <c:v>2.0499999999999998</c:v>
                </c:pt>
                <c:pt idx="1477">
                  <c:v>2.0513889999999999</c:v>
                </c:pt>
                <c:pt idx="1478">
                  <c:v>2.052778</c:v>
                </c:pt>
                <c:pt idx="1479">
                  <c:v>2.0541670000000001</c:v>
                </c:pt>
                <c:pt idx="1480">
                  <c:v>2.0555560000000002</c:v>
                </c:pt>
                <c:pt idx="1481">
                  <c:v>2.0569440000000001</c:v>
                </c:pt>
                <c:pt idx="1482">
                  <c:v>2.0583330000000002</c:v>
                </c:pt>
                <c:pt idx="1483">
                  <c:v>2.0597219999999998</c:v>
                </c:pt>
                <c:pt idx="1484">
                  <c:v>2.0611109999999999</c:v>
                </c:pt>
                <c:pt idx="1485">
                  <c:v>2.0625</c:v>
                </c:pt>
                <c:pt idx="1486">
                  <c:v>2.0638890000000001</c:v>
                </c:pt>
                <c:pt idx="1487">
                  <c:v>2.0652780000000002</c:v>
                </c:pt>
                <c:pt idx="1488">
                  <c:v>2.0666669999999998</c:v>
                </c:pt>
                <c:pt idx="1489">
                  <c:v>2.0680559999999999</c:v>
                </c:pt>
                <c:pt idx="1490">
                  <c:v>2.0694439999999998</c:v>
                </c:pt>
                <c:pt idx="1491">
                  <c:v>2.0708329999999999</c:v>
                </c:pt>
                <c:pt idx="1492">
                  <c:v>2.072222</c:v>
                </c:pt>
                <c:pt idx="1493">
                  <c:v>2.0736110000000001</c:v>
                </c:pt>
                <c:pt idx="1494">
                  <c:v>2.0750000000000002</c:v>
                </c:pt>
                <c:pt idx="1495">
                  <c:v>2.0763889999999998</c:v>
                </c:pt>
                <c:pt idx="1496">
                  <c:v>2.0777779999999999</c:v>
                </c:pt>
                <c:pt idx="1497">
                  <c:v>2.079167</c:v>
                </c:pt>
                <c:pt idx="1498">
                  <c:v>2.0805560000000001</c:v>
                </c:pt>
                <c:pt idx="1499">
                  <c:v>2.081944</c:v>
                </c:pt>
                <c:pt idx="1500">
                  <c:v>2.0833330000000001</c:v>
                </c:pt>
                <c:pt idx="1501">
                  <c:v>2.0847220000000002</c:v>
                </c:pt>
                <c:pt idx="1502">
                  <c:v>2.0861109999999998</c:v>
                </c:pt>
                <c:pt idx="1503">
                  <c:v>2.0874999999999999</c:v>
                </c:pt>
                <c:pt idx="1504">
                  <c:v>2.088889</c:v>
                </c:pt>
                <c:pt idx="1505">
                  <c:v>2.0902780000000001</c:v>
                </c:pt>
                <c:pt idx="1506">
                  <c:v>2.0916670000000002</c:v>
                </c:pt>
                <c:pt idx="1507">
                  <c:v>2.0930559999999998</c:v>
                </c:pt>
                <c:pt idx="1508">
                  <c:v>2.0944440000000002</c:v>
                </c:pt>
                <c:pt idx="1509">
                  <c:v>2.0958329999999998</c:v>
                </c:pt>
                <c:pt idx="1510">
                  <c:v>2.0972219999999999</c:v>
                </c:pt>
                <c:pt idx="1511">
                  <c:v>2.098611</c:v>
                </c:pt>
                <c:pt idx="1512">
                  <c:v>2.1</c:v>
                </c:pt>
                <c:pt idx="1513">
                  <c:v>2.1013890000000002</c:v>
                </c:pt>
                <c:pt idx="1514">
                  <c:v>2.1027779999999998</c:v>
                </c:pt>
                <c:pt idx="1515">
                  <c:v>2.1041669999999999</c:v>
                </c:pt>
                <c:pt idx="1516">
                  <c:v>2.105556</c:v>
                </c:pt>
                <c:pt idx="1517">
                  <c:v>2.1069439999999999</c:v>
                </c:pt>
                <c:pt idx="1518">
                  <c:v>2.108333</c:v>
                </c:pt>
                <c:pt idx="1519">
                  <c:v>2.1097220000000001</c:v>
                </c:pt>
                <c:pt idx="1520">
                  <c:v>2.1111110000000002</c:v>
                </c:pt>
                <c:pt idx="1521">
                  <c:v>2.1124999999999998</c:v>
                </c:pt>
                <c:pt idx="1522">
                  <c:v>2.1138889999999999</c:v>
                </c:pt>
                <c:pt idx="1523">
                  <c:v>2.115278</c:v>
                </c:pt>
                <c:pt idx="1524">
                  <c:v>2.1166670000000001</c:v>
                </c:pt>
                <c:pt idx="1525">
                  <c:v>2.1180560000000002</c:v>
                </c:pt>
                <c:pt idx="1526">
                  <c:v>2.1194440000000001</c:v>
                </c:pt>
                <c:pt idx="1527">
                  <c:v>2.1208330000000002</c:v>
                </c:pt>
                <c:pt idx="1528">
                  <c:v>2.1222219999999998</c:v>
                </c:pt>
                <c:pt idx="1529">
                  <c:v>2.1236109999999999</c:v>
                </c:pt>
                <c:pt idx="1530">
                  <c:v>2.125</c:v>
                </c:pt>
                <c:pt idx="1531">
                  <c:v>2.1263890000000001</c:v>
                </c:pt>
                <c:pt idx="1532">
                  <c:v>2.1277780000000002</c:v>
                </c:pt>
                <c:pt idx="1533">
                  <c:v>2.1291669999999998</c:v>
                </c:pt>
                <c:pt idx="1534">
                  <c:v>2.1305559999999999</c:v>
                </c:pt>
                <c:pt idx="1535">
                  <c:v>2.1319439999999998</c:v>
                </c:pt>
                <c:pt idx="1536">
                  <c:v>2.1333329999999999</c:v>
                </c:pt>
                <c:pt idx="1537">
                  <c:v>2.134722</c:v>
                </c:pt>
                <c:pt idx="1538">
                  <c:v>2.1361110000000001</c:v>
                </c:pt>
                <c:pt idx="1539">
                  <c:v>2.1375000000000002</c:v>
                </c:pt>
                <c:pt idx="1540">
                  <c:v>2.1388889999999998</c:v>
                </c:pt>
                <c:pt idx="1541">
                  <c:v>2.1402779999999999</c:v>
                </c:pt>
                <c:pt idx="1542">
                  <c:v>2.141667</c:v>
                </c:pt>
                <c:pt idx="1543">
                  <c:v>2.1430560000000001</c:v>
                </c:pt>
                <c:pt idx="1544">
                  <c:v>2.144444</c:v>
                </c:pt>
                <c:pt idx="1545">
                  <c:v>2.1458330000000001</c:v>
                </c:pt>
                <c:pt idx="1546">
                  <c:v>2.1472220000000002</c:v>
                </c:pt>
                <c:pt idx="1547">
                  <c:v>2.1486109999999998</c:v>
                </c:pt>
                <c:pt idx="1548">
                  <c:v>2.15</c:v>
                </c:pt>
                <c:pt idx="1549">
                  <c:v>2.151389</c:v>
                </c:pt>
                <c:pt idx="1550">
                  <c:v>2.1527780000000001</c:v>
                </c:pt>
                <c:pt idx="1551">
                  <c:v>2.1541670000000002</c:v>
                </c:pt>
                <c:pt idx="1552">
                  <c:v>2.1555559999999998</c:v>
                </c:pt>
                <c:pt idx="1553">
                  <c:v>2.1569440000000002</c:v>
                </c:pt>
                <c:pt idx="1554">
                  <c:v>2.1583329999999998</c:v>
                </c:pt>
                <c:pt idx="1555">
                  <c:v>2.1597219999999999</c:v>
                </c:pt>
                <c:pt idx="1556">
                  <c:v>2.161111</c:v>
                </c:pt>
                <c:pt idx="1557">
                  <c:v>2.1625000000000001</c:v>
                </c:pt>
                <c:pt idx="1558">
                  <c:v>2.1638890000000002</c:v>
                </c:pt>
                <c:pt idx="1559">
                  <c:v>2.1652779999999998</c:v>
                </c:pt>
                <c:pt idx="1560">
                  <c:v>2.1666669999999999</c:v>
                </c:pt>
                <c:pt idx="1561">
                  <c:v>2.168056</c:v>
                </c:pt>
                <c:pt idx="1562">
                  <c:v>2.1694439999999999</c:v>
                </c:pt>
                <c:pt idx="1563">
                  <c:v>2.170833</c:v>
                </c:pt>
                <c:pt idx="1564">
                  <c:v>2.1722220000000001</c:v>
                </c:pt>
                <c:pt idx="1565">
                  <c:v>2.1736110000000002</c:v>
                </c:pt>
                <c:pt idx="1566">
                  <c:v>2.1749999999999998</c:v>
                </c:pt>
                <c:pt idx="1567">
                  <c:v>2.1763889999999999</c:v>
                </c:pt>
                <c:pt idx="1568">
                  <c:v>2.177778</c:v>
                </c:pt>
                <c:pt idx="1569">
                  <c:v>2.1791670000000001</c:v>
                </c:pt>
                <c:pt idx="1570">
                  <c:v>2.1805560000000002</c:v>
                </c:pt>
                <c:pt idx="1571">
                  <c:v>2.1819440000000001</c:v>
                </c:pt>
                <c:pt idx="1572">
                  <c:v>2.1833330000000002</c:v>
                </c:pt>
                <c:pt idx="1573">
                  <c:v>2.1847219999999998</c:v>
                </c:pt>
                <c:pt idx="1574">
                  <c:v>2.1861109999999999</c:v>
                </c:pt>
                <c:pt idx="1575">
                  <c:v>2.1875</c:v>
                </c:pt>
                <c:pt idx="1576">
                  <c:v>2.1888890000000001</c:v>
                </c:pt>
                <c:pt idx="1577">
                  <c:v>2.1902780000000002</c:v>
                </c:pt>
                <c:pt idx="1578">
                  <c:v>2.1916669999999998</c:v>
                </c:pt>
                <c:pt idx="1579">
                  <c:v>2.1930559999999999</c:v>
                </c:pt>
                <c:pt idx="1580">
                  <c:v>2.1944439999999998</c:v>
                </c:pt>
                <c:pt idx="1581">
                  <c:v>2.1958329999999999</c:v>
                </c:pt>
                <c:pt idx="1582">
                  <c:v>2.197222</c:v>
                </c:pt>
                <c:pt idx="1583">
                  <c:v>2.1986110000000001</c:v>
                </c:pt>
                <c:pt idx="1584">
                  <c:v>2.2000000000000002</c:v>
                </c:pt>
                <c:pt idx="1585">
                  <c:v>2.2013889999999998</c:v>
                </c:pt>
                <c:pt idx="1586">
                  <c:v>2.2027779999999999</c:v>
                </c:pt>
                <c:pt idx="1587">
                  <c:v>2.204167</c:v>
                </c:pt>
                <c:pt idx="1588">
                  <c:v>2.2055560000000001</c:v>
                </c:pt>
                <c:pt idx="1589">
                  <c:v>2.206944</c:v>
                </c:pt>
                <c:pt idx="1590">
                  <c:v>2.2083330000000001</c:v>
                </c:pt>
                <c:pt idx="1591">
                  <c:v>2.2097220000000002</c:v>
                </c:pt>
                <c:pt idx="1592">
                  <c:v>2.2111109999999998</c:v>
                </c:pt>
                <c:pt idx="1593">
                  <c:v>2.2124999999999999</c:v>
                </c:pt>
                <c:pt idx="1594">
                  <c:v>2.213889</c:v>
                </c:pt>
                <c:pt idx="1595">
                  <c:v>2.2152780000000001</c:v>
                </c:pt>
                <c:pt idx="1596">
                  <c:v>2.2166670000000002</c:v>
                </c:pt>
                <c:pt idx="1597">
                  <c:v>2.2180559999999998</c:v>
                </c:pt>
                <c:pt idx="1598">
                  <c:v>2.2194440000000002</c:v>
                </c:pt>
                <c:pt idx="1599">
                  <c:v>2.2208329999999998</c:v>
                </c:pt>
                <c:pt idx="1600">
                  <c:v>2.2222219999999999</c:v>
                </c:pt>
                <c:pt idx="1601">
                  <c:v>2.223611</c:v>
                </c:pt>
                <c:pt idx="1602">
                  <c:v>2.2250000000000001</c:v>
                </c:pt>
                <c:pt idx="1603">
                  <c:v>2.2263890000000002</c:v>
                </c:pt>
                <c:pt idx="1604">
                  <c:v>2.2277779999999998</c:v>
                </c:pt>
                <c:pt idx="1605">
                  <c:v>2.2291669999999999</c:v>
                </c:pt>
                <c:pt idx="1606">
                  <c:v>2.230556</c:v>
                </c:pt>
                <c:pt idx="1607">
                  <c:v>2.2319439999999999</c:v>
                </c:pt>
                <c:pt idx="1608">
                  <c:v>2.233333</c:v>
                </c:pt>
                <c:pt idx="1609">
                  <c:v>2.2347220000000001</c:v>
                </c:pt>
                <c:pt idx="1610">
                  <c:v>2.2361110000000002</c:v>
                </c:pt>
                <c:pt idx="1611">
                  <c:v>2.2374999999999998</c:v>
                </c:pt>
                <c:pt idx="1612">
                  <c:v>2.2388889999999999</c:v>
                </c:pt>
                <c:pt idx="1613">
                  <c:v>2.240278</c:v>
                </c:pt>
                <c:pt idx="1614">
                  <c:v>2.2416670000000001</c:v>
                </c:pt>
                <c:pt idx="1615">
                  <c:v>2.2430560000000002</c:v>
                </c:pt>
                <c:pt idx="1616">
                  <c:v>2.2444440000000001</c:v>
                </c:pt>
                <c:pt idx="1617">
                  <c:v>2.2458330000000002</c:v>
                </c:pt>
                <c:pt idx="1618">
                  <c:v>2.2472219999999998</c:v>
                </c:pt>
                <c:pt idx="1619">
                  <c:v>2.2486109999999999</c:v>
                </c:pt>
                <c:pt idx="1620">
                  <c:v>2.25</c:v>
                </c:pt>
                <c:pt idx="1621">
                  <c:v>2.2513890000000001</c:v>
                </c:pt>
                <c:pt idx="1622">
                  <c:v>2.2527780000000002</c:v>
                </c:pt>
                <c:pt idx="1623">
                  <c:v>2.2541669999999998</c:v>
                </c:pt>
                <c:pt idx="1624">
                  <c:v>2.2555559999999999</c:v>
                </c:pt>
                <c:pt idx="1625">
                  <c:v>2.2569439999999998</c:v>
                </c:pt>
                <c:pt idx="1626">
                  <c:v>2.2583329999999999</c:v>
                </c:pt>
                <c:pt idx="1627">
                  <c:v>2.259722</c:v>
                </c:pt>
                <c:pt idx="1628">
                  <c:v>2.2611110000000001</c:v>
                </c:pt>
                <c:pt idx="1629">
                  <c:v>2.2625000000000002</c:v>
                </c:pt>
                <c:pt idx="1630">
                  <c:v>2.2638889999999998</c:v>
                </c:pt>
                <c:pt idx="1631">
                  <c:v>2.2652779999999999</c:v>
                </c:pt>
                <c:pt idx="1632">
                  <c:v>2.266667</c:v>
                </c:pt>
                <c:pt idx="1633">
                  <c:v>2.2680560000000001</c:v>
                </c:pt>
                <c:pt idx="1634">
                  <c:v>2.269444</c:v>
                </c:pt>
                <c:pt idx="1635">
                  <c:v>2.2708330000000001</c:v>
                </c:pt>
                <c:pt idx="1636">
                  <c:v>2.2722220000000002</c:v>
                </c:pt>
                <c:pt idx="1637">
                  <c:v>2.2736109999999998</c:v>
                </c:pt>
                <c:pt idx="1638">
                  <c:v>2.2749999999999999</c:v>
                </c:pt>
                <c:pt idx="1639">
                  <c:v>2.276389</c:v>
                </c:pt>
                <c:pt idx="1640">
                  <c:v>2.2777780000000001</c:v>
                </c:pt>
                <c:pt idx="1641">
                  <c:v>2.2791670000000002</c:v>
                </c:pt>
                <c:pt idx="1642">
                  <c:v>2.2805559999999998</c:v>
                </c:pt>
                <c:pt idx="1643">
                  <c:v>2.2819440000000002</c:v>
                </c:pt>
                <c:pt idx="1644">
                  <c:v>2.2833329999999998</c:v>
                </c:pt>
                <c:pt idx="1645">
                  <c:v>2.2847219999999999</c:v>
                </c:pt>
                <c:pt idx="1646">
                  <c:v>2.286111</c:v>
                </c:pt>
                <c:pt idx="1647">
                  <c:v>2.2875000000000001</c:v>
                </c:pt>
                <c:pt idx="1648">
                  <c:v>2.2888890000000002</c:v>
                </c:pt>
                <c:pt idx="1649">
                  <c:v>2.2902779999999998</c:v>
                </c:pt>
                <c:pt idx="1650">
                  <c:v>2.2916669999999999</c:v>
                </c:pt>
                <c:pt idx="1651">
                  <c:v>2.293056</c:v>
                </c:pt>
                <c:pt idx="1652">
                  <c:v>2.2944439999999999</c:v>
                </c:pt>
                <c:pt idx="1653">
                  <c:v>2.295833</c:v>
                </c:pt>
                <c:pt idx="1654">
                  <c:v>2.2972220000000001</c:v>
                </c:pt>
                <c:pt idx="1655">
                  <c:v>2.2986110000000002</c:v>
                </c:pt>
                <c:pt idx="1656">
                  <c:v>2.2999999999999998</c:v>
                </c:pt>
                <c:pt idx="1657">
                  <c:v>2.3013889999999999</c:v>
                </c:pt>
                <c:pt idx="1658">
                  <c:v>2.302778</c:v>
                </c:pt>
                <c:pt idx="1659">
                  <c:v>2.3041670000000001</c:v>
                </c:pt>
                <c:pt idx="1660">
                  <c:v>2.3055560000000002</c:v>
                </c:pt>
                <c:pt idx="1661">
                  <c:v>2.3069440000000001</c:v>
                </c:pt>
                <c:pt idx="1662">
                  <c:v>2.3083330000000002</c:v>
                </c:pt>
                <c:pt idx="1663">
                  <c:v>2.3097219999999998</c:v>
                </c:pt>
                <c:pt idx="1664">
                  <c:v>2.3111109999999999</c:v>
                </c:pt>
                <c:pt idx="1665">
                  <c:v>2.3125</c:v>
                </c:pt>
                <c:pt idx="1666">
                  <c:v>2.3138890000000001</c:v>
                </c:pt>
                <c:pt idx="1667">
                  <c:v>2.3152780000000002</c:v>
                </c:pt>
                <c:pt idx="1668">
                  <c:v>2.3166669999999998</c:v>
                </c:pt>
                <c:pt idx="1669">
                  <c:v>2.3180559999999999</c:v>
                </c:pt>
                <c:pt idx="1670">
                  <c:v>2.3194439999999998</c:v>
                </c:pt>
                <c:pt idx="1671">
                  <c:v>2.3208329999999999</c:v>
                </c:pt>
                <c:pt idx="1672">
                  <c:v>2.322222</c:v>
                </c:pt>
                <c:pt idx="1673">
                  <c:v>2.3236110000000001</c:v>
                </c:pt>
                <c:pt idx="1674">
                  <c:v>2.3250000000000002</c:v>
                </c:pt>
                <c:pt idx="1675">
                  <c:v>2.3263889999999998</c:v>
                </c:pt>
                <c:pt idx="1676">
                  <c:v>2.3277779999999999</c:v>
                </c:pt>
                <c:pt idx="1677">
                  <c:v>2.329167</c:v>
                </c:pt>
                <c:pt idx="1678">
                  <c:v>2.3305560000000001</c:v>
                </c:pt>
                <c:pt idx="1679">
                  <c:v>2.331944</c:v>
                </c:pt>
                <c:pt idx="1680">
                  <c:v>2.3333330000000001</c:v>
                </c:pt>
                <c:pt idx="1681">
                  <c:v>2.3347220000000002</c:v>
                </c:pt>
                <c:pt idx="1682">
                  <c:v>2.3361109999999998</c:v>
                </c:pt>
                <c:pt idx="1683">
                  <c:v>2.3374999999999999</c:v>
                </c:pt>
                <c:pt idx="1684">
                  <c:v>2.338889</c:v>
                </c:pt>
                <c:pt idx="1685">
                  <c:v>2.3402780000000001</c:v>
                </c:pt>
                <c:pt idx="1686">
                  <c:v>2.3416670000000002</c:v>
                </c:pt>
                <c:pt idx="1687">
                  <c:v>2.3430559999999998</c:v>
                </c:pt>
                <c:pt idx="1688">
                  <c:v>2.3444440000000002</c:v>
                </c:pt>
                <c:pt idx="1689">
                  <c:v>2.3458329999999998</c:v>
                </c:pt>
                <c:pt idx="1690">
                  <c:v>2.3472219999999999</c:v>
                </c:pt>
                <c:pt idx="1691">
                  <c:v>2.348611</c:v>
                </c:pt>
                <c:pt idx="1692">
                  <c:v>2.35</c:v>
                </c:pt>
                <c:pt idx="1693">
                  <c:v>2.3513890000000002</c:v>
                </c:pt>
                <c:pt idx="1694">
                  <c:v>2.3527779999999998</c:v>
                </c:pt>
                <c:pt idx="1695">
                  <c:v>2.3541669999999999</c:v>
                </c:pt>
                <c:pt idx="1696">
                  <c:v>2.355556</c:v>
                </c:pt>
                <c:pt idx="1697">
                  <c:v>2.3569439999999999</c:v>
                </c:pt>
                <c:pt idx="1698">
                  <c:v>2.358333</c:v>
                </c:pt>
                <c:pt idx="1699">
                  <c:v>2.3597220000000001</c:v>
                </c:pt>
                <c:pt idx="1700">
                  <c:v>2.3611110000000002</c:v>
                </c:pt>
                <c:pt idx="1701">
                  <c:v>2.3624999999999998</c:v>
                </c:pt>
                <c:pt idx="1702">
                  <c:v>2.3638889999999999</c:v>
                </c:pt>
                <c:pt idx="1703">
                  <c:v>2.365278</c:v>
                </c:pt>
                <c:pt idx="1704">
                  <c:v>2.3666670000000001</c:v>
                </c:pt>
                <c:pt idx="1705">
                  <c:v>2.3680560000000002</c:v>
                </c:pt>
                <c:pt idx="1706">
                  <c:v>2.3694440000000001</c:v>
                </c:pt>
                <c:pt idx="1707">
                  <c:v>2.3708330000000002</c:v>
                </c:pt>
                <c:pt idx="1708">
                  <c:v>2.3722219999999998</c:v>
                </c:pt>
                <c:pt idx="1709">
                  <c:v>2.3736109999999999</c:v>
                </c:pt>
                <c:pt idx="1710">
                  <c:v>2.375</c:v>
                </c:pt>
                <c:pt idx="1711">
                  <c:v>2.3763890000000001</c:v>
                </c:pt>
                <c:pt idx="1712">
                  <c:v>2.3777780000000002</c:v>
                </c:pt>
                <c:pt idx="1713">
                  <c:v>2.3791669999999998</c:v>
                </c:pt>
                <c:pt idx="1714">
                  <c:v>2.3805559999999999</c:v>
                </c:pt>
                <c:pt idx="1715">
                  <c:v>2.3819439999999998</c:v>
                </c:pt>
                <c:pt idx="1716">
                  <c:v>2.3833329999999999</c:v>
                </c:pt>
                <c:pt idx="1717">
                  <c:v>2.384722</c:v>
                </c:pt>
                <c:pt idx="1718">
                  <c:v>2.3861110000000001</c:v>
                </c:pt>
                <c:pt idx="1719">
                  <c:v>2.3875000000000002</c:v>
                </c:pt>
                <c:pt idx="1720">
                  <c:v>2.3888889999999998</c:v>
                </c:pt>
                <c:pt idx="1721">
                  <c:v>2.3902779999999999</c:v>
                </c:pt>
                <c:pt idx="1722">
                  <c:v>2.391667</c:v>
                </c:pt>
                <c:pt idx="1723">
                  <c:v>2.3930560000000001</c:v>
                </c:pt>
                <c:pt idx="1724">
                  <c:v>2.394444</c:v>
                </c:pt>
                <c:pt idx="1725">
                  <c:v>2.3958330000000001</c:v>
                </c:pt>
                <c:pt idx="1726">
                  <c:v>2.3972220000000002</c:v>
                </c:pt>
                <c:pt idx="1727">
                  <c:v>2.3986109999999998</c:v>
                </c:pt>
                <c:pt idx="1728">
                  <c:v>2.4</c:v>
                </c:pt>
                <c:pt idx="1729">
                  <c:v>2.401389</c:v>
                </c:pt>
                <c:pt idx="1730">
                  <c:v>2.4027780000000001</c:v>
                </c:pt>
                <c:pt idx="1731">
                  <c:v>2.4041670000000002</c:v>
                </c:pt>
                <c:pt idx="1732">
                  <c:v>2.4055559999999998</c:v>
                </c:pt>
                <c:pt idx="1733">
                  <c:v>2.4069440000000002</c:v>
                </c:pt>
                <c:pt idx="1734">
                  <c:v>2.4083329999999998</c:v>
                </c:pt>
                <c:pt idx="1735">
                  <c:v>2.4097219999999999</c:v>
                </c:pt>
                <c:pt idx="1736">
                  <c:v>2.411111</c:v>
                </c:pt>
                <c:pt idx="1737">
                  <c:v>2.4125000000000001</c:v>
                </c:pt>
                <c:pt idx="1738">
                  <c:v>2.4138890000000002</c:v>
                </c:pt>
                <c:pt idx="1739">
                  <c:v>2.4152779999999998</c:v>
                </c:pt>
                <c:pt idx="1740">
                  <c:v>2.4166669999999999</c:v>
                </c:pt>
                <c:pt idx="1741">
                  <c:v>2.418056</c:v>
                </c:pt>
                <c:pt idx="1742">
                  <c:v>2.4194439999999999</c:v>
                </c:pt>
                <c:pt idx="1743">
                  <c:v>2.420833</c:v>
                </c:pt>
                <c:pt idx="1744">
                  <c:v>2.4222220000000001</c:v>
                </c:pt>
                <c:pt idx="1745">
                  <c:v>2.4236110000000002</c:v>
                </c:pt>
                <c:pt idx="1746">
                  <c:v>2.4249999999999998</c:v>
                </c:pt>
                <c:pt idx="1747">
                  <c:v>2.4263889999999999</c:v>
                </c:pt>
                <c:pt idx="1748">
                  <c:v>2.427778</c:v>
                </c:pt>
                <c:pt idx="1749">
                  <c:v>2.4291670000000001</c:v>
                </c:pt>
                <c:pt idx="1750">
                  <c:v>2.4305560000000002</c:v>
                </c:pt>
                <c:pt idx="1751">
                  <c:v>2.4319440000000001</c:v>
                </c:pt>
                <c:pt idx="1752">
                  <c:v>2.4333330000000002</c:v>
                </c:pt>
                <c:pt idx="1753">
                  <c:v>2.4347219999999998</c:v>
                </c:pt>
                <c:pt idx="1754">
                  <c:v>2.4361109999999999</c:v>
                </c:pt>
                <c:pt idx="1755">
                  <c:v>2.4375</c:v>
                </c:pt>
                <c:pt idx="1756">
                  <c:v>2.4388890000000001</c:v>
                </c:pt>
                <c:pt idx="1757">
                  <c:v>2.4402780000000002</c:v>
                </c:pt>
                <c:pt idx="1758">
                  <c:v>2.4416669999999998</c:v>
                </c:pt>
                <c:pt idx="1759">
                  <c:v>2.4430559999999999</c:v>
                </c:pt>
                <c:pt idx="1760">
                  <c:v>2.4444439999999998</c:v>
                </c:pt>
                <c:pt idx="1761">
                  <c:v>2.4458329999999999</c:v>
                </c:pt>
                <c:pt idx="1762">
                  <c:v>2.447222</c:v>
                </c:pt>
                <c:pt idx="1763">
                  <c:v>2.4486110000000001</c:v>
                </c:pt>
                <c:pt idx="1764">
                  <c:v>2.4500000000000002</c:v>
                </c:pt>
                <c:pt idx="1765">
                  <c:v>2.4513889999999998</c:v>
                </c:pt>
                <c:pt idx="1766">
                  <c:v>2.4527779999999999</c:v>
                </c:pt>
                <c:pt idx="1767">
                  <c:v>2.454167</c:v>
                </c:pt>
                <c:pt idx="1768">
                  <c:v>2.4555560000000001</c:v>
                </c:pt>
                <c:pt idx="1769">
                  <c:v>2.456944</c:v>
                </c:pt>
                <c:pt idx="1770">
                  <c:v>2.4583330000000001</c:v>
                </c:pt>
                <c:pt idx="1771">
                  <c:v>2.4597220000000002</c:v>
                </c:pt>
                <c:pt idx="1772">
                  <c:v>2.4611109999999998</c:v>
                </c:pt>
                <c:pt idx="1773">
                  <c:v>2.4624999999999999</c:v>
                </c:pt>
                <c:pt idx="1774">
                  <c:v>2.463889</c:v>
                </c:pt>
                <c:pt idx="1775">
                  <c:v>2.4652780000000001</c:v>
                </c:pt>
                <c:pt idx="1776">
                  <c:v>2.4666670000000002</c:v>
                </c:pt>
                <c:pt idx="1777">
                  <c:v>2.4680559999999998</c:v>
                </c:pt>
                <c:pt idx="1778">
                  <c:v>2.4694440000000002</c:v>
                </c:pt>
                <c:pt idx="1779">
                  <c:v>2.4708329999999998</c:v>
                </c:pt>
                <c:pt idx="1780">
                  <c:v>2.4722219999999999</c:v>
                </c:pt>
                <c:pt idx="1781">
                  <c:v>2.473611</c:v>
                </c:pt>
                <c:pt idx="1782">
                  <c:v>2.4750000000000001</c:v>
                </c:pt>
                <c:pt idx="1783">
                  <c:v>2.4763890000000002</c:v>
                </c:pt>
                <c:pt idx="1784">
                  <c:v>2.4777779999999998</c:v>
                </c:pt>
                <c:pt idx="1785">
                  <c:v>2.4791669999999999</c:v>
                </c:pt>
                <c:pt idx="1786">
                  <c:v>2.480556</c:v>
                </c:pt>
                <c:pt idx="1787">
                  <c:v>2.4819439999999999</c:v>
                </c:pt>
                <c:pt idx="1788">
                  <c:v>2.483333</c:v>
                </c:pt>
                <c:pt idx="1789">
                  <c:v>2.4847220000000001</c:v>
                </c:pt>
                <c:pt idx="1790">
                  <c:v>2.4861110000000002</c:v>
                </c:pt>
                <c:pt idx="1791">
                  <c:v>2.4874999999999998</c:v>
                </c:pt>
                <c:pt idx="1792">
                  <c:v>2.4888889999999999</c:v>
                </c:pt>
                <c:pt idx="1793">
                  <c:v>2.490278</c:v>
                </c:pt>
                <c:pt idx="1794">
                  <c:v>2.4916670000000001</c:v>
                </c:pt>
                <c:pt idx="1795">
                  <c:v>2.4930560000000002</c:v>
                </c:pt>
                <c:pt idx="1796">
                  <c:v>2.4944440000000001</c:v>
                </c:pt>
                <c:pt idx="1797">
                  <c:v>2.4958330000000002</c:v>
                </c:pt>
                <c:pt idx="1798">
                  <c:v>2.4972219999999998</c:v>
                </c:pt>
                <c:pt idx="1799">
                  <c:v>2.4986109999999999</c:v>
                </c:pt>
                <c:pt idx="1800">
                  <c:v>2.5</c:v>
                </c:pt>
                <c:pt idx="1801">
                  <c:v>2.5013890000000001</c:v>
                </c:pt>
                <c:pt idx="1802">
                  <c:v>2.5027780000000002</c:v>
                </c:pt>
                <c:pt idx="1803">
                  <c:v>2.5041669999999998</c:v>
                </c:pt>
                <c:pt idx="1804">
                  <c:v>2.5055559999999999</c:v>
                </c:pt>
                <c:pt idx="1805">
                  <c:v>2.5069439999999998</c:v>
                </c:pt>
                <c:pt idx="1806">
                  <c:v>2.5083329999999999</c:v>
                </c:pt>
                <c:pt idx="1807">
                  <c:v>2.509722</c:v>
                </c:pt>
                <c:pt idx="1808">
                  <c:v>2.5111110000000001</c:v>
                </c:pt>
                <c:pt idx="1809">
                  <c:v>2.5125000000000002</c:v>
                </c:pt>
                <c:pt idx="1810">
                  <c:v>2.5138889999999998</c:v>
                </c:pt>
                <c:pt idx="1811">
                  <c:v>2.5152779999999999</c:v>
                </c:pt>
                <c:pt idx="1812">
                  <c:v>2.516667</c:v>
                </c:pt>
                <c:pt idx="1813">
                  <c:v>2.5180560000000001</c:v>
                </c:pt>
                <c:pt idx="1814">
                  <c:v>2.519444</c:v>
                </c:pt>
                <c:pt idx="1815">
                  <c:v>2.5208330000000001</c:v>
                </c:pt>
                <c:pt idx="1816">
                  <c:v>2.5222220000000002</c:v>
                </c:pt>
                <c:pt idx="1817">
                  <c:v>2.5236109999999998</c:v>
                </c:pt>
                <c:pt idx="1818">
                  <c:v>2.5249999999999999</c:v>
                </c:pt>
                <c:pt idx="1819">
                  <c:v>2.526389</c:v>
                </c:pt>
                <c:pt idx="1820">
                  <c:v>2.5277780000000001</c:v>
                </c:pt>
                <c:pt idx="1821">
                  <c:v>2.5291670000000002</c:v>
                </c:pt>
                <c:pt idx="1822">
                  <c:v>2.5305559999999998</c:v>
                </c:pt>
                <c:pt idx="1823">
                  <c:v>2.5319440000000002</c:v>
                </c:pt>
                <c:pt idx="1824">
                  <c:v>2.5333329999999998</c:v>
                </c:pt>
                <c:pt idx="1825">
                  <c:v>2.5347219999999999</c:v>
                </c:pt>
                <c:pt idx="1826">
                  <c:v>2.536111</c:v>
                </c:pt>
                <c:pt idx="1827">
                  <c:v>2.5375000000000001</c:v>
                </c:pt>
                <c:pt idx="1828">
                  <c:v>2.5388890000000002</c:v>
                </c:pt>
                <c:pt idx="1829">
                  <c:v>2.5402779999999998</c:v>
                </c:pt>
                <c:pt idx="1830">
                  <c:v>2.5416669999999999</c:v>
                </c:pt>
                <c:pt idx="1831">
                  <c:v>2.543056</c:v>
                </c:pt>
                <c:pt idx="1832">
                  <c:v>2.5444439999999999</c:v>
                </c:pt>
                <c:pt idx="1833">
                  <c:v>2.545833</c:v>
                </c:pt>
                <c:pt idx="1834">
                  <c:v>2.5472220000000001</c:v>
                </c:pt>
                <c:pt idx="1835">
                  <c:v>2.5486110000000002</c:v>
                </c:pt>
                <c:pt idx="1836">
                  <c:v>2.5499999999999998</c:v>
                </c:pt>
                <c:pt idx="1837">
                  <c:v>2.5513889999999999</c:v>
                </c:pt>
                <c:pt idx="1838">
                  <c:v>2.552778</c:v>
                </c:pt>
                <c:pt idx="1839">
                  <c:v>2.5541670000000001</c:v>
                </c:pt>
                <c:pt idx="1840">
                  <c:v>2.5555560000000002</c:v>
                </c:pt>
                <c:pt idx="1841">
                  <c:v>2.5569440000000001</c:v>
                </c:pt>
                <c:pt idx="1842">
                  <c:v>2.5583330000000002</c:v>
                </c:pt>
                <c:pt idx="1843">
                  <c:v>2.5597219999999998</c:v>
                </c:pt>
                <c:pt idx="1844">
                  <c:v>2.5611109999999999</c:v>
                </c:pt>
                <c:pt idx="1845">
                  <c:v>2.5625</c:v>
                </c:pt>
                <c:pt idx="1846">
                  <c:v>2.5638890000000001</c:v>
                </c:pt>
                <c:pt idx="1847">
                  <c:v>2.5652780000000002</c:v>
                </c:pt>
                <c:pt idx="1848">
                  <c:v>2.5666669999999998</c:v>
                </c:pt>
                <c:pt idx="1849">
                  <c:v>2.5680559999999999</c:v>
                </c:pt>
                <c:pt idx="1850">
                  <c:v>2.5694439999999998</c:v>
                </c:pt>
                <c:pt idx="1851">
                  <c:v>2.5708329999999999</c:v>
                </c:pt>
                <c:pt idx="1852">
                  <c:v>2.572222</c:v>
                </c:pt>
                <c:pt idx="1853">
                  <c:v>2.5736110000000001</c:v>
                </c:pt>
                <c:pt idx="1854">
                  <c:v>2.5750000000000002</c:v>
                </c:pt>
                <c:pt idx="1855">
                  <c:v>2.5763889999999998</c:v>
                </c:pt>
                <c:pt idx="1856">
                  <c:v>2.5777779999999999</c:v>
                </c:pt>
                <c:pt idx="1857">
                  <c:v>2.579167</c:v>
                </c:pt>
                <c:pt idx="1858">
                  <c:v>2.5805560000000001</c:v>
                </c:pt>
                <c:pt idx="1859">
                  <c:v>2.581944</c:v>
                </c:pt>
                <c:pt idx="1860">
                  <c:v>2.5833330000000001</c:v>
                </c:pt>
                <c:pt idx="1861">
                  <c:v>2.5847220000000002</c:v>
                </c:pt>
                <c:pt idx="1862">
                  <c:v>2.5861109999999998</c:v>
                </c:pt>
                <c:pt idx="1863">
                  <c:v>2.5874999999999999</c:v>
                </c:pt>
                <c:pt idx="1864">
                  <c:v>2.588889</c:v>
                </c:pt>
                <c:pt idx="1865">
                  <c:v>2.5902780000000001</c:v>
                </c:pt>
                <c:pt idx="1866">
                  <c:v>2.5916670000000002</c:v>
                </c:pt>
                <c:pt idx="1867">
                  <c:v>2.5930559999999998</c:v>
                </c:pt>
                <c:pt idx="1868">
                  <c:v>2.5944440000000002</c:v>
                </c:pt>
                <c:pt idx="1869">
                  <c:v>2.5958329999999998</c:v>
                </c:pt>
                <c:pt idx="1870">
                  <c:v>2.5972219999999999</c:v>
                </c:pt>
                <c:pt idx="1871">
                  <c:v>2.598611</c:v>
                </c:pt>
                <c:pt idx="1872">
                  <c:v>2.6</c:v>
                </c:pt>
                <c:pt idx="1873">
                  <c:v>2.6013890000000002</c:v>
                </c:pt>
                <c:pt idx="1874">
                  <c:v>2.6027779999999998</c:v>
                </c:pt>
                <c:pt idx="1875">
                  <c:v>2.6041669999999999</c:v>
                </c:pt>
                <c:pt idx="1876">
                  <c:v>2.605556</c:v>
                </c:pt>
                <c:pt idx="1877">
                  <c:v>2.6069439999999999</c:v>
                </c:pt>
                <c:pt idx="1878">
                  <c:v>2.608333</c:v>
                </c:pt>
                <c:pt idx="1879">
                  <c:v>2.6097220000000001</c:v>
                </c:pt>
                <c:pt idx="1880">
                  <c:v>2.6111110000000002</c:v>
                </c:pt>
                <c:pt idx="1881">
                  <c:v>2.6124999999999998</c:v>
                </c:pt>
                <c:pt idx="1882">
                  <c:v>2.6138889999999999</c:v>
                </c:pt>
                <c:pt idx="1883">
                  <c:v>2.615278</c:v>
                </c:pt>
                <c:pt idx="1884">
                  <c:v>2.6166670000000001</c:v>
                </c:pt>
                <c:pt idx="1885">
                  <c:v>2.6180560000000002</c:v>
                </c:pt>
                <c:pt idx="1886">
                  <c:v>2.6194440000000001</c:v>
                </c:pt>
                <c:pt idx="1887">
                  <c:v>2.6208330000000002</c:v>
                </c:pt>
                <c:pt idx="1888">
                  <c:v>2.6222219999999998</c:v>
                </c:pt>
                <c:pt idx="1889">
                  <c:v>2.6236109999999999</c:v>
                </c:pt>
                <c:pt idx="1890">
                  <c:v>2.625</c:v>
                </c:pt>
                <c:pt idx="1891">
                  <c:v>2.6263890000000001</c:v>
                </c:pt>
                <c:pt idx="1892">
                  <c:v>2.6277780000000002</c:v>
                </c:pt>
                <c:pt idx="1893">
                  <c:v>2.6291669999999998</c:v>
                </c:pt>
                <c:pt idx="1894">
                  <c:v>2.6305559999999999</c:v>
                </c:pt>
                <c:pt idx="1895">
                  <c:v>2.6319439999999998</c:v>
                </c:pt>
                <c:pt idx="1896">
                  <c:v>2.6333329999999999</c:v>
                </c:pt>
                <c:pt idx="1897">
                  <c:v>2.634722</c:v>
                </c:pt>
                <c:pt idx="1898">
                  <c:v>2.6361110000000001</c:v>
                </c:pt>
                <c:pt idx="1899">
                  <c:v>2.6375000000000002</c:v>
                </c:pt>
                <c:pt idx="1900">
                  <c:v>2.6388889999999998</c:v>
                </c:pt>
                <c:pt idx="1901">
                  <c:v>2.6402779999999999</c:v>
                </c:pt>
                <c:pt idx="1902">
                  <c:v>2.641667</c:v>
                </c:pt>
                <c:pt idx="1903">
                  <c:v>2.6430560000000001</c:v>
                </c:pt>
                <c:pt idx="1904">
                  <c:v>2.644444</c:v>
                </c:pt>
                <c:pt idx="1905">
                  <c:v>2.6458330000000001</c:v>
                </c:pt>
                <c:pt idx="1906">
                  <c:v>2.6472220000000002</c:v>
                </c:pt>
                <c:pt idx="1907">
                  <c:v>2.6486109999999998</c:v>
                </c:pt>
                <c:pt idx="1908">
                  <c:v>2.65</c:v>
                </c:pt>
                <c:pt idx="1909">
                  <c:v>2.651389</c:v>
                </c:pt>
                <c:pt idx="1910">
                  <c:v>2.6527780000000001</c:v>
                </c:pt>
                <c:pt idx="1911">
                  <c:v>2.6541670000000002</c:v>
                </c:pt>
                <c:pt idx="1912">
                  <c:v>2.6555559999999998</c:v>
                </c:pt>
                <c:pt idx="1913">
                  <c:v>2.6569440000000002</c:v>
                </c:pt>
                <c:pt idx="1914">
                  <c:v>2.6583329999999998</c:v>
                </c:pt>
                <c:pt idx="1915">
                  <c:v>2.6597219999999999</c:v>
                </c:pt>
                <c:pt idx="1916">
                  <c:v>2.661111</c:v>
                </c:pt>
                <c:pt idx="1917">
                  <c:v>2.6625000000000001</c:v>
                </c:pt>
                <c:pt idx="1918">
                  <c:v>2.6638890000000002</c:v>
                </c:pt>
                <c:pt idx="1919">
                  <c:v>2.6652779999999998</c:v>
                </c:pt>
                <c:pt idx="1920">
                  <c:v>2.6666669999999999</c:v>
                </c:pt>
                <c:pt idx="1921">
                  <c:v>2.668056</c:v>
                </c:pt>
                <c:pt idx="1922">
                  <c:v>2.6694439999999999</c:v>
                </c:pt>
                <c:pt idx="1923">
                  <c:v>2.670833</c:v>
                </c:pt>
                <c:pt idx="1924">
                  <c:v>2.6722220000000001</c:v>
                </c:pt>
                <c:pt idx="1925">
                  <c:v>2.6736110000000002</c:v>
                </c:pt>
                <c:pt idx="1926">
                  <c:v>2.6749999999999998</c:v>
                </c:pt>
                <c:pt idx="1927">
                  <c:v>2.6763889999999999</c:v>
                </c:pt>
                <c:pt idx="1928">
                  <c:v>2.677778</c:v>
                </c:pt>
                <c:pt idx="1929">
                  <c:v>2.6791670000000001</c:v>
                </c:pt>
                <c:pt idx="1930">
                  <c:v>2.6805560000000002</c:v>
                </c:pt>
                <c:pt idx="1931">
                  <c:v>2.6819440000000001</c:v>
                </c:pt>
                <c:pt idx="1932">
                  <c:v>2.6833330000000002</c:v>
                </c:pt>
                <c:pt idx="1933">
                  <c:v>2.6847219999999998</c:v>
                </c:pt>
                <c:pt idx="1934">
                  <c:v>2.6861109999999999</c:v>
                </c:pt>
                <c:pt idx="1935">
                  <c:v>2.6875</c:v>
                </c:pt>
                <c:pt idx="1936">
                  <c:v>2.6888890000000001</c:v>
                </c:pt>
                <c:pt idx="1937">
                  <c:v>2.6902780000000002</c:v>
                </c:pt>
                <c:pt idx="1938">
                  <c:v>2.6916669999999998</c:v>
                </c:pt>
                <c:pt idx="1939">
                  <c:v>2.6930559999999999</c:v>
                </c:pt>
                <c:pt idx="1940">
                  <c:v>2.6944439999999998</c:v>
                </c:pt>
                <c:pt idx="1941">
                  <c:v>2.6958329999999999</c:v>
                </c:pt>
                <c:pt idx="1942">
                  <c:v>2.697222</c:v>
                </c:pt>
                <c:pt idx="1943">
                  <c:v>2.6986110000000001</c:v>
                </c:pt>
                <c:pt idx="1944">
                  <c:v>2.7</c:v>
                </c:pt>
                <c:pt idx="1945">
                  <c:v>2.7013889999999998</c:v>
                </c:pt>
                <c:pt idx="1946">
                  <c:v>2.7027779999999999</c:v>
                </c:pt>
                <c:pt idx="1947">
                  <c:v>2.704167</c:v>
                </c:pt>
                <c:pt idx="1948">
                  <c:v>2.7055560000000001</c:v>
                </c:pt>
                <c:pt idx="1949">
                  <c:v>2.706944</c:v>
                </c:pt>
                <c:pt idx="1950">
                  <c:v>2.7083330000000001</c:v>
                </c:pt>
                <c:pt idx="1951">
                  <c:v>2.7097220000000002</c:v>
                </c:pt>
                <c:pt idx="1952">
                  <c:v>2.7111109999999998</c:v>
                </c:pt>
                <c:pt idx="1953">
                  <c:v>2.7124999999999999</c:v>
                </c:pt>
                <c:pt idx="1954">
                  <c:v>2.713889</c:v>
                </c:pt>
                <c:pt idx="1955">
                  <c:v>2.7152780000000001</c:v>
                </c:pt>
                <c:pt idx="1956">
                  <c:v>2.7166670000000002</c:v>
                </c:pt>
                <c:pt idx="1957">
                  <c:v>2.7180559999999998</c:v>
                </c:pt>
                <c:pt idx="1958">
                  <c:v>2.7194440000000002</c:v>
                </c:pt>
                <c:pt idx="1959">
                  <c:v>2.7208329999999998</c:v>
                </c:pt>
                <c:pt idx="1960">
                  <c:v>2.7222219999999999</c:v>
                </c:pt>
                <c:pt idx="1961">
                  <c:v>2.723611</c:v>
                </c:pt>
                <c:pt idx="1962">
                  <c:v>2.7250000000000001</c:v>
                </c:pt>
                <c:pt idx="1963">
                  <c:v>2.7263890000000002</c:v>
                </c:pt>
                <c:pt idx="1964">
                  <c:v>2.7277779999999998</c:v>
                </c:pt>
                <c:pt idx="1965">
                  <c:v>2.7291669999999999</c:v>
                </c:pt>
                <c:pt idx="1966">
                  <c:v>2.730556</c:v>
                </c:pt>
                <c:pt idx="1967">
                  <c:v>2.7319439999999999</c:v>
                </c:pt>
                <c:pt idx="1968">
                  <c:v>2.733333</c:v>
                </c:pt>
                <c:pt idx="1969">
                  <c:v>2.7347220000000001</c:v>
                </c:pt>
                <c:pt idx="1970">
                  <c:v>2.7361110000000002</c:v>
                </c:pt>
                <c:pt idx="1971">
                  <c:v>2.7374999999999998</c:v>
                </c:pt>
                <c:pt idx="1972">
                  <c:v>2.7388889999999999</c:v>
                </c:pt>
                <c:pt idx="1973">
                  <c:v>2.740278</c:v>
                </c:pt>
                <c:pt idx="1974">
                  <c:v>2.7416670000000001</c:v>
                </c:pt>
                <c:pt idx="1975">
                  <c:v>2.7430560000000002</c:v>
                </c:pt>
                <c:pt idx="1976">
                  <c:v>2.7444440000000001</c:v>
                </c:pt>
                <c:pt idx="1977">
                  <c:v>2.7458330000000002</c:v>
                </c:pt>
                <c:pt idx="1978">
                  <c:v>2.7472219999999998</c:v>
                </c:pt>
                <c:pt idx="1979">
                  <c:v>2.7486109999999999</c:v>
                </c:pt>
                <c:pt idx="1980">
                  <c:v>2.75</c:v>
                </c:pt>
                <c:pt idx="1981">
                  <c:v>2.7513890000000001</c:v>
                </c:pt>
                <c:pt idx="1982">
                  <c:v>2.7527780000000002</c:v>
                </c:pt>
                <c:pt idx="1983">
                  <c:v>2.7541669999999998</c:v>
                </c:pt>
                <c:pt idx="1984">
                  <c:v>2.7555559999999999</c:v>
                </c:pt>
                <c:pt idx="1985">
                  <c:v>2.7569439999999998</c:v>
                </c:pt>
                <c:pt idx="1986">
                  <c:v>2.7583329999999999</c:v>
                </c:pt>
                <c:pt idx="1987">
                  <c:v>2.759722</c:v>
                </c:pt>
                <c:pt idx="1988">
                  <c:v>2.7611110000000001</c:v>
                </c:pt>
                <c:pt idx="1989">
                  <c:v>2.7625000000000002</c:v>
                </c:pt>
                <c:pt idx="1990">
                  <c:v>2.7638889999999998</c:v>
                </c:pt>
                <c:pt idx="1991">
                  <c:v>2.7652779999999999</c:v>
                </c:pt>
                <c:pt idx="1992">
                  <c:v>2.766667</c:v>
                </c:pt>
                <c:pt idx="1993">
                  <c:v>2.7680560000000001</c:v>
                </c:pt>
                <c:pt idx="1994">
                  <c:v>2.769444</c:v>
                </c:pt>
                <c:pt idx="1995">
                  <c:v>2.7708330000000001</c:v>
                </c:pt>
                <c:pt idx="1996">
                  <c:v>2.7722220000000002</c:v>
                </c:pt>
                <c:pt idx="1997">
                  <c:v>2.7736109999999998</c:v>
                </c:pt>
                <c:pt idx="1998">
                  <c:v>2.7749999999999999</c:v>
                </c:pt>
                <c:pt idx="1999">
                  <c:v>2.776389</c:v>
                </c:pt>
                <c:pt idx="2000">
                  <c:v>2.7777780000000001</c:v>
                </c:pt>
                <c:pt idx="2001">
                  <c:v>2.7791670000000002</c:v>
                </c:pt>
                <c:pt idx="2002">
                  <c:v>2.7805559999999998</c:v>
                </c:pt>
                <c:pt idx="2003">
                  <c:v>2.7819440000000002</c:v>
                </c:pt>
                <c:pt idx="2004">
                  <c:v>2.7833329999999998</c:v>
                </c:pt>
                <c:pt idx="2005">
                  <c:v>2.7847219999999999</c:v>
                </c:pt>
                <c:pt idx="2006">
                  <c:v>2.786111</c:v>
                </c:pt>
                <c:pt idx="2007">
                  <c:v>2.7875000000000001</c:v>
                </c:pt>
                <c:pt idx="2008">
                  <c:v>2.7888890000000002</c:v>
                </c:pt>
                <c:pt idx="2009">
                  <c:v>2.7902779999999998</c:v>
                </c:pt>
                <c:pt idx="2010">
                  <c:v>2.7916669999999999</c:v>
                </c:pt>
                <c:pt idx="2011">
                  <c:v>2.793056</c:v>
                </c:pt>
                <c:pt idx="2012">
                  <c:v>2.7944439999999999</c:v>
                </c:pt>
                <c:pt idx="2013">
                  <c:v>2.795833</c:v>
                </c:pt>
                <c:pt idx="2014">
                  <c:v>2.7972220000000001</c:v>
                </c:pt>
                <c:pt idx="2015">
                  <c:v>2.7986110000000002</c:v>
                </c:pt>
                <c:pt idx="2016">
                  <c:v>2.8</c:v>
                </c:pt>
                <c:pt idx="2017">
                  <c:v>2.8013889999999999</c:v>
                </c:pt>
                <c:pt idx="2018">
                  <c:v>2.802778</c:v>
                </c:pt>
                <c:pt idx="2019">
                  <c:v>2.8041670000000001</c:v>
                </c:pt>
                <c:pt idx="2020">
                  <c:v>2.8055560000000002</c:v>
                </c:pt>
                <c:pt idx="2021">
                  <c:v>2.8069440000000001</c:v>
                </c:pt>
                <c:pt idx="2022">
                  <c:v>2.8083330000000002</c:v>
                </c:pt>
                <c:pt idx="2023">
                  <c:v>2.8097219999999998</c:v>
                </c:pt>
                <c:pt idx="2024">
                  <c:v>2.8111109999999999</c:v>
                </c:pt>
                <c:pt idx="2025">
                  <c:v>2.8125</c:v>
                </c:pt>
                <c:pt idx="2026">
                  <c:v>2.8138890000000001</c:v>
                </c:pt>
                <c:pt idx="2027">
                  <c:v>2.8152780000000002</c:v>
                </c:pt>
                <c:pt idx="2028">
                  <c:v>2.8166669999999998</c:v>
                </c:pt>
                <c:pt idx="2029">
                  <c:v>2.8180559999999999</c:v>
                </c:pt>
                <c:pt idx="2030">
                  <c:v>2.8194439999999998</c:v>
                </c:pt>
                <c:pt idx="2031">
                  <c:v>2.8208329999999999</c:v>
                </c:pt>
                <c:pt idx="2032">
                  <c:v>2.822222</c:v>
                </c:pt>
                <c:pt idx="2033">
                  <c:v>2.8236110000000001</c:v>
                </c:pt>
                <c:pt idx="2034">
                  <c:v>2.8250000000000002</c:v>
                </c:pt>
                <c:pt idx="2035">
                  <c:v>2.8263889999999998</c:v>
                </c:pt>
                <c:pt idx="2036">
                  <c:v>2.8277779999999999</c:v>
                </c:pt>
                <c:pt idx="2037">
                  <c:v>2.829167</c:v>
                </c:pt>
                <c:pt idx="2038">
                  <c:v>2.8305560000000001</c:v>
                </c:pt>
                <c:pt idx="2039">
                  <c:v>2.831944</c:v>
                </c:pt>
                <c:pt idx="2040">
                  <c:v>2.8333330000000001</c:v>
                </c:pt>
                <c:pt idx="2041">
                  <c:v>2.8347220000000002</c:v>
                </c:pt>
                <c:pt idx="2042">
                  <c:v>2.8361109999999998</c:v>
                </c:pt>
                <c:pt idx="2043">
                  <c:v>2.8374999999999999</c:v>
                </c:pt>
                <c:pt idx="2044">
                  <c:v>2.838889</c:v>
                </c:pt>
                <c:pt idx="2045">
                  <c:v>2.8402780000000001</c:v>
                </c:pt>
                <c:pt idx="2046">
                  <c:v>2.8416670000000002</c:v>
                </c:pt>
                <c:pt idx="2047">
                  <c:v>2.8430559999999998</c:v>
                </c:pt>
                <c:pt idx="2048">
                  <c:v>2.8444440000000002</c:v>
                </c:pt>
                <c:pt idx="2049">
                  <c:v>2.8458329999999998</c:v>
                </c:pt>
                <c:pt idx="2050">
                  <c:v>2.8472219999999999</c:v>
                </c:pt>
                <c:pt idx="2051">
                  <c:v>2.848611</c:v>
                </c:pt>
                <c:pt idx="2052">
                  <c:v>2.85</c:v>
                </c:pt>
                <c:pt idx="2053">
                  <c:v>2.8513890000000002</c:v>
                </c:pt>
                <c:pt idx="2054">
                  <c:v>2.8527779999999998</c:v>
                </c:pt>
                <c:pt idx="2055">
                  <c:v>2.8541669999999999</c:v>
                </c:pt>
                <c:pt idx="2056">
                  <c:v>2.855556</c:v>
                </c:pt>
                <c:pt idx="2057">
                  <c:v>2.8569439999999999</c:v>
                </c:pt>
                <c:pt idx="2058">
                  <c:v>2.858333</c:v>
                </c:pt>
                <c:pt idx="2059">
                  <c:v>2.8597220000000001</c:v>
                </c:pt>
                <c:pt idx="2060">
                  <c:v>2.8611110000000002</c:v>
                </c:pt>
                <c:pt idx="2061">
                  <c:v>2.8624999999999998</c:v>
                </c:pt>
                <c:pt idx="2062">
                  <c:v>2.8638889999999999</c:v>
                </c:pt>
                <c:pt idx="2063">
                  <c:v>2.865278</c:v>
                </c:pt>
                <c:pt idx="2064">
                  <c:v>2.8666670000000001</c:v>
                </c:pt>
                <c:pt idx="2065">
                  <c:v>2.8680560000000002</c:v>
                </c:pt>
                <c:pt idx="2066">
                  <c:v>2.8694440000000001</c:v>
                </c:pt>
                <c:pt idx="2067">
                  <c:v>2.8708330000000002</c:v>
                </c:pt>
                <c:pt idx="2068">
                  <c:v>2.8722219999999998</c:v>
                </c:pt>
                <c:pt idx="2069">
                  <c:v>2.8736109999999999</c:v>
                </c:pt>
                <c:pt idx="2070">
                  <c:v>2.875</c:v>
                </c:pt>
                <c:pt idx="2071">
                  <c:v>2.8763890000000001</c:v>
                </c:pt>
                <c:pt idx="2072">
                  <c:v>2.8777780000000002</c:v>
                </c:pt>
                <c:pt idx="2073">
                  <c:v>2.8791669999999998</c:v>
                </c:pt>
                <c:pt idx="2074">
                  <c:v>2.8805559999999999</c:v>
                </c:pt>
                <c:pt idx="2075">
                  <c:v>2.8819439999999998</c:v>
                </c:pt>
                <c:pt idx="2076">
                  <c:v>2.8833329999999999</c:v>
                </c:pt>
                <c:pt idx="2077">
                  <c:v>2.884722</c:v>
                </c:pt>
                <c:pt idx="2078">
                  <c:v>2.8861110000000001</c:v>
                </c:pt>
                <c:pt idx="2079">
                  <c:v>2.8875000000000002</c:v>
                </c:pt>
                <c:pt idx="2080">
                  <c:v>2.8888889999999998</c:v>
                </c:pt>
                <c:pt idx="2081">
                  <c:v>2.8902779999999999</c:v>
                </c:pt>
                <c:pt idx="2082">
                  <c:v>2.891667</c:v>
                </c:pt>
                <c:pt idx="2083">
                  <c:v>2.8930560000000001</c:v>
                </c:pt>
                <c:pt idx="2084">
                  <c:v>2.894444</c:v>
                </c:pt>
                <c:pt idx="2085">
                  <c:v>2.8958330000000001</c:v>
                </c:pt>
                <c:pt idx="2086">
                  <c:v>2.8972220000000002</c:v>
                </c:pt>
                <c:pt idx="2087">
                  <c:v>2.8986109999999998</c:v>
                </c:pt>
                <c:pt idx="2088">
                  <c:v>2.9</c:v>
                </c:pt>
                <c:pt idx="2089">
                  <c:v>2.901389</c:v>
                </c:pt>
                <c:pt idx="2090">
                  <c:v>2.9027780000000001</c:v>
                </c:pt>
                <c:pt idx="2091">
                  <c:v>2.9041670000000002</c:v>
                </c:pt>
                <c:pt idx="2092">
                  <c:v>2.9055559999999998</c:v>
                </c:pt>
                <c:pt idx="2093">
                  <c:v>2.9069440000000002</c:v>
                </c:pt>
                <c:pt idx="2094">
                  <c:v>2.9083329999999998</c:v>
                </c:pt>
                <c:pt idx="2095">
                  <c:v>2.9097219999999999</c:v>
                </c:pt>
                <c:pt idx="2096">
                  <c:v>2.911111</c:v>
                </c:pt>
                <c:pt idx="2097">
                  <c:v>2.9125000000000001</c:v>
                </c:pt>
                <c:pt idx="2098">
                  <c:v>2.9138890000000002</c:v>
                </c:pt>
                <c:pt idx="2099">
                  <c:v>2.9152779999999998</c:v>
                </c:pt>
                <c:pt idx="2100">
                  <c:v>2.9166669999999999</c:v>
                </c:pt>
                <c:pt idx="2101">
                  <c:v>2.918056</c:v>
                </c:pt>
                <c:pt idx="2102">
                  <c:v>2.9194439999999999</c:v>
                </c:pt>
                <c:pt idx="2103">
                  <c:v>2.920833</c:v>
                </c:pt>
                <c:pt idx="2104">
                  <c:v>2.9222220000000001</c:v>
                </c:pt>
                <c:pt idx="2105">
                  <c:v>2.9236110000000002</c:v>
                </c:pt>
                <c:pt idx="2106">
                  <c:v>2.9249999999999998</c:v>
                </c:pt>
                <c:pt idx="2107">
                  <c:v>2.9263889999999999</c:v>
                </c:pt>
                <c:pt idx="2108">
                  <c:v>2.927778</c:v>
                </c:pt>
                <c:pt idx="2109">
                  <c:v>2.9291670000000001</c:v>
                </c:pt>
                <c:pt idx="2110">
                  <c:v>2.9305560000000002</c:v>
                </c:pt>
                <c:pt idx="2111">
                  <c:v>2.9319440000000001</c:v>
                </c:pt>
                <c:pt idx="2112">
                  <c:v>2.9333330000000002</c:v>
                </c:pt>
                <c:pt idx="2113">
                  <c:v>2.9347219999999998</c:v>
                </c:pt>
                <c:pt idx="2114">
                  <c:v>2.9361109999999999</c:v>
                </c:pt>
                <c:pt idx="2115">
                  <c:v>2.9375</c:v>
                </c:pt>
                <c:pt idx="2116">
                  <c:v>2.9388890000000001</c:v>
                </c:pt>
                <c:pt idx="2117">
                  <c:v>2.9402780000000002</c:v>
                </c:pt>
                <c:pt idx="2118">
                  <c:v>2.9416669999999998</c:v>
                </c:pt>
                <c:pt idx="2119">
                  <c:v>2.9430559999999999</c:v>
                </c:pt>
                <c:pt idx="2120">
                  <c:v>2.9444439999999998</c:v>
                </c:pt>
                <c:pt idx="2121">
                  <c:v>2.9458329999999999</c:v>
                </c:pt>
                <c:pt idx="2122">
                  <c:v>2.947222</c:v>
                </c:pt>
                <c:pt idx="2123">
                  <c:v>2.9486110000000001</c:v>
                </c:pt>
                <c:pt idx="2124">
                  <c:v>2.95</c:v>
                </c:pt>
                <c:pt idx="2125">
                  <c:v>2.9513889999999998</c:v>
                </c:pt>
                <c:pt idx="2126">
                  <c:v>2.9527779999999999</c:v>
                </c:pt>
                <c:pt idx="2127">
                  <c:v>2.954167</c:v>
                </c:pt>
                <c:pt idx="2128">
                  <c:v>2.9555560000000001</c:v>
                </c:pt>
                <c:pt idx="2129">
                  <c:v>2.956944</c:v>
                </c:pt>
                <c:pt idx="2130">
                  <c:v>2.9583330000000001</c:v>
                </c:pt>
                <c:pt idx="2131">
                  <c:v>2.9597220000000002</c:v>
                </c:pt>
                <c:pt idx="2132">
                  <c:v>2.9611109999999998</c:v>
                </c:pt>
                <c:pt idx="2133">
                  <c:v>2.9624999999999999</c:v>
                </c:pt>
                <c:pt idx="2134">
                  <c:v>2.963889</c:v>
                </c:pt>
                <c:pt idx="2135">
                  <c:v>2.9652780000000001</c:v>
                </c:pt>
                <c:pt idx="2136">
                  <c:v>2.9666670000000002</c:v>
                </c:pt>
                <c:pt idx="2137">
                  <c:v>2.9680559999999998</c:v>
                </c:pt>
                <c:pt idx="2138">
                  <c:v>2.9694440000000002</c:v>
                </c:pt>
                <c:pt idx="2139">
                  <c:v>2.9708329999999998</c:v>
                </c:pt>
                <c:pt idx="2140">
                  <c:v>2.9722219999999999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C6-40F9-A51E-F685361A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045487"/>
        <c:axId val="1318042575"/>
      </c:scatterChart>
      <c:valAx>
        <c:axId val="1318045487"/>
        <c:scaling>
          <c:orientation val="minMax"/>
          <c:max val="850"/>
          <c:min val="690"/>
        </c:scaling>
        <c:delete val="0"/>
        <c:axPos val="t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 b="1">
                    <a:solidFill>
                      <a:schemeClr val="tx1"/>
                    </a:solidFill>
                  </a:rPr>
                  <a:t>Presión, psi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18042575"/>
        <c:crosses val="autoZero"/>
        <c:crossBetween val="midCat"/>
      </c:valAx>
      <c:valAx>
        <c:axId val="1318042575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 b="1">
                    <a:solidFill>
                      <a:schemeClr val="tx1"/>
                    </a:solidFill>
                  </a:rPr>
                  <a:t>Tiempo. hr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18045487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Diferencia</a:t>
            </a:r>
          </a:p>
        </c:rich>
      </c:tx>
      <c:layout>
        <c:manualLayout>
          <c:xMode val="edge"/>
          <c:yMode val="edge"/>
          <c:x val="2.9403821203698551E-2"/>
          <c:y val="6.472491909385113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21686132201160821"/>
          <c:y val="0.11972666038104458"/>
          <c:w val="0.7120590595539863"/>
          <c:h val="0.85654086928454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'MG Data'!$B$5:$D$5</c:f>
              <c:strCache>
                <c:ptCount val="1"/>
                <c:pt idx="0">
                  <c:v>MG 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'MG Data'!$J$10:$J$2153</c:f>
              <c:numCache>
                <c:formatCode>#,##0.000</c:formatCode>
                <c:ptCount val="2144"/>
                <c:pt idx="0">
                  <c:v>0.1745000000000001</c:v>
                </c:pt>
                <c:pt idx="1">
                  <c:v>0.21720000000000006</c:v>
                </c:pt>
                <c:pt idx="2">
                  <c:v>0.19850000000000101</c:v>
                </c:pt>
                <c:pt idx="3">
                  <c:v>0.17970000000000041</c:v>
                </c:pt>
                <c:pt idx="4">
                  <c:v>0.1828000000000003</c:v>
                </c:pt>
                <c:pt idx="5">
                  <c:v>0.10919999999999952</c:v>
                </c:pt>
                <c:pt idx="6">
                  <c:v>0.18299999999999983</c:v>
                </c:pt>
                <c:pt idx="7">
                  <c:v>0.21849999999999881</c:v>
                </c:pt>
                <c:pt idx="8">
                  <c:v>0.16769999999999996</c:v>
                </c:pt>
                <c:pt idx="9">
                  <c:v>0.17849999999999966</c:v>
                </c:pt>
                <c:pt idx="10">
                  <c:v>0.19100000000000072</c:v>
                </c:pt>
                <c:pt idx="11">
                  <c:v>0.18599999999999994</c:v>
                </c:pt>
                <c:pt idx="12">
                  <c:v>0.20099999999999874</c:v>
                </c:pt>
                <c:pt idx="13">
                  <c:v>0.13240000000000052</c:v>
                </c:pt>
                <c:pt idx="14">
                  <c:v>0.15489999999999959</c:v>
                </c:pt>
                <c:pt idx="15">
                  <c:v>0.20480000000000054</c:v>
                </c:pt>
                <c:pt idx="16">
                  <c:v>0.17970000000000041</c:v>
                </c:pt>
                <c:pt idx="17">
                  <c:v>0.18540000000000134</c:v>
                </c:pt>
                <c:pt idx="18">
                  <c:v>0.18329999999999913</c:v>
                </c:pt>
                <c:pt idx="19">
                  <c:v>0.20209999999999972</c:v>
                </c:pt>
                <c:pt idx="20">
                  <c:v>0.16019999999999968</c:v>
                </c:pt>
                <c:pt idx="21">
                  <c:v>0.19540000000000113</c:v>
                </c:pt>
                <c:pt idx="22">
                  <c:v>0.20650000000000013</c:v>
                </c:pt>
                <c:pt idx="23">
                  <c:v>0.16720000000000113</c:v>
                </c:pt>
                <c:pt idx="24">
                  <c:v>0.16769999999999996</c:v>
                </c:pt>
                <c:pt idx="25">
                  <c:v>0.18580000000000041</c:v>
                </c:pt>
                <c:pt idx="26">
                  <c:v>0.18979999999999997</c:v>
                </c:pt>
                <c:pt idx="27">
                  <c:v>0.19519999999999982</c:v>
                </c:pt>
                <c:pt idx="28">
                  <c:v>0.16080000000000005</c:v>
                </c:pt>
                <c:pt idx="29">
                  <c:v>0.13349999999999973</c:v>
                </c:pt>
                <c:pt idx="30">
                  <c:v>0.1772999999999989</c:v>
                </c:pt>
                <c:pt idx="31">
                  <c:v>0.13640000000000008</c:v>
                </c:pt>
                <c:pt idx="32">
                  <c:v>0.15630000000000166</c:v>
                </c:pt>
                <c:pt idx="33">
                  <c:v>0.12229999999999919</c:v>
                </c:pt>
                <c:pt idx="34">
                  <c:v>0.17399999999999949</c:v>
                </c:pt>
                <c:pt idx="35">
                  <c:v>0.19260000000000055</c:v>
                </c:pt>
                <c:pt idx="36">
                  <c:v>0.19979999999999976</c:v>
                </c:pt>
                <c:pt idx="37">
                  <c:v>0.17300000000000004</c:v>
                </c:pt>
                <c:pt idx="38">
                  <c:v>0.12630000000000052</c:v>
                </c:pt>
                <c:pt idx="39">
                  <c:v>0.15649999999999942</c:v>
                </c:pt>
                <c:pt idx="40">
                  <c:v>0.15310000000000024</c:v>
                </c:pt>
                <c:pt idx="41">
                  <c:v>0.14259999999999984</c:v>
                </c:pt>
                <c:pt idx="42">
                  <c:v>0.19359999999999999</c:v>
                </c:pt>
                <c:pt idx="43">
                  <c:v>0.1291000000000011</c:v>
                </c:pt>
                <c:pt idx="44">
                  <c:v>0.15240000000000009</c:v>
                </c:pt>
                <c:pt idx="45">
                  <c:v>0.13149999999999906</c:v>
                </c:pt>
                <c:pt idx="46">
                  <c:v>0.18909999999999982</c:v>
                </c:pt>
                <c:pt idx="47">
                  <c:v>0.15430000000000099</c:v>
                </c:pt>
                <c:pt idx="48">
                  <c:v>0.19319999999999915</c:v>
                </c:pt>
                <c:pt idx="49">
                  <c:v>0.12989999999999924</c:v>
                </c:pt>
                <c:pt idx="50">
                  <c:v>0.16339999999999932</c:v>
                </c:pt>
                <c:pt idx="51">
                  <c:v>0.16300000000000026</c:v>
                </c:pt>
                <c:pt idx="52">
                  <c:v>0.15590000000000082</c:v>
                </c:pt>
                <c:pt idx="53">
                  <c:v>0.20620000000000083</c:v>
                </c:pt>
                <c:pt idx="54">
                  <c:v>0.11129999999999995</c:v>
                </c:pt>
                <c:pt idx="55">
                  <c:v>0.14219999999999899</c:v>
                </c:pt>
                <c:pt idx="56">
                  <c:v>0.17190000000000083</c:v>
                </c:pt>
                <c:pt idx="57">
                  <c:v>0.20159999999999911</c:v>
                </c:pt>
                <c:pt idx="58">
                  <c:v>0.20919999999999916</c:v>
                </c:pt>
                <c:pt idx="59">
                  <c:v>0.15939999999999976</c:v>
                </c:pt>
                <c:pt idx="60">
                  <c:v>0.13299999999999912</c:v>
                </c:pt>
                <c:pt idx="61">
                  <c:v>0.1808000000000014</c:v>
                </c:pt>
                <c:pt idx="62">
                  <c:v>0.16009999999999991</c:v>
                </c:pt>
                <c:pt idx="63">
                  <c:v>0.14039999999999964</c:v>
                </c:pt>
                <c:pt idx="64">
                  <c:v>0.20019999999999882</c:v>
                </c:pt>
                <c:pt idx="65">
                  <c:v>0.17269999999999897</c:v>
                </c:pt>
                <c:pt idx="66">
                  <c:v>0.17089999999999961</c:v>
                </c:pt>
                <c:pt idx="67">
                  <c:v>0.12780000000000058</c:v>
                </c:pt>
                <c:pt idx="68">
                  <c:v>0.1808000000000014</c:v>
                </c:pt>
                <c:pt idx="69">
                  <c:v>0.10660000000000025</c:v>
                </c:pt>
                <c:pt idx="70">
                  <c:v>0.17430000000000057</c:v>
                </c:pt>
                <c:pt idx="71">
                  <c:v>0.18730000000000047</c:v>
                </c:pt>
                <c:pt idx="72">
                  <c:v>0.10549999999999926</c:v>
                </c:pt>
                <c:pt idx="73">
                  <c:v>0.12139999999999951</c:v>
                </c:pt>
                <c:pt idx="74">
                  <c:v>0.15559999999999974</c:v>
                </c:pt>
                <c:pt idx="75">
                  <c:v>0.22119999999999962</c:v>
                </c:pt>
                <c:pt idx="76">
                  <c:v>0.20010000000000083</c:v>
                </c:pt>
                <c:pt idx="77">
                  <c:v>0.13250000000000028</c:v>
                </c:pt>
                <c:pt idx="78">
                  <c:v>0.12180000000000035</c:v>
                </c:pt>
                <c:pt idx="79">
                  <c:v>0.14480000000000004</c:v>
                </c:pt>
                <c:pt idx="80">
                  <c:v>0.21419999999999995</c:v>
                </c:pt>
                <c:pt idx="81">
                  <c:v>0.18459999999999965</c:v>
                </c:pt>
                <c:pt idx="82">
                  <c:v>0.20940000000000047</c:v>
                </c:pt>
                <c:pt idx="83">
                  <c:v>0.18009999999999948</c:v>
                </c:pt>
                <c:pt idx="84">
                  <c:v>0.15429999999999922</c:v>
                </c:pt>
                <c:pt idx="85">
                  <c:v>0.17889999999999873</c:v>
                </c:pt>
                <c:pt idx="86">
                  <c:v>0.15579999999999927</c:v>
                </c:pt>
                <c:pt idx="87">
                  <c:v>0.21579999999999977</c:v>
                </c:pt>
                <c:pt idx="88">
                  <c:v>0.18829999999999991</c:v>
                </c:pt>
                <c:pt idx="89">
                  <c:v>0.19260000000000055</c:v>
                </c:pt>
                <c:pt idx="90">
                  <c:v>0.16300000000000026</c:v>
                </c:pt>
                <c:pt idx="91">
                  <c:v>0.19259999999999877</c:v>
                </c:pt>
                <c:pt idx="92">
                  <c:v>0.11529999999999951</c:v>
                </c:pt>
                <c:pt idx="93">
                  <c:v>0.16499999999999915</c:v>
                </c:pt>
                <c:pt idx="94">
                  <c:v>0.17109999999999914</c:v>
                </c:pt>
                <c:pt idx="95">
                  <c:v>0.20720000000000027</c:v>
                </c:pt>
                <c:pt idx="96">
                  <c:v>0.17120000000000068</c:v>
                </c:pt>
                <c:pt idx="97">
                  <c:v>0.22669999999999924</c:v>
                </c:pt>
                <c:pt idx="98">
                  <c:v>0.20180000000000042</c:v>
                </c:pt>
                <c:pt idx="99">
                  <c:v>0.12190000000000012</c:v>
                </c:pt>
                <c:pt idx="100">
                  <c:v>17.696199999999997</c:v>
                </c:pt>
                <c:pt idx="101">
                  <c:v>24.965000000000003</c:v>
                </c:pt>
                <c:pt idx="102">
                  <c:v>40.493499999999997</c:v>
                </c:pt>
                <c:pt idx="103">
                  <c:v>54.1036</c:v>
                </c:pt>
                <c:pt idx="104">
                  <c:v>112.73129999999998</c:v>
                </c:pt>
                <c:pt idx="105">
                  <c:v>98.837800000000016</c:v>
                </c:pt>
                <c:pt idx="106">
                  <c:v>2.0399999999995089E-2</c:v>
                </c:pt>
                <c:pt idx="107">
                  <c:v>0.26150000000006912</c:v>
                </c:pt>
                <c:pt idx="108">
                  <c:v>0.22810000000004038</c:v>
                </c:pt>
                <c:pt idx="109">
                  <c:v>6.0799999999971988E-2</c:v>
                </c:pt>
                <c:pt idx="110">
                  <c:v>2.7699999999981628E-2</c:v>
                </c:pt>
                <c:pt idx="111">
                  <c:v>1.9799999999918327E-2</c:v>
                </c:pt>
                <c:pt idx="112">
                  <c:v>3.3099999999990359E-2</c:v>
                </c:pt>
                <c:pt idx="113">
                  <c:v>3.7599999999997635E-2</c:v>
                </c:pt>
                <c:pt idx="114">
                  <c:v>2.6199999999903412E-2</c:v>
                </c:pt>
                <c:pt idx="115">
                  <c:v>1.999999999998181E-2</c:v>
                </c:pt>
                <c:pt idx="116">
                  <c:v>2.5899999999978718E-2</c:v>
                </c:pt>
                <c:pt idx="117">
                  <c:v>2.5700000000028922E-2</c:v>
                </c:pt>
                <c:pt idx="118">
                  <c:v>2.0800000000008367E-2</c:v>
                </c:pt>
                <c:pt idx="119">
                  <c:v>2.0599999999944885E-2</c:v>
                </c:pt>
                <c:pt idx="120">
                  <c:v>6.6100000000005821E-2</c:v>
                </c:pt>
                <c:pt idx="121">
                  <c:v>1.2900000000058753E-2</c:v>
                </c:pt>
                <c:pt idx="122">
                  <c:v>5.4000000000087311E-3</c:v>
                </c:pt>
                <c:pt idx="123">
                  <c:v>2.6000000000067303E-2</c:v>
                </c:pt>
                <c:pt idx="124">
                  <c:v>4.6600000000012187E-2</c:v>
                </c:pt>
                <c:pt idx="125">
                  <c:v>6.5900000000056025E-2</c:v>
                </c:pt>
                <c:pt idx="126">
                  <c:v>1.569999999992433E-2</c:v>
                </c:pt>
                <c:pt idx="127">
                  <c:v>5.4699999999911597E-2</c:v>
                </c:pt>
                <c:pt idx="128">
                  <c:v>3.0699999999910688E-2</c:v>
                </c:pt>
                <c:pt idx="129">
                  <c:v>7.0000000000050022E-2</c:v>
                </c:pt>
                <c:pt idx="130">
                  <c:v>3.3300000000053842E-2</c:v>
                </c:pt>
                <c:pt idx="131">
                  <c:v>7.799999999974716E-3</c:v>
                </c:pt>
                <c:pt idx="132">
                  <c:v>1.5399999999999636E-2</c:v>
                </c:pt>
                <c:pt idx="133">
                  <c:v>2.9700000000048021E-2</c:v>
                </c:pt>
                <c:pt idx="134">
                  <c:v>3.160000000002583E-2</c:v>
                </c:pt>
                <c:pt idx="135">
                  <c:v>2.3999999999659849E-3</c:v>
                </c:pt>
                <c:pt idx="136">
                  <c:v>8.1699999999955253E-2</c:v>
                </c:pt>
                <c:pt idx="137">
                  <c:v>8.3999999999377906E-3</c:v>
                </c:pt>
                <c:pt idx="138">
                  <c:v>4.3800000000032924E-2</c:v>
                </c:pt>
                <c:pt idx="139">
                  <c:v>5.010000000004311E-2</c:v>
                </c:pt>
                <c:pt idx="140">
                  <c:v>4.2000000000825821E-3</c:v>
                </c:pt>
                <c:pt idx="141">
                  <c:v>2.6099999999928514E-2</c:v>
                </c:pt>
                <c:pt idx="142">
                  <c:v>3.9499999999975444E-2</c:v>
                </c:pt>
                <c:pt idx="143">
                  <c:v>5.5200000000013461E-2</c:v>
                </c:pt>
                <c:pt idx="144">
                  <c:v>3.3300000000053842E-2</c:v>
                </c:pt>
                <c:pt idx="145">
                  <c:v>1.4599999999973079E-2</c:v>
                </c:pt>
                <c:pt idx="146">
                  <c:v>1.6799999999989268E-2</c:v>
                </c:pt>
                <c:pt idx="147">
                  <c:v>1.850000000001728E-2</c:v>
                </c:pt>
                <c:pt idx="148">
                  <c:v>3.1999999999925421E-3</c:v>
                </c:pt>
                <c:pt idx="149">
                  <c:v>1.0499999999979082E-2</c:v>
                </c:pt>
                <c:pt idx="150">
                  <c:v>2.9599999999959437E-2</c:v>
                </c:pt>
                <c:pt idx="151">
                  <c:v>1.0300000000029286E-2</c:v>
                </c:pt>
                <c:pt idx="152">
                  <c:v>2.4200000000064392E-2</c:v>
                </c:pt>
                <c:pt idx="153">
                  <c:v>2.9599999999959437E-2</c:v>
                </c:pt>
                <c:pt idx="154">
                  <c:v>5.7000000000471118E-3</c:v>
                </c:pt>
                <c:pt idx="155">
                  <c:v>3.1999999999925421E-3</c:v>
                </c:pt>
                <c:pt idx="156">
                  <c:v>4.4700000000034379E-2</c:v>
                </c:pt>
                <c:pt idx="157">
                  <c:v>1.3599999999996726E-2</c:v>
                </c:pt>
                <c:pt idx="158">
                  <c:v>3.1000000000176442E-3</c:v>
                </c:pt>
                <c:pt idx="159">
                  <c:v>3.8000000000693035E-3</c:v>
                </c:pt>
                <c:pt idx="160">
                  <c:v>3.0999999999949068E-2</c:v>
                </c:pt>
                <c:pt idx="161">
                  <c:v>3.7799999999947431E-2</c:v>
                </c:pt>
                <c:pt idx="162">
                  <c:v>5.3999999999973625E-2</c:v>
                </c:pt>
                <c:pt idx="163">
                  <c:v>5.6100000000014916E-2</c:v>
                </c:pt>
                <c:pt idx="164">
                  <c:v>2.8800000000046566E-2</c:v>
                </c:pt>
                <c:pt idx="165">
                  <c:v>4.6799999999961983E-2</c:v>
                </c:pt>
                <c:pt idx="166">
                  <c:v>3.1999999999925421E-3</c:v>
                </c:pt>
                <c:pt idx="167">
                  <c:v>6.0899999999946886E-2</c:v>
                </c:pt>
                <c:pt idx="168">
                  <c:v>8.1000000000130967E-3</c:v>
                </c:pt>
                <c:pt idx="169">
                  <c:v>2.7900000000045111E-2</c:v>
                </c:pt>
                <c:pt idx="170">
                  <c:v>1.0199999999940701E-2</c:v>
                </c:pt>
                <c:pt idx="171">
                  <c:v>1.6399999999975989E-2</c:v>
                </c:pt>
                <c:pt idx="172">
                  <c:v>2.179999999998472E-2</c:v>
                </c:pt>
                <c:pt idx="173">
                  <c:v>1.7200000000002547E-2</c:v>
                </c:pt>
                <c:pt idx="174">
                  <c:v>1.059999999995398E-2</c:v>
                </c:pt>
                <c:pt idx="175">
                  <c:v>2.6200000000017099E-2</c:v>
                </c:pt>
                <c:pt idx="176">
                  <c:v>2.9999999999290594E-3</c:v>
                </c:pt>
                <c:pt idx="177">
                  <c:v>2.299999999991087E-3</c:v>
                </c:pt>
                <c:pt idx="178">
                  <c:v>2.580000000000382E-2</c:v>
                </c:pt>
                <c:pt idx="179">
                  <c:v>2.3199999999974352E-2</c:v>
                </c:pt>
                <c:pt idx="180">
                  <c:v>1.81999999999789E-2</c:v>
                </c:pt>
                <c:pt idx="181">
                  <c:v>7.2999999999865395E-3</c:v>
                </c:pt>
                <c:pt idx="182">
                  <c:v>7.000000000516593E-4</c:v>
                </c:pt>
                <c:pt idx="183">
                  <c:v>1.1399999999980537E-2</c:v>
                </c:pt>
                <c:pt idx="184">
                  <c:v>6.7999999999983629E-3</c:v>
                </c:pt>
                <c:pt idx="185">
                  <c:v>4.4600000000059481E-2</c:v>
                </c:pt>
                <c:pt idx="186">
                  <c:v>7.2999999999865395E-3</c:v>
                </c:pt>
                <c:pt idx="187">
                  <c:v>6.4499999999952706E-2</c:v>
                </c:pt>
                <c:pt idx="188">
                  <c:v>1.160000000004402E-2</c:v>
                </c:pt>
                <c:pt idx="189">
                  <c:v>4.0000000001327862E-4</c:v>
                </c:pt>
                <c:pt idx="190">
                  <c:v>7.6999999999998181E-3</c:v>
                </c:pt>
                <c:pt idx="191">
                  <c:v>2.7699999999981628E-2</c:v>
                </c:pt>
                <c:pt idx="192">
                  <c:v>3.6799999999971078E-2</c:v>
                </c:pt>
                <c:pt idx="193">
                  <c:v>2.2899999999935972E-2</c:v>
                </c:pt>
                <c:pt idx="194">
                  <c:v>3.6400000000071486E-2</c:v>
                </c:pt>
                <c:pt idx="195">
                  <c:v>4.9299999999902866E-2</c:v>
                </c:pt>
                <c:pt idx="196">
                  <c:v>1.7600000000015825E-2</c:v>
                </c:pt>
                <c:pt idx="197">
                  <c:v>1.3000000000147338E-3</c:v>
                </c:pt>
                <c:pt idx="198">
                  <c:v>2.6499999999941792E-2</c:v>
                </c:pt>
                <c:pt idx="199">
                  <c:v>3.5500000000070031E-2</c:v>
                </c:pt>
                <c:pt idx="200">
                  <c:v>4.2100000000004911E-2</c:v>
                </c:pt>
                <c:pt idx="201">
                  <c:v>2.3200000000088039E-2</c:v>
                </c:pt>
                <c:pt idx="202">
                  <c:v>3.6000000000058208E-3</c:v>
                </c:pt>
                <c:pt idx="203">
                  <c:v>1.5999999999394277E-3</c:v>
                </c:pt>
                <c:pt idx="204">
                  <c:v>4.1699999999991633E-2</c:v>
                </c:pt>
                <c:pt idx="205">
                  <c:v>3.1999999999925421E-2</c:v>
                </c:pt>
                <c:pt idx="206">
                  <c:v>2.5599999999940337E-2</c:v>
                </c:pt>
                <c:pt idx="207">
                  <c:v>1.389999999992142E-2</c:v>
                </c:pt>
                <c:pt idx="208">
                  <c:v>2.5300000000015643E-2</c:v>
                </c:pt>
                <c:pt idx="209">
                  <c:v>2.9199999999946158E-2</c:v>
                </c:pt>
                <c:pt idx="210">
                  <c:v>3.6799999999971078E-2</c:v>
                </c:pt>
                <c:pt idx="211">
                  <c:v>2.4699999999938882E-2</c:v>
                </c:pt>
                <c:pt idx="212">
                  <c:v>9.3000000000529326E-3</c:v>
                </c:pt>
                <c:pt idx="213">
                  <c:v>3.0300000000011096E-2</c:v>
                </c:pt>
                <c:pt idx="214">
                  <c:v>4.9300000000016553E-2</c:v>
                </c:pt>
                <c:pt idx="215">
                  <c:v>1.9700000000057116E-2</c:v>
                </c:pt>
                <c:pt idx="216">
                  <c:v>2.0899999999983265E-2</c:v>
                </c:pt>
                <c:pt idx="217">
                  <c:v>5.3000000000338332E-3</c:v>
                </c:pt>
                <c:pt idx="218">
                  <c:v>1.490000000001146E-2</c:v>
                </c:pt>
                <c:pt idx="219">
                  <c:v>8.8599999999928514E-2</c:v>
                </c:pt>
                <c:pt idx="220">
                  <c:v>3.2700000000090768E-2</c:v>
                </c:pt>
                <c:pt idx="221">
                  <c:v>5.4099999999948523E-2</c:v>
                </c:pt>
                <c:pt idx="222">
                  <c:v>6.700000000023465E-3</c:v>
                </c:pt>
                <c:pt idx="223">
                  <c:v>5.2699999999958891E-2</c:v>
                </c:pt>
                <c:pt idx="224">
                  <c:v>1.1599999999930333E-2</c:v>
                </c:pt>
                <c:pt idx="225">
                  <c:v>4.250000000001819E-2</c:v>
                </c:pt>
                <c:pt idx="226">
                  <c:v>4.3900000000007822E-2</c:v>
                </c:pt>
                <c:pt idx="227">
                  <c:v>8.5000000000263753E-3</c:v>
                </c:pt>
                <c:pt idx="228">
                  <c:v>9.010000000000673E-2</c:v>
                </c:pt>
                <c:pt idx="229">
                  <c:v>1.7699999999990723E-2</c:v>
                </c:pt>
                <c:pt idx="230">
                  <c:v>1.3100000000008549E-2</c:v>
                </c:pt>
                <c:pt idx="231">
                  <c:v>3.1999999999925421E-3</c:v>
                </c:pt>
                <c:pt idx="232">
                  <c:v>4.9999999998817657E-4</c:v>
                </c:pt>
                <c:pt idx="233">
                  <c:v>7.9999999991287041E-4</c:v>
                </c:pt>
                <c:pt idx="234">
                  <c:v>6.25E-2</c:v>
                </c:pt>
                <c:pt idx="235">
                  <c:v>6.1500000000023647E-2</c:v>
                </c:pt>
                <c:pt idx="236">
                  <c:v>2.2299999999972897E-2</c:v>
                </c:pt>
                <c:pt idx="237">
                  <c:v>5.1599999999893953E-2</c:v>
                </c:pt>
                <c:pt idx="238">
                  <c:v>4.6900000000050568E-2</c:v>
                </c:pt>
                <c:pt idx="239">
                  <c:v>2.1600000000034925E-2</c:v>
                </c:pt>
                <c:pt idx="240">
                  <c:v>7.6999999999998181E-3</c:v>
                </c:pt>
                <c:pt idx="241">
                  <c:v>1.41999999999598E-2</c:v>
                </c:pt>
                <c:pt idx="242">
                  <c:v>3.9800000000013824E-2</c:v>
                </c:pt>
                <c:pt idx="243">
                  <c:v>3.7100000000009459E-2</c:v>
                </c:pt>
                <c:pt idx="244">
                  <c:v>2.8699999999957981E-2</c:v>
                </c:pt>
                <c:pt idx="245">
                  <c:v>5.8000000000220098E-3</c:v>
                </c:pt>
                <c:pt idx="246">
                  <c:v>1.5300000000024738E-2</c:v>
                </c:pt>
                <c:pt idx="247">
                  <c:v>1.0799999999903775E-2</c:v>
                </c:pt>
                <c:pt idx="248">
                  <c:v>3.1999999999925421E-2</c:v>
                </c:pt>
                <c:pt idx="249">
                  <c:v>5.5200000000013461E-2</c:v>
                </c:pt>
                <c:pt idx="250">
                  <c:v>2.5599999999940337E-2</c:v>
                </c:pt>
                <c:pt idx="251">
                  <c:v>2.2600000000011278E-2</c:v>
                </c:pt>
                <c:pt idx="252">
                  <c:v>2.6799999999980173E-2</c:v>
                </c:pt>
                <c:pt idx="253">
                  <c:v>2.4000000000000909E-2</c:v>
                </c:pt>
                <c:pt idx="254">
                  <c:v>8.500000000003638E-2</c:v>
                </c:pt>
                <c:pt idx="255">
                  <c:v>6.3999999999850843E-3</c:v>
                </c:pt>
                <c:pt idx="256">
                  <c:v>6.5399999999954161E-2</c:v>
                </c:pt>
                <c:pt idx="257">
                  <c:v>2.0800000000008367E-2</c:v>
                </c:pt>
                <c:pt idx="258">
                  <c:v>6.4999999999940883E-2</c:v>
                </c:pt>
                <c:pt idx="259">
                  <c:v>3.1499999999937245E-2</c:v>
                </c:pt>
                <c:pt idx="260">
                  <c:v>8.6999999999761712E-3</c:v>
                </c:pt>
                <c:pt idx="261">
                  <c:v>5.2900000000022374E-2</c:v>
                </c:pt>
                <c:pt idx="262">
                  <c:v>7.2999999999865395E-3</c:v>
                </c:pt>
                <c:pt idx="263">
                  <c:v>2.2799999999961074E-2</c:v>
                </c:pt>
                <c:pt idx="264">
                  <c:v>3.4500000000093678E-2</c:v>
                </c:pt>
                <c:pt idx="265">
                  <c:v>3.160000000002583E-2</c:v>
                </c:pt>
                <c:pt idx="266">
                  <c:v>1.8699999999967076E-2</c:v>
                </c:pt>
                <c:pt idx="267">
                  <c:v>7.2999999999865395E-3</c:v>
                </c:pt>
                <c:pt idx="268">
                  <c:v>3.190000000006421E-2</c:v>
                </c:pt>
                <c:pt idx="269">
                  <c:v>5.340000000001055E-2</c:v>
                </c:pt>
                <c:pt idx="270">
                  <c:v>4.1800000000080217E-2</c:v>
                </c:pt>
                <c:pt idx="271">
                  <c:v>4.8499999999989996E-2</c:v>
                </c:pt>
                <c:pt idx="272">
                  <c:v>2.4200000000064392E-2</c:v>
                </c:pt>
                <c:pt idx="273">
                  <c:v>2.2600000000011278E-2</c:v>
                </c:pt>
                <c:pt idx="274">
                  <c:v>7.0199999999999818E-2</c:v>
                </c:pt>
                <c:pt idx="275">
                  <c:v>3.419999999994161E-2</c:v>
                </c:pt>
                <c:pt idx="276">
                  <c:v>1.7100000000027649E-2</c:v>
                </c:pt>
                <c:pt idx="277">
                  <c:v>5.4999999999836291E-3</c:v>
                </c:pt>
                <c:pt idx="278">
                  <c:v>6.1000000000603904E-3</c:v>
                </c:pt>
                <c:pt idx="279">
                  <c:v>5.1100000000019463E-2</c:v>
                </c:pt>
                <c:pt idx="280">
                  <c:v>6.8800000000010186E-2</c:v>
                </c:pt>
                <c:pt idx="281">
                  <c:v>4.4899999999984175E-2</c:v>
                </c:pt>
                <c:pt idx="282">
                  <c:v>8.1000000000130967E-3</c:v>
                </c:pt>
                <c:pt idx="283">
                  <c:v>8.4099999999921238E-2</c:v>
                </c:pt>
                <c:pt idx="284">
                  <c:v>4.2900000000031469E-2</c:v>
                </c:pt>
                <c:pt idx="285">
                  <c:v>8.1000000000130967E-3</c:v>
                </c:pt>
                <c:pt idx="286">
                  <c:v>2.250000000003638E-2</c:v>
                </c:pt>
                <c:pt idx="287">
                  <c:v>5.5100000000038563E-2</c:v>
                </c:pt>
                <c:pt idx="288">
                  <c:v>7.3300000000017462E-2</c:v>
                </c:pt>
                <c:pt idx="289">
                  <c:v>4.5600000000035834E-2</c:v>
                </c:pt>
                <c:pt idx="290">
                  <c:v>6.700000000023465E-3</c:v>
                </c:pt>
                <c:pt idx="291">
                  <c:v>2.8900000000021464E-2</c:v>
                </c:pt>
                <c:pt idx="292">
                  <c:v>2.2300000000086584E-2</c:v>
                </c:pt>
                <c:pt idx="293">
                  <c:v>6.4799999999991087E-2</c:v>
                </c:pt>
                <c:pt idx="294">
                  <c:v>1.9700000000057116E-2</c:v>
                </c:pt>
                <c:pt idx="295">
                  <c:v>3.4599999999954889E-2</c:v>
                </c:pt>
                <c:pt idx="296">
                  <c:v>4.8599999999964894E-2</c:v>
                </c:pt>
                <c:pt idx="297">
                  <c:v>2.5899999999978718E-2</c:v>
                </c:pt>
                <c:pt idx="298">
                  <c:v>2.9800000000022919E-2</c:v>
                </c:pt>
                <c:pt idx="299">
                  <c:v>3.8000000000010914E-2</c:v>
                </c:pt>
                <c:pt idx="300">
                  <c:v>2.9199999999946158E-2</c:v>
                </c:pt>
                <c:pt idx="301">
                  <c:v>7.1200000000089858E-2</c:v>
                </c:pt>
                <c:pt idx="302">
                  <c:v>1.00000000009004E-3</c:v>
                </c:pt>
                <c:pt idx="303">
                  <c:v>1.1200000000030741E-2</c:v>
                </c:pt>
                <c:pt idx="304">
                  <c:v>2.7499999999918145E-2</c:v>
                </c:pt>
                <c:pt idx="305">
                  <c:v>7.1500000000014552E-2</c:v>
                </c:pt>
                <c:pt idx="306">
                  <c:v>3.8299999999935608E-2</c:v>
                </c:pt>
                <c:pt idx="307">
                  <c:v>1.9499999999993634E-2</c:v>
                </c:pt>
                <c:pt idx="308">
                  <c:v>2.4100000000089494E-2</c:v>
                </c:pt>
                <c:pt idx="309">
                  <c:v>6.7000000000007276E-2</c:v>
                </c:pt>
                <c:pt idx="310">
                  <c:v>4.5100000000047658E-2</c:v>
                </c:pt>
                <c:pt idx="311">
                  <c:v>0.10969999999997526</c:v>
                </c:pt>
                <c:pt idx="312">
                  <c:v>6.5600000000017644E-2</c:v>
                </c:pt>
                <c:pt idx="313">
                  <c:v>7.6200000000085311E-2</c:v>
                </c:pt>
                <c:pt idx="314">
                  <c:v>6.8199999999933425E-2</c:v>
                </c:pt>
                <c:pt idx="315">
                  <c:v>0.15309999999999491</c:v>
                </c:pt>
                <c:pt idx="316">
                  <c:v>0.11220000000002983</c:v>
                </c:pt>
                <c:pt idx="317">
                  <c:v>0.1147000000000844</c:v>
                </c:pt>
                <c:pt idx="318">
                  <c:v>0.16499999999996362</c:v>
                </c:pt>
                <c:pt idx="319">
                  <c:v>0.1109000000000151</c:v>
                </c:pt>
                <c:pt idx="320">
                  <c:v>0.1350999999999658</c:v>
                </c:pt>
                <c:pt idx="321">
                  <c:v>0.11540000000002237</c:v>
                </c:pt>
                <c:pt idx="322">
                  <c:v>0.13990000000001146</c:v>
                </c:pt>
                <c:pt idx="323">
                  <c:v>8.3000000000083674E-2</c:v>
                </c:pt>
                <c:pt idx="324">
                  <c:v>0.15919999999994161</c:v>
                </c:pt>
                <c:pt idx="325">
                  <c:v>0.15570000000002437</c:v>
                </c:pt>
                <c:pt idx="326">
                  <c:v>0.15219999999999345</c:v>
                </c:pt>
                <c:pt idx="327">
                  <c:v>0.12060000000008131</c:v>
                </c:pt>
                <c:pt idx="328">
                  <c:v>0.16060000000004493</c:v>
                </c:pt>
                <c:pt idx="329">
                  <c:v>0.12239999999997053</c:v>
                </c:pt>
                <c:pt idx="330">
                  <c:v>6.5600000000017644E-2</c:v>
                </c:pt>
                <c:pt idx="331">
                  <c:v>0.12749999999994088</c:v>
                </c:pt>
                <c:pt idx="332">
                  <c:v>0.17319999999995161</c:v>
                </c:pt>
                <c:pt idx="333">
                  <c:v>0.12639999999998963</c:v>
                </c:pt>
                <c:pt idx="334">
                  <c:v>0.20289999999999964</c:v>
                </c:pt>
                <c:pt idx="335">
                  <c:v>0.15140000000008058</c:v>
                </c:pt>
                <c:pt idx="336">
                  <c:v>0.21809999999993579</c:v>
                </c:pt>
                <c:pt idx="337">
                  <c:v>0.14400000000000546</c:v>
                </c:pt>
                <c:pt idx="338">
                  <c:v>0.16620000000000346</c:v>
                </c:pt>
                <c:pt idx="339">
                  <c:v>0.15290000000004511</c:v>
                </c:pt>
                <c:pt idx="340">
                  <c:v>0.17529999999999291</c:v>
                </c:pt>
                <c:pt idx="341">
                  <c:v>0.12180000000000746</c:v>
                </c:pt>
                <c:pt idx="342">
                  <c:v>0.1411000000000513</c:v>
                </c:pt>
                <c:pt idx="343">
                  <c:v>0.14039999999999964</c:v>
                </c:pt>
                <c:pt idx="344">
                  <c:v>0.15360000000009677</c:v>
                </c:pt>
                <c:pt idx="345">
                  <c:v>0.17790000000002237</c:v>
                </c:pt>
                <c:pt idx="346">
                  <c:v>0.11950000000001637</c:v>
                </c:pt>
                <c:pt idx="347">
                  <c:v>0.17180000000007567</c:v>
                </c:pt>
                <c:pt idx="348">
                  <c:v>0.15859999999997854</c:v>
                </c:pt>
                <c:pt idx="349">
                  <c:v>0.15980000000001837</c:v>
                </c:pt>
                <c:pt idx="350">
                  <c:v>0.17029999999999745</c:v>
                </c:pt>
                <c:pt idx="351">
                  <c:v>0.11839999999995143</c:v>
                </c:pt>
                <c:pt idx="352">
                  <c:v>0.1390999999999849</c:v>
                </c:pt>
                <c:pt idx="353">
                  <c:v>0.11869999999998981</c:v>
                </c:pt>
                <c:pt idx="354">
                  <c:v>0.15639999999996235</c:v>
                </c:pt>
                <c:pt idx="355">
                  <c:v>0.14430000000004384</c:v>
                </c:pt>
                <c:pt idx="356">
                  <c:v>0.1432999999999538</c:v>
                </c:pt>
                <c:pt idx="357">
                  <c:v>0.13960000000008677</c:v>
                </c:pt>
                <c:pt idx="358">
                  <c:v>0.15679999999997563</c:v>
                </c:pt>
                <c:pt idx="359">
                  <c:v>0.20680000000004384</c:v>
                </c:pt>
                <c:pt idx="360">
                  <c:v>0.15710000000001401</c:v>
                </c:pt>
                <c:pt idx="361">
                  <c:v>0.15769999999997708</c:v>
                </c:pt>
                <c:pt idx="362">
                  <c:v>0.1875</c:v>
                </c:pt>
                <c:pt idx="363">
                  <c:v>0.17520000000001801</c:v>
                </c:pt>
                <c:pt idx="364">
                  <c:v>0.13040000000000873</c:v>
                </c:pt>
                <c:pt idx="365">
                  <c:v>0.13450000000000273</c:v>
                </c:pt>
                <c:pt idx="366">
                  <c:v>0.1229000000000724</c:v>
                </c:pt>
                <c:pt idx="367">
                  <c:v>0.16919999999993252</c:v>
                </c:pt>
                <c:pt idx="368">
                  <c:v>0.15689999999995052</c:v>
                </c:pt>
                <c:pt idx="369">
                  <c:v>0.18250000000000455</c:v>
                </c:pt>
                <c:pt idx="370">
                  <c:v>0.19790000000000418</c:v>
                </c:pt>
                <c:pt idx="371">
                  <c:v>0.18059999999991305</c:v>
                </c:pt>
                <c:pt idx="372">
                  <c:v>0.17889999999999873</c:v>
                </c:pt>
                <c:pt idx="373">
                  <c:v>0.16289999999992233</c:v>
                </c:pt>
                <c:pt idx="374">
                  <c:v>0.17329999999992651</c:v>
                </c:pt>
                <c:pt idx="375">
                  <c:v>0.15779999999995198</c:v>
                </c:pt>
                <c:pt idx="376">
                  <c:v>0.17450000000008004</c:v>
                </c:pt>
                <c:pt idx="377">
                  <c:v>0.19810000000006767</c:v>
                </c:pt>
                <c:pt idx="378">
                  <c:v>0.16089999999996962</c:v>
                </c:pt>
                <c:pt idx="379">
                  <c:v>0.15570000000002437</c:v>
                </c:pt>
                <c:pt idx="380">
                  <c:v>0.17910000000006221</c:v>
                </c:pt>
                <c:pt idx="381">
                  <c:v>0.17849999999998545</c:v>
                </c:pt>
                <c:pt idx="382">
                  <c:v>0.20270000000004984</c:v>
                </c:pt>
                <c:pt idx="383">
                  <c:v>0.16219999999998436</c:v>
                </c:pt>
                <c:pt idx="384">
                  <c:v>3.1700000000000728E-2</c:v>
                </c:pt>
                <c:pt idx="385">
                  <c:v>9.3899999999962347E-2</c:v>
                </c:pt>
                <c:pt idx="386">
                  <c:v>0.10320000000001528</c:v>
                </c:pt>
                <c:pt idx="387">
                  <c:v>5.160000000000764E-2</c:v>
                </c:pt>
                <c:pt idx="388">
                  <c:v>0.15149999999994179</c:v>
                </c:pt>
                <c:pt idx="389">
                  <c:v>6.5099999999915781E-2</c:v>
                </c:pt>
                <c:pt idx="390">
                  <c:v>7.4799999999981992E-2</c:v>
                </c:pt>
                <c:pt idx="391">
                  <c:v>6.6900000000032378E-2</c:v>
                </c:pt>
                <c:pt idx="392">
                  <c:v>7.0199999999999818E-2</c:v>
                </c:pt>
                <c:pt idx="393">
                  <c:v>5.9399999999982356E-2</c:v>
                </c:pt>
                <c:pt idx="394">
                  <c:v>1.2599999999906686E-2</c:v>
                </c:pt>
                <c:pt idx="395">
                  <c:v>8.8100000000054024E-2</c:v>
                </c:pt>
                <c:pt idx="396">
                  <c:v>8.0100000000015825E-2</c:v>
                </c:pt>
                <c:pt idx="397">
                  <c:v>1.6799999999989268E-2</c:v>
                </c:pt>
                <c:pt idx="398">
                  <c:v>5.8800000000019281E-2</c:v>
                </c:pt>
                <c:pt idx="399">
                  <c:v>8.149999999989177E-2</c:v>
                </c:pt>
                <c:pt idx="400">
                  <c:v>1.8900000000030559E-2</c:v>
                </c:pt>
                <c:pt idx="401">
                  <c:v>4.8199999999951615E-2</c:v>
                </c:pt>
                <c:pt idx="402">
                  <c:v>2.9000000000110049E-2</c:v>
                </c:pt>
                <c:pt idx="403">
                  <c:v>2.4000000000000909E-2</c:v>
                </c:pt>
                <c:pt idx="404">
                  <c:v>9.5400000000040563E-2</c:v>
                </c:pt>
                <c:pt idx="405">
                  <c:v>0.10590000000001965</c:v>
                </c:pt>
                <c:pt idx="406">
                  <c:v>3.5600000000044929E-2</c:v>
                </c:pt>
                <c:pt idx="407">
                  <c:v>9.5100000000002183E-2</c:v>
                </c:pt>
                <c:pt idx="408">
                  <c:v>6.7399999999906868E-2</c:v>
                </c:pt>
                <c:pt idx="409">
                  <c:v>9.0000000000145519E-4</c:v>
                </c:pt>
                <c:pt idx="410">
                  <c:v>4.680000000007567E-2</c:v>
                </c:pt>
                <c:pt idx="411">
                  <c:v>1.9399999999905049E-2</c:v>
                </c:pt>
                <c:pt idx="412">
                  <c:v>4.4899999999984175E-2</c:v>
                </c:pt>
                <c:pt idx="413">
                  <c:v>4.5399999999972351E-2</c:v>
                </c:pt>
                <c:pt idx="414">
                  <c:v>1.3100000000008549E-2</c:v>
                </c:pt>
                <c:pt idx="415">
                  <c:v>9.0000000000145519E-3</c:v>
                </c:pt>
                <c:pt idx="416">
                  <c:v>7.2000000000116415E-3</c:v>
                </c:pt>
                <c:pt idx="417">
                  <c:v>6.3799999999901047E-2</c:v>
                </c:pt>
                <c:pt idx="418">
                  <c:v>3.3299999999940155E-2</c:v>
                </c:pt>
                <c:pt idx="419">
                  <c:v>5.6500000000028194E-2</c:v>
                </c:pt>
                <c:pt idx="420">
                  <c:v>8.350000000007185E-2</c:v>
                </c:pt>
                <c:pt idx="421">
                  <c:v>7.8900000000089676E-2</c:v>
                </c:pt>
                <c:pt idx="422">
                  <c:v>3.2800000000065666E-2</c:v>
                </c:pt>
                <c:pt idx="423">
                  <c:v>4.5800000000099317E-2</c:v>
                </c:pt>
                <c:pt idx="424">
                  <c:v>7.309999999995398E-2</c:v>
                </c:pt>
                <c:pt idx="425">
                  <c:v>2.8299999999944703E-2</c:v>
                </c:pt>
                <c:pt idx="426">
                  <c:v>2.8999999999996362E-2</c:v>
                </c:pt>
                <c:pt idx="427">
                  <c:v>3.6299999999982901E-2</c:v>
                </c:pt>
                <c:pt idx="428">
                  <c:v>3.6600000000021282E-2</c:v>
                </c:pt>
                <c:pt idx="429">
                  <c:v>2.6299999999991996E-2</c:v>
                </c:pt>
                <c:pt idx="430">
                  <c:v>2.9999999992469384E-4</c:v>
                </c:pt>
                <c:pt idx="431">
                  <c:v>1.19000000000824E-2</c:v>
                </c:pt>
                <c:pt idx="432">
                  <c:v>3.9400000000000546E-2</c:v>
                </c:pt>
                <c:pt idx="433">
                  <c:v>5.9600000000045839E-2</c:v>
                </c:pt>
                <c:pt idx="434">
                  <c:v>1.2999999999919964E-2</c:v>
                </c:pt>
                <c:pt idx="435">
                  <c:v>5.1299999999969259E-2</c:v>
                </c:pt>
                <c:pt idx="436">
                  <c:v>2.4900000000002365E-2</c:v>
                </c:pt>
                <c:pt idx="437">
                  <c:v>2.0000000000095497E-2</c:v>
                </c:pt>
                <c:pt idx="438">
                  <c:v>7.5800000000072032E-2</c:v>
                </c:pt>
                <c:pt idx="439">
                  <c:v>5.5500000000051841E-2</c:v>
                </c:pt>
                <c:pt idx="440">
                  <c:v>0.10190000000000055</c:v>
                </c:pt>
                <c:pt idx="441">
                  <c:v>2.0699999999919783E-2</c:v>
                </c:pt>
                <c:pt idx="442">
                  <c:v>3.8400000000024193E-2</c:v>
                </c:pt>
                <c:pt idx="443">
                  <c:v>0.13130000000001019</c:v>
                </c:pt>
                <c:pt idx="444">
                  <c:v>1.999999999998181E-2</c:v>
                </c:pt>
                <c:pt idx="445">
                  <c:v>4.6299999999973807E-2</c:v>
                </c:pt>
                <c:pt idx="446">
                  <c:v>3.1799999999975626E-2</c:v>
                </c:pt>
                <c:pt idx="447">
                  <c:v>2.9699999999934334E-2</c:v>
                </c:pt>
                <c:pt idx="448">
                  <c:v>8.6799999999925603E-2</c:v>
                </c:pt>
                <c:pt idx="449">
                  <c:v>3.7199999999984357E-2</c:v>
                </c:pt>
                <c:pt idx="450">
                  <c:v>4.2400000000043292E-2</c:v>
                </c:pt>
                <c:pt idx="451">
                  <c:v>9.1700000000059845E-2</c:v>
                </c:pt>
                <c:pt idx="452">
                  <c:v>3.8699999999948886E-2</c:v>
                </c:pt>
                <c:pt idx="453">
                  <c:v>9.7499999999968168E-2</c:v>
                </c:pt>
                <c:pt idx="454">
                  <c:v>4.399999999998272E-2</c:v>
                </c:pt>
                <c:pt idx="455">
                  <c:v>6.0299999999983811E-2</c:v>
                </c:pt>
                <c:pt idx="456">
                  <c:v>1.7699999999990723E-2</c:v>
                </c:pt>
                <c:pt idx="457">
                  <c:v>6.2700000000063483E-2</c:v>
                </c:pt>
                <c:pt idx="458">
                  <c:v>8.6000000000012733E-3</c:v>
                </c:pt>
                <c:pt idx="459">
                  <c:v>4.500000000007276E-3</c:v>
                </c:pt>
                <c:pt idx="460">
                  <c:v>2.9300000000034743E-2</c:v>
                </c:pt>
                <c:pt idx="461">
                  <c:v>2.3099999999999454E-2</c:v>
                </c:pt>
                <c:pt idx="462">
                  <c:v>3.6299999999982901E-2</c:v>
                </c:pt>
                <c:pt idx="463">
                  <c:v>1.3199999999983447E-2</c:v>
                </c:pt>
                <c:pt idx="464">
                  <c:v>2.4199999999950705E-2</c:v>
                </c:pt>
                <c:pt idx="465">
                  <c:v>3.2899999999926877E-2</c:v>
                </c:pt>
                <c:pt idx="466">
                  <c:v>6.6799999999943793E-2</c:v>
                </c:pt>
                <c:pt idx="467">
                  <c:v>3.190000000006421E-2</c:v>
                </c:pt>
                <c:pt idx="468">
                  <c:v>4.9300000000016553E-2</c:v>
                </c:pt>
                <c:pt idx="469">
                  <c:v>5.6700000000091677E-2</c:v>
                </c:pt>
                <c:pt idx="470">
                  <c:v>1.1899999999968713E-2</c:v>
                </c:pt>
                <c:pt idx="471">
                  <c:v>5.9499999999957254E-2</c:v>
                </c:pt>
                <c:pt idx="472">
                  <c:v>2.1400000000085129E-2</c:v>
                </c:pt>
                <c:pt idx="473">
                  <c:v>4.4800000000009277E-2</c:v>
                </c:pt>
                <c:pt idx="474">
                  <c:v>3.2199999999988904E-2</c:v>
                </c:pt>
                <c:pt idx="475">
                  <c:v>8.6400000000026012E-2</c:v>
                </c:pt>
                <c:pt idx="476">
                  <c:v>1.6399999999975989E-2</c:v>
                </c:pt>
                <c:pt idx="477">
                  <c:v>5.0900000000069667E-2</c:v>
                </c:pt>
                <c:pt idx="478">
                  <c:v>3.2999999999674401E-3</c:v>
                </c:pt>
                <c:pt idx="479">
                  <c:v>3.4499999999979991E-2</c:v>
                </c:pt>
                <c:pt idx="480">
                  <c:v>1.6100000000051296E-2</c:v>
                </c:pt>
                <c:pt idx="481">
                  <c:v>3.4999999999968168E-2</c:v>
                </c:pt>
                <c:pt idx="482">
                  <c:v>5.4499999999961801E-2</c:v>
                </c:pt>
                <c:pt idx="483">
                  <c:v>7.6200000000085311E-2</c:v>
                </c:pt>
                <c:pt idx="484">
                  <c:v>1.5100000000074942E-2</c:v>
                </c:pt>
                <c:pt idx="485">
                  <c:v>2.3000000000024556E-2</c:v>
                </c:pt>
                <c:pt idx="486">
                  <c:v>4.3199999999956162E-2</c:v>
                </c:pt>
                <c:pt idx="487">
                  <c:v>7.0600000000013097E-2</c:v>
                </c:pt>
                <c:pt idx="488">
                  <c:v>3.8499999999999091E-2</c:v>
                </c:pt>
                <c:pt idx="489">
                  <c:v>4.4199999999932515E-2</c:v>
                </c:pt>
                <c:pt idx="490">
                  <c:v>5.1199999999994361E-2</c:v>
                </c:pt>
                <c:pt idx="491">
                  <c:v>2.4399999999900501E-2</c:v>
                </c:pt>
                <c:pt idx="492">
                  <c:v>5.1699999999982538E-2</c:v>
                </c:pt>
                <c:pt idx="493">
                  <c:v>1.3199999999983447E-2</c:v>
                </c:pt>
                <c:pt idx="494">
                  <c:v>3.2999999999674401E-3</c:v>
                </c:pt>
                <c:pt idx="495">
                  <c:v>4.4599999999945794E-2</c:v>
                </c:pt>
                <c:pt idx="496">
                  <c:v>9.1999999999643478E-3</c:v>
                </c:pt>
                <c:pt idx="497">
                  <c:v>5.1199999999994361E-2</c:v>
                </c:pt>
                <c:pt idx="498">
                  <c:v>6.3600000000064938E-2</c:v>
                </c:pt>
                <c:pt idx="499">
                  <c:v>3.5700000000019827E-2</c:v>
                </c:pt>
                <c:pt idx="500">
                  <c:v>4.7400000000038744E-2</c:v>
                </c:pt>
                <c:pt idx="501">
                  <c:v>4.0599999999926695E-2</c:v>
                </c:pt>
                <c:pt idx="502">
                  <c:v>2.3199999999974352E-2</c:v>
                </c:pt>
                <c:pt idx="503">
                  <c:v>1.8300000000067485E-2</c:v>
                </c:pt>
                <c:pt idx="504">
                  <c:v>1.6799999999989268E-2</c:v>
                </c:pt>
                <c:pt idx="505">
                  <c:v>5.340000000001055E-2</c:v>
                </c:pt>
                <c:pt idx="506">
                  <c:v>3.1200000000012551E-2</c:v>
                </c:pt>
                <c:pt idx="507">
                  <c:v>3.2699999999977081E-2</c:v>
                </c:pt>
                <c:pt idx="508">
                  <c:v>5.9300000000007458E-2</c:v>
                </c:pt>
                <c:pt idx="509">
                  <c:v>1.160000000004402E-2</c:v>
                </c:pt>
                <c:pt idx="510">
                  <c:v>8.8100000000054024E-2</c:v>
                </c:pt>
                <c:pt idx="511">
                  <c:v>9.4000000000050932E-2</c:v>
                </c:pt>
                <c:pt idx="512">
                  <c:v>1.7399999999952342E-2</c:v>
                </c:pt>
                <c:pt idx="513">
                  <c:v>7.2999999999979082E-2</c:v>
                </c:pt>
                <c:pt idx="514">
                  <c:v>5.6900000000041473E-2</c:v>
                </c:pt>
                <c:pt idx="515">
                  <c:v>3.5100000000056752E-2</c:v>
                </c:pt>
                <c:pt idx="516">
                  <c:v>1.3099999999894862E-2</c:v>
                </c:pt>
                <c:pt idx="517">
                  <c:v>2.6999999999929969E-2</c:v>
                </c:pt>
                <c:pt idx="518">
                  <c:v>2.5899999999978718E-2</c:v>
                </c:pt>
                <c:pt idx="519">
                  <c:v>9.4799999999963802E-2</c:v>
                </c:pt>
                <c:pt idx="520">
                  <c:v>2.2900000000049658E-2</c:v>
                </c:pt>
                <c:pt idx="521">
                  <c:v>3.9300000000025648E-2</c:v>
                </c:pt>
                <c:pt idx="522">
                  <c:v>2.2699999999986176E-2</c:v>
                </c:pt>
                <c:pt idx="523">
                  <c:v>2.149999999994634E-2</c:v>
                </c:pt>
                <c:pt idx="524">
                  <c:v>4.5399999999972351E-2</c:v>
                </c:pt>
                <c:pt idx="525">
                  <c:v>1.089999999999236E-2</c:v>
                </c:pt>
                <c:pt idx="526">
                  <c:v>6.9999999999481588E-3</c:v>
                </c:pt>
                <c:pt idx="527">
                  <c:v>1.9499999999993634E-2</c:v>
                </c:pt>
                <c:pt idx="528">
                  <c:v>4.4099999999957618E-2</c:v>
                </c:pt>
                <c:pt idx="529">
                  <c:v>1.0300000000029286E-2</c:v>
                </c:pt>
                <c:pt idx="530">
                  <c:v>2.729999999996835E-2</c:v>
                </c:pt>
                <c:pt idx="531">
                  <c:v>9.2999999999960892E-2</c:v>
                </c:pt>
                <c:pt idx="532">
                  <c:v>2.8599999999983083E-2</c:v>
                </c:pt>
                <c:pt idx="533">
                  <c:v>2.4499999999989086E-2</c:v>
                </c:pt>
                <c:pt idx="534">
                  <c:v>2.1700000000009823E-2</c:v>
                </c:pt>
                <c:pt idx="535">
                  <c:v>3.4300000000030195E-2</c:v>
                </c:pt>
                <c:pt idx="536">
                  <c:v>2.299999999991087E-2</c:v>
                </c:pt>
                <c:pt idx="537">
                  <c:v>5.8400000000006003E-2</c:v>
                </c:pt>
                <c:pt idx="538">
                  <c:v>3.0700000000024374E-2</c:v>
                </c:pt>
                <c:pt idx="539">
                  <c:v>7.5000000000045475E-2</c:v>
                </c:pt>
                <c:pt idx="540">
                  <c:v>6.8599999999946704E-2</c:v>
                </c:pt>
                <c:pt idx="541">
                  <c:v>5.8800000000019281E-2</c:v>
                </c:pt>
                <c:pt idx="542">
                  <c:v>6.7200000000070759E-2</c:v>
                </c:pt>
                <c:pt idx="543">
                  <c:v>3.2199999999988904E-2</c:v>
                </c:pt>
                <c:pt idx="544">
                  <c:v>3.520000000003165E-2</c:v>
                </c:pt>
                <c:pt idx="545">
                  <c:v>6.2799999999924694E-2</c:v>
                </c:pt>
                <c:pt idx="546">
                  <c:v>2.8599999999983083E-2</c:v>
                </c:pt>
                <c:pt idx="547">
                  <c:v>1.3100000000008549E-2</c:v>
                </c:pt>
                <c:pt idx="548">
                  <c:v>4.8999999999978172E-2</c:v>
                </c:pt>
                <c:pt idx="549">
                  <c:v>3.3500000000003638E-2</c:v>
                </c:pt>
                <c:pt idx="550">
                  <c:v>4.6399999999948704E-2</c:v>
                </c:pt>
                <c:pt idx="551">
                  <c:v>3.5799999999994725E-2</c:v>
                </c:pt>
                <c:pt idx="552">
                  <c:v>4.1400000000066939E-2</c:v>
                </c:pt>
                <c:pt idx="553">
                  <c:v>9.3899999999962347E-2</c:v>
                </c:pt>
                <c:pt idx="554">
                  <c:v>3.9800000000013824E-2</c:v>
                </c:pt>
                <c:pt idx="555">
                  <c:v>7.2999999999865395E-3</c:v>
                </c:pt>
                <c:pt idx="556">
                  <c:v>3.1299999999987449E-2</c:v>
                </c:pt>
                <c:pt idx="557">
                  <c:v>7.5000000000500222E-3</c:v>
                </c:pt>
                <c:pt idx="558">
                  <c:v>6.0000000007676135E-4</c:v>
                </c:pt>
                <c:pt idx="559">
                  <c:v>3.7399999999934153E-2</c:v>
                </c:pt>
                <c:pt idx="560">
                  <c:v>9.0199999999981628E-2</c:v>
                </c:pt>
                <c:pt idx="561">
                  <c:v>3.2900000000040563E-2</c:v>
                </c:pt>
                <c:pt idx="562">
                  <c:v>9.0000000000145519E-3</c:v>
                </c:pt>
                <c:pt idx="563">
                  <c:v>1.6000000000531145E-3</c:v>
                </c:pt>
                <c:pt idx="564">
                  <c:v>4.0100000000052205E-2</c:v>
                </c:pt>
                <c:pt idx="565">
                  <c:v>5.0399999999967804E-2</c:v>
                </c:pt>
                <c:pt idx="566">
                  <c:v>4.3599999999969441E-2</c:v>
                </c:pt>
                <c:pt idx="567">
                  <c:v>0.15620000000001255</c:v>
                </c:pt>
                <c:pt idx="568">
                  <c:v>0.10320000000001528</c:v>
                </c:pt>
                <c:pt idx="569">
                  <c:v>0.17520000000001801</c:v>
                </c:pt>
                <c:pt idx="570">
                  <c:v>0.19690000000002783</c:v>
                </c:pt>
                <c:pt idx="571">
                  <c:v>0.11099999999999</c:v>
                </c:pt>
                <c:pt idx="572">
                  <c:v>0.16890000000000782</c:v>
                </c:pt>
                <c:pt idx="573">
                  <c:v>0.16669999999999163</c:v>
                </c:pt>
                <c:pt idx="574">
                  <c:v>0.1512000000000171</c:v>
                </c:pt>
                <c:pt idx="575">
                  <c:v>0.19350000000008549</c:v>
                </c:pt>
                <c:pt idx="576">
                  <c:v>0.14699999999993452</c:v>
                </c:pt>
                <c:pt idx="577">
                  <c:v>0.15170000000000528</c:v>
                </c:pt>
                <c:pt idx="578">
                  <c:v>0.15840000000002874</c:v>
                </c:pt>
                <c:pt idx="579">
                  <c:v>0.16380000000003747</c:v>
                </c:pt>
                <c:pt idx="580">
                  <c:v>0.15700000000003911</c:v>
                </c:pt>
                <c:pt idx="581">
                  <c:v>0.18320000000005621</c:v>
                </c:pt>
                <c:pt idx="582">
                  <c:v>0.17739999999992051</c:v>
                </c:pt>
                <c:pt idx="583">
                  <c:v>0.24239999999997508</c:v>
                </c:pt>
                <c:pt idx="584">
                  <c:v>0.2338999999999487</c:v>
                </c:pt>
                <c:pt idx="585">
                  <c:v>0.10850000000004911</c:v>
                </c:pt>
                <c:pt idx="586">
                  <c:v>0.11350000000004457</c:v>
                </c:pt>
                <c:pt idx="587">
                  <c:v>0.16730000000006839</c:v>
                </c:pt>
                <c:pt idx="588">
                  <c:v>0.18790000000001328</c:v>
                </c:pt>
                <c:pt idx="589">
                  <c:v>0.10869999999999891</c:v>
                </c:pt>
                <c:pt idx="590">
                  <c:v>0.17529999999999291</c:v>
                </c:pt>
                <c:pt idx="591">
                  <c:v>0.15350000000000819</c:v>
                </c:pt>
                <c:pt idx="592">
                  <c:v>0.17160000000001219</c:v>
                </c:pt>
                <c:pt idx="593">
                  <c:v>0.13089999999999691</c:v>
                </c:pt>
                <c:pt idx="594">
                  <c:v>0.15099999999995362</c:v>
                </c:pt>
                <c:pt idx="595">
                  <c:v>0.18709999999998672</c:v>
                </c:pt>
                <c:pt idx="596">
                  <c:v>0.19610000000000127</c:v>
                </c:pt>
                <c:pt idx="597">
                  <c:v>0.17449999999996635</c:v>
                </c:pt>
                <c:pt idx="598">
                  <c:v>0.20129999999994652</c:v>
                </c:pt>
                <c:pt idx="599">
                  <c:v>0.15650000000005093</c:v>
                </c:pt>
                <c:pt idx="600">
                  <c:v>0.1510000000000673</c:v>
                </c:pt>
                <c:pt idx="601">
                  <c:v>0.18310000000008131</c:v>
                </c:pt>
                <c:pt idx="602">
                  <c:v>0.2036000000000513</c:v>
                </c:pt>
                <c:pt idx="603">
                  <c:v>0.15780000000006567</c:v>
                </c:pt>
                <c:pt idx="604">
                  <c:v>0.12189999999998236</c:v>
                </c:pt>
                <c:pt idx="605">
                  <c:v>0.19529999999997472</c:v>
                </c:pt>
                <c:pt idx="606">
                  <c:v>0.17259999999998854</c:v>
                </c:pt>
                <c:pt idx="607">
                  <c:v>0.20630000000005566</c:v>
                </c:pt>
                <c:pt idx="608">
                  <c:v>0.18270000000006803</c:v>
                </c:pt>
                <c:pt idx="609">
                  <c:v>9.7000000000093678E-2</c:v>
                </c:pt>
                <c:pt idx="610">
                  <c:v>0.1510000000000673</c:v>
                </c:pt>
                <c:pt idx="611">
                  <c:v>0.25570000000004711</c:v>
                </c:pt>
                <c:pt idx="612">
                  <c:v>0.20709999999996853</c:v>
                </c:pt>
                <c:pt idx="613">
                  <c:v>0.19839999999999236</c:v>
                </c:pt>
                <c:pt idx="614">
                  <c:v>0.22230000000001837</c:v>
                </c:pt>
                <c:pt idx="615">
                  <c:v>0.13159999999993488</c:v>
                </c:pt>
                <c:pt idx="616">
                  <c:v>0.17809999999997217</c:v>
                </c:pt>
                <c:pt idx="617">
                  <c:v>0.10590000000001965</c:v>
                </c:pt>
                <c:pt idx="618">
                  <c:v>0.18999999999994088</c:v>
                </c:pt>
                <c:pt idx="619">
                  <c:v>0.22609999999997399</c:v>
                </c:pt>
                <c:pt idx="620">
                  <c:v>0.19190000000003238</c:v>
                </c:pt>
                <c:pt idx="621">
                  <c:v>0.22209999999995489</c:v>
                </c:pt>
                <c:pt idx="622">
                  <c:v>0.21870000000001255</c:v>
                </c:pt>
                <c:pt idx="623">
                  <c:v>0.20650000000000546</c:v>
                </c:pt>
                <c:pt idx="624">
                  <c:v>0.20170000000007349</c:v>
                </c:pt>
                <c:pt idx="625">
                  <c:v>0.14430000000004384</c:v>
                </c:pt>
                <c:pt idx="626">
                  <c:v>0.17499999999995453</c:v>
                </c:pt>
                <c:pt idx="627">
                  <c:v>0.16480000000001382</c:v>
                </c:pt>
                <c:pt idx="628">
                  <c:v>0.20410000000003947</c:v>
                </c:pt>
                <c:pt idx="629">
                  <c:v>7.7499999999986358E-2</c:v>
                </c:pt>
                <c:pt idx="630">
                  <c:v>0.12009999999997945</c:v>
                </c:pt>
                <c:pt idx="631">
                  <c:v>0.19300000000009732</c:v>
                </c:pt>
                <c:pt idx="632">
                  <c:v>0.1391999999999598</c:v>
                </c:pt>
                <c:pt idx="633">
                  <c:v>0.13540000000000418</c:v>
                </c:pt>
                <c:pt idx="634">
                  <c:v>7.5300000000083855E-2</c:v>
                </c:pt>
                <c:pt idx="635">
                  <c:v>0.12009999999997945</c:v>
                </c:pt>
                <c:pt idx="636">
                  <c:v>3.819999999996071E-2</c:v>
                </c:pt>
                <c:pt idx="637">
                  <c:v>0.13070000000004711</c:v>
                </c:pt>
                <c:pt idx="638">
                  <c:v>0.11160000000006676</c:v>
                </c:pt>
                <c:pt idx="639">
                  <c:v>0.120900000000006</c:v>
                </c:pt>
                <c:pt idx="640">
                  <c:v>4.5999999999935426E-2</c:v>
                </c:pt>
                <c:pt idx="641">
                  <c:v>8.979999999996835E-2</c:v>
                </c:pt>
                <c:pt idx="642">
                  <c:v>5.2700000000072578E-2</c:v>
                </c:pt>
                <c:pt idx="643">
                  <c:v>4.3100000000094951E-2</c:v>
                </c:pt>
                <c:pt idx="644">
                  <c:v>6.2199999999961619E-2</c:v>
                </c:pt>
                <c:pt idx="645">
                  <c:v>2.9699999999934334E-2</c:v>
                </c:pt>
                <c:pt idx="646">
                  <c:v>0.13009999999997035</c:v>
                </c:pt>
                <c:pt idx="647">
                  <c:v>0.1169999999999618</c:v>
                </c:pt>
                <c:pt idx="648">
                  <c:v>6.7800000000033833E-2</c:v>
                </c:pt>
                <c:pt idx="649">
                  <c:v>5.8899999999994179E-2</c:v>
                </c:pt>
                <c:pt idx="650">
                  <c:v>8.7400000000002365E-2</c:v>
                </c:pt>
                <c:pt idx="651">
                  <c:v>1.6399999999975989E-2</c:v>
                </c:pt>
                <c:pt idx="652">
                  <c:v>4.2900000000031469E-2</c:v>
                </c:pt>
                <c:pt idx="653">
                  <c:v>7.8800000000001091E-2</c:v>
                </c:pt>
                <c:pt idx="654">
                  <c:v>0.15619999999989886</c:v>
                </c:pt>
                <c:pt idx="655">
                  <c:v>4.0600000000040382E-2</c:v>
                </c:pt>
                <c:pt idx="656">
                  <c:v>1.2099999999918509E-2</c:v>
                </c:pt>
                <c:pt idx="657">
                  <c:v>5.4399999999986903E-2</c:v>
                </c:pt>
                <c:pt idx="658">
                  <c:v>4.2400000000043292E-2</c:v>
                </c:pt>
                <c:pt idx="659">
                  <c:v>2.5399999999990541E-2</c:v>
                </c:pt>
                <c:pt idx="660">
                  <c:v>8.3499999999958163E-2</c:v>
                </c:pt>
                <c:pt idx="661">
                  <c:v>3.4100000000080399E-2</c:v>
                </c:pt>
                <c:pt idx="662">
                  <c:v>1.920000000006894E-2</c:v>
                </c:pt>
                <c:pt idx="663">
                  <c:v>5.0299999999992906E-2</c:v>
                </c:pt>
                <c:pt idx="664">
                  <c:v>2.0000000000663931E-3</c:v>
                </c:pt>
                <c:pt idx="665">
                  <c:v>2.5600000000054024E-2</c:v>
                </c:pt>
                <c:pt idx="666">
                  <c:v>3.1499999999937245E-2</c:v>
                </c:pt>
                <c:pt idx="667">
                  <c:v>9.8799999999982901E-2</c:v>
                </c:pt>
                <c:pt idx="668">
                  <c:v>8.2199999999943429E-2</c:v>
                </c:pt>
                <c:pt idx="669">
                  <c:v>7.5500000000033651E-2</c:v>
                </c:pt>
                <c:pt idx="670">
                  <c:v>9.7900000000095133E-2</c:v>
                </c:pt>
                <c:pt idx="671">
                  <c:v>1.2299999999981992E-2</c:v>
                </c:pt>
                <c:pt idx="672">
                  <c:v>2.0800000000008367E-2</c:v>
                </c:pt>
                <c:pt idx="673">
                  <c:v>8.3300000000008367E-2</c:v>
                </c:pt>
                <c:pt idx="674">
                  <c:v>0.12529999999992469</c:v>
                </c:pt>
                <c:pt idx="675">
                  <c:v>5.2199999999970714E-2</c:v>
                </c:pt>
                <c:pt idx="676">
                  <c:v>6.6100000000005821E-2</c:v>
                </c:pt>
                <c:pt idx="677">
                  <c:v>5.7199999999966167E-2</c:v>
                </c:pt>
                <c:pt idx="678">
                  <c:v>9.1300000000046566E-2</c:v>
                </c:pt>
                <c:pt idx="679">
                  <c:v>3.01000000000613E-2</c:v>
                </c:pt>
                <c:pt idx="680">
                  <c:v>2.0499999999969987E-2</c:v>
                </c:pt>
                <c:pt idx="681">
                  <c:v>9.1400000000021464E-2</c:v>
                </c:pt>
                <c:pt idx="682">
                  <c:v>6.4999999999940883E-2</c:v>
                </c:pt>
                <c:pt idx="683">
                  <c:v>4.9300000000016553E-2</c:v>
                </c:pt>
                <c:pt idx="684">
                  <c:v>8.6400000000026012E-2</c:v>
                </c:pt>
                <c:pt idx="685">
                  <c:v>1.9400000000018736E-2</c:v>
                </c:pt>
                <c:pt idx="686">
                  <c:v>9.8700000000008004E-2</c:v>
                </c:pt>
                <c:pt idx="687">
                  <c:v>1.7399999999952342E-2</c:v>
                </c:pt>
                <c:pt idx="688">
                  <c:v>7.4800000000095679E-2</c:v>
                </c:pt>
                <c:pt idx="689">
                  <c:v>6.8399999999996908E-2</c:v>
                </c:pt>
                <c:pt idx="690">
                  <c:v>8.0000000000381988E-3</c:v>
                </c:pt>
                <c:pt idx="691">
                  <c:v>1.7799999999965621E-2</c:v>
                </c:pt>
                <c:pt idx="692">
                  <c:v>4.9700000000029831E-2</c:v>
                </c:pt>
                <c:pt idx="693">
                  <c:v>2.6400000000080581E-2</c:v>
                </c:pt>
                <c:pt idx="694">
                  <c:v>7.5699999999983447E-2</c:v>
                </c:pt>
                <c:pt idx="695">
                  <c:v>5.2099999999995816E-2</c:v>
                </c:pt>
                <c:pt idx="696">
                  <c:v>7.2099999999977626E-2</c:v>
                </c:pt>
                <c:pt idx="697">
                  <c:v>9.8599999999919419E-2</c:v>
                </c:pt>
                <c:pt idx="698">
                  <c:v>9.4200000000000728E-2</c:v>
                </c:pt>
                <c:pt idx="699">
                  <c:v>2.0999999999958163E-2</c:v>
                </c:pt>
                <c:pt idx="700">
                  <c:v>1.3199999999983447E-2</c:v>
                </c:pt>
                <c:pt idx="701">
                  <c:v>5.7500000000004547E-2</c:v>
                </c:pt>
                <c:pt idx="702">
                  <c:v>0.11639999999999873</c:v>
                </c:pt>
                <c:pt idx="703">
                  <c:v>5.8800000000019281E-2</c:v>
                </c:pt>
                <c:pt idx="704">
                  <c:v>0.10190000000000055</c:v>
                </c:pt>
                <c:pt idx="705">
                  <c:v>5.5299999999988358E-2</c:v>
                </c:pt>
                <c:pt idx="706">
                  <c:v>6.3100000000076761E-2</c:v>
                </c:pt>
                <c:pt idx="707">
                  <c:v>3.0700000000024374E-2</c:v>
                </c:pt>
                <c:pt idx="708">
                  <c:v>2.8799999999932879E-2</c:v>
                </c:pt>
                <c:pt idx="709">
                  <c:v>8.100000000001728E-2</c:v>
                </c:pt>
                <c:pt idx="710">
                  <c:v>9.7100000000068576E-2</c:v>
                </c:pt>
                <c:pt idx="711">
                  <c:v>5.7300000000054752E-2</c:v>
                </c:pt>
                <c:pt idx="712">
                  <c:v>3.4400000000005093E-2</c:v>
                </c:pt>
                <c:pt idx="713">
                  <c:v>2.8800000000046566E-2</c:v>
                </c:pt>
                <c:pt idx="714">
                  <c:v>6.2999999999988177E-2</c:v>
                </c:pt>
                <c:pt idx="715">
                  <c:v>5.7900000000017826E-2</c:v>
                </c:pt>
                <c:pt idx="716">
                  <c:v>5.6600000000003092E-2</c:v>
                </c:pt>
                <c:pt idx="717">
                  <c:v>5.4100000000062209E-2</c:v>
                </c:pt>
                <c:pt idx="718">
                  <c:v>7.1500000000014552E-2</c:v>
                </c:pt>
                <c:pt idx="719">
                  <c:v>5.3499999999985448E-2</c:v>
                </c:pt>
                <c:pt idx="720">
                  <c:v>8.0000000000040927E-2</c:v>
                </c:pt>
                <c:pt idx="721">
                  <c:v>0.10419999999999163</c:v>
                </c:pt>
                <c:pt idx="722">
                  <c:v>4.1600000000016735E-2</c:v>
                </c:pt>
                <c:pt idx="723">
                  <c:v>0.11620000000004893</c:v>
                </c:pt>
                <c:pt idx="724">
                  <c:v>1.5399999999999636E-2</c:v>
                </c:pt>
                <c:pt idx="725">
                  <c:v>0.10720000000003438</c:v>
                </c:pt>
                <c:pt idx="726">
                  <c:v>4.6900000000050568E-2</c:v>
                </c:pt>
                <c:pt idx="727">
                  <c:v>8.9600000000018554E-2</c:v>
                </c:pt>
                <c:pt idx="728">
                  <c:v>3.7699999999972533E-2</c:v>
                </c:pt>
                <c:pt idx="729">
                  <c:v>4.729999999995016E-2</c:v>
                </c:pt>
                <c:pt idx="730">
                  <c:v>6.6900000000032378E-2</c:v>
                </c:pt>
                <c:pt idx="731">
                  <c:v>7.9500000000052751E-2</c:v>
                </c:pt>
                <c:pt idx="732">
                  <c:v>9.3200000000024374E-2</c:v>
                </c:pt>
                <c:pt idx="733">
                  <c:v>9.48999999999387E-2</c:v>
                </c:pt>
                <c:pt idx="734">
                  <c:v>4.8700000000053478E-2</c:v>
                </c:pt>
                <c:pt idx="735">
                  <c:v>4.3099999999981264E-2</c:v>
                </c:pt>
                <c:pt idx="736">
                  <c:v>5.8600000000069485E-2</c:v>
                </c:pt>
                <c:pt idx="737">
                  <c:v>2.6600000000030377E-2</c:v>
                </c:pt>
                <c:pt idx="738">
                  <c:v>0.1310999999999467</c:v>
                </c:pt>
                <c:pt idx="739">
                  <c:v>1.6999999999143256E-3</c:v>
                </c:pt>
                <c:pt idx="740">
                  <c:v>3.3800000000042019E-2</c:v>
                </c:pt>
                <c:pt idx="741">
                  <c:v>8.500000000003638E-2</c:v>
                </c:pt>
                <c:pt idx="742">
                  <c:v>3.4999999999968168E-2</c:v>
                </c:pt>
                <c:pt idx="743">
                  <c:v>4.4400000000109685E-2</c:v>
                </c:pt>
                <c:pt idx="744">
                  <c:v>4.6899999999936881E-2</c:v>
                </c:pt>
                <c:pt idx="745">
                  <c:v>3.999999999996362E-2</c:v>
                </c:pt>
                <c:pt idx="746">
                  <c:v>5.4200000000037107E-2</c:v>
                </c:pt>
                <c:pt idx="747">
                  <c:v>2.8299999999944703E-2</c:v>
                </c:pt>
                <c:pt idx="748">
                  <c:v>6.25E-2</c:v>
                </c:pt>
                <c:pt idx="749">
                  <c:v>3.2299999999963802E-2</c:v>
                </c:pt>
                <c:pt idx="750">
                  <c:v>6.2700000000063483E-2</c:v>
                </c:pt>
                <c:pt idx="751">
                  <c:v>4.8199999999951615E-2</c:v>
                </c:pt>
                <c:pt idx="752">
                  <c:v>6.4100000000053114E-2</c:v>
                </c:pt>
                <c:pt idx="753">
                  <c:v>4.1200000000003456E-2</c:v>
                </c:pt>
                <c:pt idx="754">
                  <c:v>7.9399999999964166E-2</c:v>
                </c:pt>
                <c:pt idx="755">
                  <c:v>8.2300000000032014E-2</c:v>
                </c:pt>
                <c:pt idx="756">
                  <c:v>1.9999999999527063E-3</c:v>
                </c:pt>
                <c:pt idx="757">
                  <c:v>7.000000000516593E-4</c:v>
                </c:pt>
                <c:pt idx="758">
                  <c:v>0.13920000000007349</c:v>
                </c:pt>
                <c:pt idx="759">
                  <c:v>1.4800000000036562E-2</c:v>
                </c:pt>
                <c:pt idx="760">
                  <c:v>4.250000000001819E-2</c:v>
                </c:pt>
                <c:pt idx="761">
                  <c:v>8.3100000000058571E-2</c:v>
                </c:pt>
                <c:pt idx="762">
                  <c:v>4.8900000000003274E-2</c:v>
                </c:pt>
                <c:pt idx="763">
                  <c:v>9.919999999999618E-2</c:v>
                </c:pt>
                <c:pt idx="764">
                  <c:v>6.2699999999949796E-2</c:v>
                </c:pt>
                <c:pt idx="765">
                  <c:v>5.3300000000035652E-2</c:v>
                </c:pt>
                <c:pt idx="766">
                  <c:v>0.10970000000008895</c:v>
                </c:pt>
                <c:pt idx="767">
                  <c:v>5.4300000000012005E-2</c:v>
                </c:pt>
                <c:pt idx="768">
                  <c:v>3.190000000006421E-2</c:v>
                </c:pt>
                <c:pt idx="769">
                  <c:v>0.10500000000001819</c:v>
                </c:pt>
                <c:pt idx="770">
                  <c:v>0.13480000000004111</c:v>
                </c:pt>
                <c:pt idx="771">
                  <c:v>7.9600000000027649E-2</c:v>
                </c:pt>
                <c:pt idx="772">
                  <c:v>8.1000000000130967E-3</c:v>
                </c:pt>
                <c:pt idx="773">
                  <c:v>1.9599999999968531E-2</c:v>
                </c:pt>
                <c:pt idx="774">
                  <c:v>7.7899999999999636E-2</c:v>
                </c:pt>
                <c:pt idx="775">
                  <c:v>7.819999999992433E-2</c:v>
                </c:pt>
                <c:pt idx="776">
                  <c:v>6.2900000000013279E-2</c:v>
                </c:pt>
                <c:pt idx="777">
                  <c:v>8.1600000000094042E-2</c:v>
                </c:pt>
                <c:pt idx="778">
                  <c:v>8.9599999999904867E-2</c:v>
                </c:pt>
                <c:pt idx="779">
                  <c:v>3.8599999999973988E-2</c:v>
                </c:pt>
                <c:pt idx="780">
                  <c:v>4.070000000001528E-2</c:v>
                </c:pt>
                <c:pt idx="781">
                  <c:v>6.4799999999991087E-2</c:v>
                </c:pt>
                <c:pt idx="782">
                  <c:v>4.1600000000016735E-2</c:v>
                </c:pt>
                <c:pt idx="783">
                  <c:v>9.6999999999979991E-2</c:v>
                </c:pt>
                <c:pt idx="784">
                  <c:v>2.6299999999991996E-2</c:v>
                </c:pt>
                <c:pt idx="785">
                  <c:v>8.5100000000011278E-2</c:v>
                </c:pt>
                <c:pt idx="786">
                  <c:v>4.3499999999994543E-2</c:v>
                </c:pt>
                <c:pt idx="787">
                  <c:v>8.6000000000012733E-3</c:v>
                </c:pt>
                <c:pt idx="788">
                  <c:v>1.8100000000004002E-2</c:v>
                </c:pt>
                <c:pt idx="789">
                  <c:v>2.250000000003638E-2</c:v>
                </c:pt>
                <c:pt idx="790">
                  <c:v>0.11609999999996035</c:v>
                </c:pt>
                <c:pt idx="791">
                  <c:v>6.8500000000085493E-2</c:v>
                </c:pt>
                <c:pt idx="792">
                  <c:v>2.299999999991087E-3</c:v>
                </c:pt>
                <c:pt idx="793">
                  <c:v>5.4999999999836291E-3</c:v>
                </c:pt>
                <c:pt idx="794">
                  <c:v>3.8099999999985812E-2</c:v>
                </c:pt>
                <c:pt idx="795">
                  <c:v>1.8800000000055661E-2</c:v>
                </c:pt>
                <c:pt idx="796">
                  <c:v>7.4700000000007094E-2</c:v>
                </c:pt>
                <c:pt idx="797">
                  <c:v>6.7700000000058935E-2</c:v>
                </c:pt>
                <c:pt idx="798">
                  <c:v>2.760000000000673E-2</c:v>
                </c:pt>
                <c:pt idx="799">
                  <c:v>5.7299999999941065E-2</c:v>
                </c:pt>
                <c:pt idx="800">
                  <c:v>4.43000000000211E-2</c:v>
                </c:pt>
                <c:pt idx="801">
                  <c:v>6.1100000000010368E-2</c:v>
                </c:pt>
                <c:pt idx="802">
                  <c:v>0.12720000000001619</c:v>
                </c:pt>
                <c:pt idx="803">
                  <c:v>5.0999999999930878E-2</c:v>
                </c:pt>
                <c:pt idx="804">
                  <c:v>0.1088999999999487</c:v>
                </c:pt>
                <c:pt idx="805">
                  <c:v>0.1310999999999467</c:v>
                </c:pt>
                <c:pt idx="806">
                  <c:v>7.9100000000039472E-2</c:v>
                </c:pt>
                <c:pt idx="807">
                  <c:v>0.13880000000006021</c:v>
                </c:pt>
                <c:pt idx="808">
                  <c:v>2.8299999999944703E-2</c:v>
                </c:pt>
                <c:pt idx="809">
                  <c:v>4.100000000005366E-2</c:v>
                </c:pt>
                <c:pt idx="810">
                  <c:v>3.4600000000068576E-2</c:v>
                </c:pt>
                <c:pt idx="811">
                  <c:v>9.0599999999994907E-2</c:v>
                </c:pt>
                <c:pt idx="812">
                  <c:v>9.2999999999960892E-2</c:v>
                </c:pt>
                <c:pt idx="813">
                  <c:v>0.12150000000008276</c:v>
                </c:pt>
                <c:pt idx="814">
                  <c:v>2.0399999999995089E-2</c:v>
                </c:pt>
                <c:pt idx="815">
                  <c:v>0.10829999999998563</c:v>
                </c:pt>
                <c:pt idx="816">
                  <c:v>0.11659999999994852</c:v>
                </c:pt>
                <c:pt idx="817">
                  <c:v>9.0699999999969805E-2</c:v>
                </c:pt>
                <c:pt idx="818">
                  <c:v>8.2999999999969987E-2</c:v>
                </c:pt>
                <c:pt idx="819">
                  <c:v>9.26000000000613E-2</c:v>
                </c:pt>
                <c:pt idx="820">
                  <c:v>0.13229999999998654</c:v>
                </c:pt>
                <c:pt idx="821">
                  <c:v>0.10159999999996217</c:v>
                </c:pt>
                <c:pt idx="822">
                  <c:v>0.12850000000003092</c:v>
                </c:pt>
                <c:pt idx="823">
                  <c:v>8.9299999999980173E-2</c:v>
                </c:pt>
                <c:pt idx="824">
                  <c:v>0.17870000000004893</c:v>
                </c:pt>
                <c:pt idx="825">
                  <c:v>8.1800000000043838E-2</c:v>
                </c:pt>
                <c:pt idx="826">
                  <c:v>0.10469999999997981</c:v>
                </c:pt>
                <c:pt idx="827">
                  <c:v>0.1433999999999287</c:v>
                </c:pt>
                <c:pt idx="828">
                  <c:v>9.0900000000033288E-2</c:v>
                </c:pt>
                <c:pt idx="829">
                  <c:v>0.15919999999994161</c:v>
                </c:pt>
                <c:pt idx="830">
                  <c:v>0.13799999999991996</c:v>
                </c:pt>
                <c:pt idx="831">
                  <c:v>0.16240000000004784</c:v>
                </c:pt>
                <c:pt idx="832">
                  <c:v>0.14480000000003201</c:v>
                </c:pt>
                <c:pt idx="833">
                  <c:v>0.16160000000002128</c:v>
                </c:pt>
                <c:pt idx="834">
                  <c:v>0.11609999999996035</c:v>
                </c:pt>
                <c:pt idx="835">
                  <c:v>0.1248000000000502</c:v>
                </c:pt>
                <c:pt idx="836">
                  <c:v>0.11590000000001055</c:v>
                </c:pt>
                <c:pt idx="837">
                  <c:v>0.14229999999997744</c:v>
                </c:pt>
                <c:pt idx="838">
                  <c:v>0.14900000000000091</c:v>
                </c:pt>
                <c:pt idx="839">
                  <c:v>0.18070000000000164</c:v>
                </c:pt>
                <c:pt idx="840">
                  <c:v>0.18859999999995125</c:v>
                </c:pt>
                <c:pt idx="841">
                  <c:v>0.15020000000004075</c:v>
                </c:pt>
                <c:pt idx="842">
                  <c:v>0.22050000000001546</c:v>
                </c:pt>
                <c:pt idx="843">
                  <c:v>0.13789999999994507</c:v>
                </c:pt>
                <c:pt idx="844">
                  <c:v>0.18479999999999563</c:v>
                </c:pt>
                <c:pt idx="845">
                  <c:v>0.20249999999998636</c:v>
                </c:pt>
                <c:pt idx="846">
                  <c:v>0.16710000000000491</c:v>
                </c:pt>
                <c:pt idx="847">
                  <c:v>0.12009999999997945</c:v>
                </c:pt>
                <c:pt idx="848">
                  <c:v>0.1572999999999638</c:v>
                </c:pt>
                <c:pt idx="849">
                  <c:v>0.1834999999999809</c:v>
                </c:pt>
                <c:pt idx="850">
                  <c:v>0.15399999999999636</c:v>
                </c:pt>
                <c:pt idx="851">
                  <c:v>0.16269999999997253</c:v>
                </c:pt>
                <c:pt idx="852">
                  <c:v>0.16369999999994889</c:v>
                </c:pt>
                <c:pt idx="853">
                  <c:v>0.18610000000001037</c:v>
                </c:pt>
                <c:pt idx="854">
                  <c:v>0.18579999999997199</c:v>
                </c:pt>
                <c:pt idx="855">
                  <c:v>0.19929999999999382</c:v>
                </c:pt>
                <c:pt idx="856">
                  <c:v>0.14830000000006294</c:v>
                </c:pt>
                <c:pt idx="857">
                  <c:v>9.919999999999618E-2</c:v>
                </c:pt>
                <c:pt idx="858">
                  <c:v>0.19420000000002346</c:v>
                </c:pt>
                <c:pt idx="859">
                  <c:v>0.23259999999993397</c:v>
                </c:pt>
                <c:pt idx="860">
                  <c:v>0.2279999999999518</c:v>
                </c:pt>
                <c:pt idx="861">
                  <c:v>0.16789999999991778</c:v>
                </c:pt>
                <c:pt idx="862">
                  <c:v>0.14999999999997726</c:v>
                </c:pt>
                <c:pt idx="863">
                  <c:v>0.18029999999998836</c:v>
                </c:pt>
                <c:pt idx="864">
                  <c:v>0.16940000000010969</c:v>
                </c:pt>
                <c:pt idx="865">
                  <c:v>0.22190000000000509</c:v>
                </c:pt>
                <c:pt idx="866">
                  <c:v>0.22460000000000946</c:v>
                </c:pt>
                <c:pt idx="867">
                  <c:v>0.23249999999995907</c:v>
                </c:pt>
                <c:pt idx="868">
                  <c:v>0.18640000000004875</c:v>
                </c:pt>
                <c:pt idx="869">
                  <c:v>0.16399999999998727</c:v>
                </c:pt>
                <c:pt idx="870">
                  <c:v>0.19299999999998363</c:v>
                </c:pt>
                <c:pt idx="871">
                  <c:v>0.1795999999999367</c:v>
                </c:pt>
                <c:pt idx="872">
                  <c:v>0.1391999999999598</c:v>
                </c:pt>
                <c:pt idx="873">
                  <c:v>0.2198999999999387</c:v>
                </c:pt>
                <c:pt idx="874">
                  <c:v>0.19129999999995562</c:v>
                </c:pt>
                <c:pt idx="875">
                  <c:v>0.16909999999995762</c:v>
                </c:pt>
                <c:pt idx="876">
                  <c:v>0.15639999999996235</c:v>
                </c:pt>
                <c:pt idx="877">
                  <c:v>0.17280000000005202</c:v>
                </c:pt>
                <c:pt idx="878">
                  <c:v>0.19319999999993342</c:v>
                </c:pt>
                <c:pt idx="879">
                  <c:v>0.15880000000004202</c:v>
                </c:pt>
                <c:pt idx="880">
                  <c:v>0.23230000000000928</c:v>
                </c:pt>
                <c:pt idx="881">
                  <c:v>0.12959999999998217</c:v>
                </c:pt>
                <c:pt idx="882">
                  <c:v>0.15009999999995216</c:v>
                </c:pt>
                <c:pt idx="883">
                  <c:v>0.22820000000001528</c:v>
                </c:pt>
                <c:pt idx="884">
                  <c:v>0.21820000000002437</c:v>
                </c:pt>
                <c:pt idx="885">
                  <c:v>0.15070000000002892</c:v>
                </c:pt>
                <c:pt idx="886">
                  <c:v>0.21730000000002292</c:v>
                </c:pt>
                <c:pt idx="887">
                  <c:v>0.1572999999999638</c:v>
                </c:pt>
                <c:pt idx="888">
                  <c:v>0.19100000000003092</c:v>
                </c:pt>
                <c:pt idx="889">
                  <c:v>0.21680000000003474</c:v>
                </c:pt>
                <c:pt idx="890">
                  <c:v>0.19020000000000437</c:v>
                </c:pt>
                <c:pt idx="891">
                  <c:v>0.18100000000004002</c:v>
                </c:pt>
                <c:pt idx="892">
                  <c:v>0.18560000000002219</c:v>
                </c:pt>
                <c:pt idx="893">
                  <c:v>0.16899999999998272</c:v>
                </c:pt>
                <c:pt idx="894">
                  <c:v>0.10419999999999163</c:v>
                </c:pt>
                <c:pt idx="895">
                  <c:v>0.10140000000001237</c:v>
                </c:pt>
                <c:pt idx="896">
                  <c:v>0.17529999999999291</c:v>
                </c:pt>
                <c:pt idx="897">
                  <c:v>0.10829999999998563</c:v>
                </c:pt>
                <c:pt idx="898">
                  <c:v>0.14359999999999218</c:v>
                </c:pt>
                <c:pt idx="899">
                  <c:v>9.5500000000015461E-2</c:v>
                </c:pt>
                <c:pt idx="900">
                  <c:v>9.8200000000019827E-2</c:v>
                </c:pt>
                <c:pt idx="901">
                  <c:v>0.10599999999999454</c:v>
                </c:pt>
                <c:pt idx="902">
                  <c:v>0.12000000000000455</c:v>
                </c:pt>
                <c:pt idx="903">
                  <c:v>0.12599999999997635</c:v>
                </c:pt>
                <c:pt idx="904">
                  <c:v>0.10530000000005657</c:v>
                </c:pt>
                <c:pt idx="905">
                  <c:v>0.13399999999990087</c:v>
                </c:pt>
                <c:pt idx="906">
                  <c:v>4.6299999999973807E-2</c:v>
                </c:pt>
                <c:pt idx="907">
                  <c:v>9.4600000000014006E-2</c:v>
                </c:pt>
                <c:pt idx="908">
                  <c:v>0.11379999999996926</c:v>
                </c:pt>
                <c:pt idx="909">
                  <c:v>8.0299999999965621E-2</c:v>
                </c:pt>
                <c:pt idx="910">
                  <c:v>0.10239999999998872</c:v>
                </c:pt>
                <c:pt idx="911">
                  <c:v>0.12610000000006494</c:v>
                </c:pt>
                <c:pt idx="912">
                  <c:v>0.14269999999999072</c:v>
                </c:pt>
                <c:pt idx="913">
                  <c:v>0.11339999999995598</c:v>
                </c:pt>
                <c:pt idx="914">
                  <c:v>6.7700000000058935E-2</c:v>
                </c:pt>
                <c:pt idx="915">
                  <c:v>7.0899999999937791E-2</c:v>
                </c:pt>
                <c:pt idx="916">
                  <c:v>9.5599999999990359E-2</c:v>
                </c:pt>
                <c:pt idx="917">
                  <c:v>6.2999999999988177E-2</c:v>
                </c:pt>
                <c:pt idx="918">
                  <c:v>0.16830000000004475</c:v>
                </c:pt>
                <c:pt idx="919">
                  <c:v>7.6599999999984902E-2</c:v>
                </c:pt>
                <c:pt idx="920">
                  <c:v>9.7799999999892862E-2</c:v>
                </c:pt>
                <c:pt idx="921">
                  <c:v>4.0499999999951797E-2</c:v>
                </c:pt>
                <c:pt idx="922">
                  <c:v>0.13639999999998054</c:v>
                </c:pt>
                <c:pt idx="923">
                  <c:v>9.919999999999618E-2</c:v>
                </c:pt>
                <c:pt idx="924">
                  <c:v>8.3800000000110231E-2</c:v>
                </c:pt>
                <c:pt idx="925">
                  <c:v>5.3899999999998727E-2</c:v>
                </c:pt>
                <c:pt idx="926">
                  <c:v>6.1599999999998545E-2</c:v>
                </c:pt>
                <c:pt idx="927">
                  <c:v>3.6800000000084765E-2</c:v>
                </c:pt>
                <c:pt idx="928">
                  <c:v>9.8799999999982901E-2</c:v>
                </c:pt>
                <c:pt idx="929">
                  <c:v>5.9600000000045839E-2</c:v>
                </c:pt>
                <c:pt idx="930">
                  <c:v>2.149999999994634E-2</c:v>
                </c:pt>
                <c:pt idx="931">
                  <c:v>6.7199999999957072E-2</c:v>
                </c:pt>
                <c:pt idx="932">
                  <c:v>7.9099999999925785E-2</c:v>
                </c:pt>
                <c:pt idx="933">
                  <c:v>5.7599999999979445E-2</c:v>
                </c:pt>
                <c:pt idx="934">
                  <c:v>5.6400000000053296E-2</c:v>
                </c:pt>
                <c:pt idx="935">
                  <c:v>3.1799999999975626E-2</c:v>
                </c:pt>
                <c:pt idx="936">
                  <c:v>9.1800000000034743E-2</c:v>
                </c:pt>
                <c:pt idx="937">
                  <c:v>0.12959999999998217</c:v>
                </c:pt>
                <c:pt idx="938">
                  <c:v>6.5399999999954161E-2</c:v>
                </c:pt>
                <c:pt idx="939">
                  <c:v>0.12630000000001473</c:v>
                </c:pt>
                <c:pt idx="940">
                  <c:v>4.8499999999989996E-2</c:v>
                </c:pt>
                <c:pt idx="941">
                  <c:v>0.1350999999999658</c:v>
                </c:pt>
                <c:pt idx="942">
                  <c:v>0.1211999999999307</c:v>
                </c:pt>
                <c:pt idx="943">
                  <c:v>6.3300000000026557E-2</c:v>
                </c:pt>
                <c:pt idx="944">
                  <c:v>8.3899999999971442E-2</c:v>
                </c:pt>
                <c:pt idx="945">
                  <c:v>3.2100000000014006E-2</c:v>
                </c:pt>
                <c:pt idx="946">
                  <c:v>3.4100000000080399E-2</c:v>
                </c:pt>
                <c:pt idx="947">
                  <c:v>0.11340000000006967</c:v>
                </c:pt>
                <c:pt idx="948">
                  <c:v>9.9900000000047839E-2</c:v>
                </c:pt>
                <c:pt idx="949">
                  <c:v>7.6800000000048385E-2</c:v>
                </c:pt>
                <c:pt idx="950">
                  <c:v>8.7199999999938882E-2</c:v>
                </c:pt>
                <c:pt idx="951">
                  <c:v>5.1700000000096225E-2</c:v>
                </c:pt>
                <c:pt idx="952">
                  <c:v>0.10760000000004766</c:v>
                </c:pt>
                <c:pt idx="953">
                  <c:v>8.5500000000024556E-2</c:v>
                </c:pt>
                <c:pt idx="954">
                  <c:v>0.10540000000003147</c:v>
                </c:pt>
                <c:pt idx="955">
                  <c:v>7.3999999999955435E-2</c:v>
                </c:pt>
                <c:pt idx="956">
                  <c:v>5.2900000000022374E-2</c:v>
                </c:pt>
                <c:pt idx="957">
                  <c:v>6.9899999999961437E-2</c:v>
                </c:pt>
                <c:pt idx="958">
                  <c:v>0.15160000000003038</c:v>
                </c:pt>
                <c:pt idx="959">
                  <c:v>8.909999999991669E-2</c:v>
                </c:pt>
                <c:pt idx="960">
                  <c:v>0.12419999999997344</c:v>
                </c:pt>
                <c:pt idx="961">
                  <c:v>0.12000000000000455</c:v>
                </c:pt>
                <c:pt idx="962">
                  <c:v>0.1189000000000533</c:v>
                </c:pt>
                <c:pt idx="963">
                  <c:v>0.15709999999990032</c:v>
                </c:pt>
                <c:pt idx="964">
                  <c:v>8.3899999999971442E-2</c:v>
                </c:pt>
                <c:pt idx="965">
                  <c:v>0.12040000000001783</c:v>
                </c:pt>
                <c:pt idx="966">
                  <c:v>7.309999999995398E-2</c:v>
                </c:pt>
                <c:pt idx="967">
                  <c:v>8.2700000000045293E-2</c:v>
                </c:pt>
                <c:pt idx="968">
                  <c:v>0.11180000000001655</c:v>
                </c:pt>
                <c:pt idx="969">
                  <c:v>7.6799999999934698E-2</c:v>
                </c:pt>
                <c:pt idx="970">
                  <c:v>6.9899999999961437E-2</c:v>
                </c:pt>
                <c:pt idx="971">
                  <c:v>1.1899999999968713E-2</c:v>
                </c:pt>
                <c:pt idx="972">
                  <c:v>7.66999999999598E-2</c:v>
                </c:pt>
                <c:pt idx="973">
                  <c:v>0.10630000000003292</c:v>
                </c:pt>
                <c:pt idx="974">
                  <c:v>9.3400000000087857E-2</c:v>
                </c:pt>
                <c:pt idx="975">
                  <c:v>7.1900000000027831E-2</c:v>
                </c:pt>
                <c:pt idx="976">
                  <c:v>7.3999999999955435E-2</c:v>
                </c:pt>
                <c:pt idx="977">
                  <c:v>3.4400000000005093E-2</c:v>
                </c:pt>
                <c:pt idx="978">
                  <c:v>8.8900000000080581E-2</c:v>
                </c:pt>
                <c:pt idx="979">
                  <c:v>6.729999999993197E-2</c:v>
                </c:pt>
                <c:pt idx="980">
                  <c:v>7.6800000000048385E-2</c:v>
                </c:pt>
                <c:pt idx="981">
                  <c:v>0.10550000000000637</c:v>
                </c:pt>
                <c:pt idx="982">
                  <c:v>8.5199999999986176E-2</c:v>
                </c:pt>
                <c:pt idx="983">
                  <c:v>6.9299999999998363E-2</c:v>
                </c:pt>
                <c:pt idx="984">
                  <c:v>8.249999999998181E-2</c:v>
                </c:pt>
                <c:pt idx="985">
                  <c:v>3.8000000000010914E-2</c:v>
                </c:pt>
                <c:pt idx="986">
                  <c:v>8.530000000007476E-2</c:v>
                </c:pt>
                <c:pt idx="987">
                  <c:v>0.11849999999992633</c:v>
                </c:pt>
                <c:pt idx="988">
                  <c:v>3.2300000000077489E-2</c:v>
                </c:pt>
                <c:pt idx="989">
                  <c:v>8.4100000000034925E-2</c:v>
                </c:pt>
                <c:pt idx="990">
                  <c:v>8.1300000000055661E-2</c:v>
                </c:pt>
                <c:pt idx="991">
                  <c:v>0.11450000000002092</c:v>
                </c:pt>
                <c:pt idx="992">
                  <c:v>5.7100000000104956E-2</c:v>
                </c:pt>
                <c:pt idx="993">
                  <c:v>0.17899999999997362</c:v>
                </c:pt>
                <c:pt idx="994">
                  <c:v>0.10019999999997253</c:v>
                </c:pt>
                <c:pt idx="995">
                  <c:v>0.102800000000002</c:v>
                </c:pt>
                <c:pt idx="996">
                  <c:v>4.4800000000009277E-2</c:v>
                </c:pt>
                <c:pt idx="997">
                  <c:v>4.2699999999967986E-2</c:v>
                </c:pt>
                <c:pt idx="998">
                  <c:v>8.9200000000005275E-2</c:v>
                </c:pt>
                <c:pt idx="999">
                  <c:v>0.13090000000011059</c:v>
                </c:pt>
                <c:pt idx="1000">
                  <c:v>9.2200000000048021E-2</c:v>
                </c:pt>
                <c:pt idx="1001">
                  <c:v>0.14589999999998327</c:v>
                </c:pt>
                <c:pt idx="1002">
                  <c:v>6.9200000000023465E-2</c:v>
                </c:pt>
                <c:pt idx="1003">
                  <c:v>7.9500000000052751E-2</c:v>
                </c:pt>
                <c:pt idx="1004">
                  <c:v>7.9100000000039472E-2</c:v>
                </c:pt>
                <c:pt idx="1005">
                  <c:v>8.5699999999974352E-2</c:v>
                </c:pt>
                <c:pt idx="1006">
                  <c:v>1.9499999999993634E-2</c:v>
                </c:pt>
                <c:pt idx="1007">
                  <c:v>4.759999999998854E-2</c:v>
                </c:pt>
                <c:pt idx="1008">
                  <c:v>6.1599999999998545E-2</c:v>
                </c:pt>
                <c:pt idx="1009">
                  <c:v>8.249999999998181E-2</c:v>
                </c:pt>
                <c:pt idx="1010">
                  <c:v>6.6599999999993997E-2</c:v>
                </c:pt>
                <c:pt idx="1011">
                  <c:v>8.0600000000004002E-2</c:v>
                </c:pt>
                <c:pt idx="1012">
                  <c:v>4.6900000000050568E-2</c:v>
                </c:pt>
                <c:pt idx="1013">
                  <c:v>0.11360000000001946</c:v>
                </c:pt>
                <c:pt idx="1014">
                  <c:v>4.1500000000041837E-2</c:v>
                </c:pt>
                <c:pt idx="1015">
                  <c:v>0.10190000000000055</c:v>
                </c:pt>
                <c:pt idx="1016">
                  <c:v>0.11720000000002528</c:v>
                </c:pt>
                <c:pt idx="1017">
                  <c:v>6.2199999999961619E-2</c:v>
                </c:pt>
                <c:pt idx="1018">
                  <c:v>7.9599999999913962E-2</c:v>
                </c:pt>
                <c:pt idx="1019">
                  <c:v>8.5500000000024556E-2</c:v>
                </c:pt>
                <c:pt idx="1020">
                  <c:v>8.3600000000046748E-2</c:v>
                </c:pt>
                <c:pt idx="1021">
                  <c:v>7.6000000000021828E-2</c:v>
                </c:pt>
                <c:pt idx="1022">
                  <c:v>2.5599999999940337E-2</c:v>
                </c:pt>
                <c:pt idx="1023">
                  <c:v>9.0599999999994907E-2</c:v>
                </c:pt>
                <c:pt idx="1024">
                  <c:v>8.1999999999993634E-2</c:v>
                </c:pt>
                <c:pt idx="1025">
                  <c:v>7.7100000000086766E-2</c:v>
                </c:pt>
                <c:pt idx="1026">
                  <c:v>0.12760000000002947</c:v>
                </c:pt>
                <c:pt idx="1027">
                  <c:v>0.10629999999991924</c:v>
                </c:pt>
                <c:pt idx="1028">
                  <c:v>0.11059999999997672</c:v>
                </c:pt>
                <c:pt idx="1029">
                  <c:v>2.1599999999921238E-2</c:v>
                </c:pt>
                <c:pt idx="1030">
                  <c:v>0.14970000000005257</c:v>
                </c:pt>
                <c:pt idx="1031">
                  <c:v>9.5699999999965257E-2</c:v>
                </c:pt>
                <c:pt idx="1032">
                  <c:v>8.1999999999993634E-2</c:v>
                </c:pt>
                <c:pt idx="1033">
                  <c:v>9.7599999999943066E-2</c:v>
                </c:pt>
                <c:pt idx="1034">
                  <c:v>9.6599999999966712E-2</c:v>
                </c:pt>
                <c:pt idx="1035">
                  <c:v>5.4299999999898318E-2</c:v>
                </c:pt>
                <c:pt idx="1036">
                  <c:v>6.2300000000050204E-2</c:v>
                </c:pt>
                <c:pt idx="1037">
                  <c:v>6.2300000000050204E-2</c:v>
                </c:pt>
                <c:pt idx="1038">
                  <c:v>0.12400000000002365</c:v>
                </c:pt>
                <c:pt idx="1039">
                  <c:v>9.590000000002874E-2</c:v>
                </c:pt>
                <c:pt idx="1040">
                  <c:v>0.11410000000000764</c:v>
                </c:pt>
                <c:pt idx="1041">
                  <c:v>0.12689999999997781</c:v>
                </c:pt>
                <c:pt idx="1042">
                  <c:v>8.2599999999956708E-2</c:v>
                </c:pt>
                <c:pt idx="1043">
                  <c:v>8.0500000000029104E-2</c:v>
                </c:pt>
                <c:pt idx="1044">
                  <c:v>0.11730000000000018</c:v>
                </c:pt>
                <c:pt idx="1045">
                  <c:v>7.1199999999976171E-2</c:v>
                </c:pt>
                <c:pt idx="1046">
                  <c:v>0.13540000000000418</c:v>
                </c:pt>
                <c:pt idx="1047">
                  <c:v>5.010000000004311E-2</c:v>
                </c:pt>
                <c:pt idx="1048">
                  <c:v>3.969999999992524E-2</c:v>
                </c:pt>
                <c:pt idx="1049">
                  <c:v>8.500000000003638E-2</c:v>
                </c:pt>
                <c:pt idx="1050">
                  <c:v>0.14260000000001583</c:v>
                </c:pt>
                <c:pt idx="1051">
                  <c:v>9.3299999999999272E-2</c:v>
                </c:pt>
                <c:pt idx="1052">
                  <c:v>6.3099999999963075E-2</c:v>
                </c:pt>
                <c:pt idx="1053">
                  <c:v>0.14220000000000255</c:v>
                </c:pt>
                <c:pt idx="1054">
                  <c:v>7.9100000000039472E-2</c:v>
                </c:pt>
                <c:pt idx="1055">
                  <c:v>0.11119999999993979</c:v>
                </c:pt>
                <c:pt idx="1056">
                  <c:v>7.5100000000020373E-2</c:v>
                </c:pt>
                <c:pt idx="1057">
                  <c:v>0.1007000000000744</c:v>
                </c:pt>
                <c:pt idx="1058">
                  <c:v>5.7900000000017826E-2</c:v>
                </c:pt>
                <c:pt idx="1059">
                  <c:v>5.7000000000016371E-2</c:v>
                </c:pt>
                <c:pt idx="1060">
                  <c:v>8.6300000000051114E-2</c:v>
                </c:pt>
                <c:pt idx="1061">
                  <c:v>9.5199999999977081E-2</c:v>
                </c:pt>
                <c:pt idx="1062">
                  <c:v>0.13099999999997181</c:v>
                </c:pt>
                <c:pt idx="1063">
                  <c:v>0.14609999999993306</c:v>
                </c:pt>
                <c:pt idx="1064">
                  <c:v>5.2099999999995816E-2</c:v>
                </c:pt>
                <c:pt idx="1065">
                  <c:v>2.3699999999962529E-2</c:v>
                </c:pt>
                <c:pt idx="1066">
                  <c:v>0.12360000000001037</c:v>
                </c:pt>
                <c:pt idx="1067">
                  <c:v>7.1100000000001273E-2</c:v>
                </c:pt>
                <c:pt idx="1068">
                  <c:v>7.0699999999987995E-2</c:v>
                </c:pt>
                <c:pt idx="1069">
                  <c:v>6.9799999999986539E-2</c:v>
                </c:pt>
                <c:pt idx="1070">
                  <c:v>7.3199999999928878E-2</c:v>
                </c:pt>
                <c:pt idx="1071">
                  <c:v>2.9199999999946158E-2</c:v>
                </c:pt>
                <c:pt idx="1072">
                  <c:v>7.7800000000024738E-2</c:v>
                </c:pt>
                <c:pt idx="1073">
                  <c:v>8.5400000000049658E-2</c:v>
                </c:pt>
                <c:pt idx="1074">
                  <c:v>0.11839999999995143</c:v>
                </c:pt>
                <c:pt idx="1075">
                  <c:v>0.11459999999999582</c:v>
                </c:pt>
                <c:pt idx="1076">
                  <c:v>0.12070000000005621</c:v>
                </c:pt>
                <c:pt idx="1077">
                  <c:v>9.1900000000009641E-2</c:v>
                </c:pt>
                <c:pt idx="1078">
                  <c:v>7.1400000000039654E-2</c:v>
                </c:pt>
                <c:pt idx="1079">
                  <c:v>0.20630000000005566</c:v>
                </c:pt>
                <c:pt idx="1080">
                  <c:v>0.11510000000009768</c:v>
                </c:pt>
                <c:pt idx="1081">
                  <c:v>0.15579999999999927</c:v>
                </c:pt>
                <c:pt idx="1082">
                  <c:v>0.16480000000001382</c:v>
                </c:pt>
                <c:pt idx="1083">
                  <c:v>0.18569999999999709</c:v>
                </c:pt>
                <c:pt idx="1084">
                  <c:v>0.15779999999995198</c:v>
                </c:pt>
                <c:pt idx="1085">
                  <c:v>0.15070000000002892</c:v>
                </c:pt>
                <c:pt idx="1086">
                  <c:v>0.20679999999993015</c:v>
                </c:pt>
                <c:pt idx="1087">
                  <c:v>0.23069999999995616</c:v>
                </c:pt>
                <c:pt idx="1088">
                  <c:v>0.22739999999998872</c:v>
                </c:pt>
                <c:pt idx="1089">
                  <c:v>0.17769999999995889</c:v>
                </c:pt>
                <c:pt idx="1090">
                  <c:v>0.23069999999995616</c:v>
                </c:pt>
                <c:pt idx="1091">
                  <c:v>0.19549999999992451</c:v>
                </c:pt>
                <c:pt idx="1092">
                  <c:v>0.18859999999995125</c:v>
                </c:pt>
                <c:pt idx="1093">
                  <c:v>0.19290000000000873</c:v>
                </c:pt>
                <c:pt idx="1094">
                  <c:v>0.21659999999997126</c:v>
                </c:pt>
                <c:pt idx="1095">
                  <c:v>0.25980000000004111</c:v>
                </c:pt>
                <c:pt idx="1096">
                  <c:v>0.2240999999999076</c:v>
                </c:pt>
                <c:pt idx="1097">
                  <c:v>0.16049999999995634</c:v>
                </c:pt>
                <c:pt idx="1098">
                  <c:v>0.19380000000001019</c:v>
                </c:pt>
                <c:pt idx="1099">
                  <c:v>0.16219999999998436</c:v>
                </c:pt>
                <c:pt idx="1100">
                  <c:v>0.20929999999998472</c:v>
                </c:pt>
                <c:pt idx="1101">
                  <c:v>0.23390000000006239</c:v>
                </c:pt>
                <c:pt idx="1102">
                  <c:v>0.26300000000003365</c:v>
                </c:pt>
                <c:pt idx="1103">
                  <c:v>0.14080000000001291</c:v>
                </c:pt>
                <c:pt idx="1104">
                  <c:v>0.18600000000003547</c:v>
                </c:pt>
                <c:pt idx="1105">
                  <c:v>0.20529999999996562</c:v>
                </c:pt>
                <c:pt idx="1106">
                  <c:v>0.19870000000003074</c:v>
                </c:pt>
                <c:pt idx="1107">
                  <c:v>0.22280000000000655</c:v>
                </c:pt>
                <c:pt idx="1108">
                  <c:v>0.18000000000006366</c:v>
                </c:pt>
                <c:pt idx="1109">
                  <c:v>0.19900000000006912</c:v>
                </c:pt>
                <c:pt idx="1110">
                  <c:v>0.24389999999993961</c:v>
                </c:pt>
                <c:pt idx="1111">
                  <c:v>0.14999999999997726</c:v>
                </c:pt>
                <c:pt idx="1112">
                  <c:v>0.24200000000007549</c:v>
                </c:pt>
                <c:pt idx="1113">
                  <c:v>0.18630000000007385</c:v>
                </c:pt>
                <c:pt idx="1114">
                  <c:v>0.18889999999998963</c:v>
                </c:pt>
                <c:pt idx="1115">
                  <c:v>0.2200999999998885</c:v>
                </c:pt>
                <c:pt idx="1116">
                  <c:v>0.17250000000001364</c:v>
                </c:pt>
                <c:pt idx="1117">
                  <c:v>0.17439999999999145</c:v>
                </c:pt>
                <c:pt idx="1118">
                  <c:v>0.22559999999998581</c:v>
                </c:pt>
                <c:pt idx="1119">
                  <c:v>0.29279999999994288</c:v>
                </c:pt>
                <c:pt idx="1120">
                  <c:v>0.2095000000000482</c:v>
                </c:pt>
                <c:pt idx="1121">
                  <c:v>0.23869999999999436</c:v>
                </c:pt>
                <c:pt idx="1122">
                  <c:v>0.18840000000000146</c:v>
                </c:pt>
                <c:pt idx="1123">
                  <c:v>0.23689999999999145</c:v>
                </c:pt>
                <c:pt idx="1124">
                  <c:v>0.18529999999998381</c:v>
                </c:pt>
                <c:pt idx="1125">
                  <c:v>0.24059999999997217</c:v>
                </c:pt>
                <c:pt idx="1126">
                  <c:v>0.191599999999994</c:v>
                </c:pt>
                <c:pt idx="1127">
                  <c:v>0.25659999999993488</c:v>
                </c:pt>
                <c:pt idx="1128">
                  <c:v>0.21119999999996253</c:v>
                </c:pt>
                <c:pt idx="1129">
                  <c:v>0.1593000000000302</c:v>
                </c:pt>
                <c:pt idx="1130">
                  <c:v>0.11450000000002092</c:v>
                </c:pt>
                <c:pt idx="1131">
                  <c:v>8.5199999999986176E-2</c:v>
                </c:pt>
                <c:pt idx="1132">
                  <c:v>0.10590000000001965</c:v>
                </c:pt>
                <c:pt idx="1133">
                  <c:v>9.9600000000009459E-2</c:v>
                </c:pt>
                <c:pt idx="1134">
                  <c:v>7.9799999999977445E-2</c:v>
                </c:pt>
                <c:pt idx="1135">
                  <c:v>0.10679999999990741</c:v>
                </c:pt>
                <c:pt idx="1136">
                  <c:v>8.9500000000043656E-2</c:v>
                </c:pt>
                <c:pt idx="1137">
                  <c:v>0.1249000000000251</c:v>
                </c:pt>
                <c:pt idx="1138">
                  <c:v>0.17599999999993088</c:v>
                </c:pt>
                <c:pt idx="1139">
                  <c:v>6.6500000000019099E-2</c:v>
                </c:pt>
                <c:pt idx="1140">
                  <c:v>8.4799999999972897E-2</c:v>
                </c:pt>
                <c:pt idx="1141">
                  <c:v>1.9900000000006912E-2</c:v>
                </c:pt>
                <c:pt idx="1142">
                  <c:v>8.3099999999944885E-2</c:v>
                </c:pt>
                <c:pt idx="1143">
                  <c:v>8.0799999999953798E-2</c:v>
                </c:pt>
                <c:pt idx="1144">
                  <c:v>8.3899999999971442E-2</c:v>
                </c:pt>
                <c:pt idx="1145">
                  <c:v>9.7000000000093678E-2</c:v>
                </c:pt>
                <c:pt idx="1146">
                  <c:v>0.14149999999995089</c:v>
                </c:pt>
                <c:pt idx="1147">
                  <c:v>0.13650000000006912</c:v>
                </c:pt>
                <c:pt idx="1148">
                  <c:v>7.9400000000077853E-2</c:v>
                </c:pt>
                <c:pt idx="1149">
                  <c:v>8.1199999999967076E-2</c:v>
                </c:pt>
                <c:pt idx="1150">
                  <c:v>8.0799999999953798E-2</c:v>
                </c:pt>
                <c:pt idx="1151">
                  <c:v>0.11619999999993524</c:v>
                </c:pt>
                <c:pt idx="1152">
                  <c:v>0.13299999999992451</c:v>
                </c:pt>
                <c:pt idx="1153">
                  <c:v>0.14670000000000982</c:v>
                </c:pt>
                <c:pt idx="1154">
                  <c:v>0.12569999999993797</c:v>
                </c:pt>
                <c:pt idx="1155">
                  <c:v>8.8499999999953616E-2</c:v>
                </c:pt>
                <c:pt idx="1156">
                  <c:v>0.10290000000009059</c:v>
                </c:pt>
                <c:pt idx="1157">
                  <c:v>4.7900000000026921E-2</c:v>
                </c:pt>
                <c:pt idx="1158">
                  <c:v>9.0599999999994907E-2</c:v>
                </c:pt>
                <c:pt idx="1159">
                  <c:v>5.0299999999992906E-2</c:v>
                </c:pt>
                <c:pt idx="1160">
                  <c:v>0.10110000000008768</c:v>
                </c:pt>
                <c:pt idx="1161">
                  <c:v>0.11790000000007694</c:v>
                </c:pt>
                <c:pt idx="1162">
                  <c:v>7.6400000000035106E-2</c:v>
                </c:pt>
                <c:pt idx="1163">
                  <c:v>1.9700000000057116E-2</c:v>
                </c:pt>
                <c:pt idx="1164">
                  <c:v>9.1099999999983083E-2</c:v>
                </c:pt>
                <c:pt idx="1165">
                  <c:v>3.8600000000087675E-2</c:v>
                </c:pt>
                <c:pt idx="1166">
                  <c:v>0.10390000000006694</c:v>
                </c:pt>
                <c:pt idx="1167">
                  <c:v>8.0199999999990723E-2</c:v>
                </c:pt>
                <c:pt idx="1168">
                  <c:v>0.12329999999997199</c:v>
                </c:pt>
                <c:pt idx="1169">
                  <c:v>0.13709999999991851</c:v>
                </c:pt>
                <c:pt idx="1170">
                  <c:v>2.9200000000059845E-2</c:v>
                </c:pt>
                <c:pt idx="1171">
                  <c:v>0.11800000000005184</c:v>
                </c:pt>
                <c:pt idx="1172">
                  <c:v>0.14470000000005712</c:v>
                </c:pt>
                <c:pt idx="1173">
                  <c:v>0.10570000000006985</c:v>
                </c:pt>
                <c:pt idx="1174">
                  <c:v>5.2999999999997272E-2</c:v>
                </c:pt>
                <c:pt idx="1175">
                  <c:v>7.9600000000027649E-2</c:v>
                </c:pt>
                <c:pt idx="1176">
                  <c:v>0.10220000000003893</c:v>
                </c:pt>
                <c:pt idx="1177">
                  <c:v>6.3800000000014734E-2</c:v>
                </c:pt>
                <c:pt idx="1178">
                  <c:v>6.4499999999952706E-2</c:v>
                </c:pt>
                <c:pt idx="1179">
                  <c:v>0.11559999999997217</c:v>
                </c:pt>
                <c:pt idx="1180">
                  <c:v>0.1654999999999518</c:v>
                </c:pt>
                <c:pt idx="1181">
                  <c:v>0.11610000000007403</c:v>
                </c:pt>
                <c:pt idx="1182">
                  <c:v>0.10590000000001965</c:v>
                </c:pt>
                <c:pt idx="1183">
                  <c:v>7.0400000000063301E-2</c:v>
                </c:pt>
                <c:pt idx="1184">
                  <c:v>9.1999999999643478E-3</c:v>
                </c:pt>
                <c:pt idx="1185">
                  <c:v>4.0600000000040382E-2</c:v>
                </c:pt>
                <c:pt idx="1186">
                  <c:v>0.1370000000000573</c:v>
                </c:pt>
                <c:pt idx="1187">
                  <c:v>0.15700000000003911</c:v>
                </c:pt>
                <c:pt idx="1188">
                  <c:v>7.6999999999998181E-2</c:v>
                </c:pt>
                <c:pt idx="1189">
                  <c:v>9.4699999999988904E-2</c:v>
                </c:pt>
                <c:pt idx="1190">
                  <c:v>0.1211999999999307</c:v>
                </c:pt>
                <c:pt idx="1191">
                  <c:v>6.0799999999971988E-2</c:v>
                </c:pt>
                <c:pt idx="1192">
                  <c:v>0.15279999999995653</c:v>
                </c:pt>
                <c:pt idx="1193">
                  <c:v>0.13769999999999527</c:v>
                </c:pt>
                <c:pt idx="1194">
                  <c:v>0.11329999999998108</c:v>
                </c:pt>
                <c:pt idx="1195">
                  <c:v>9.1800000000034743E-2</c:v>
                </c:pt>
                <c:pt idx="1196">
                  <c:v>7.1900000000027831E-2</c:v>
                </c:pt>
                <c:pt idx="1197">
                  <c:v>0.1068000000000211</c:v>
                </c:pt>
                <c:pt idx="1198">
                  <c:v>0.11009999999998854</c:v>
                </c:pt>
                <c:pt idx="1199">
                  <c:v>4.1399999999953252E-2</c:v>
                </c:pt>
                <c:pt idx="1200">
                  <c:v>7.8899999999975989E-2</c:v>
                </c:pt>
                <c:pt idx="1201">
                  <c:v>7.9499999999939064E-2</c:v>
                </c:pt>
                <c:pt idx="1202">
                  <c:v>8.9899999999943248E-2</c:v>
                </c:pt>
                <c:pt idx="1203">
                  <c:v>0.11019999999996344</c:v>
                </c:pt>
                <c:pt idx="1204">
                  <c:v>0.10009999999999764</c:v>
                </c:pt>
                <c:pt idx="1205">
                  <c:v>8.4799999999972897E-2</c:v>
                </c:pt>
                <c:pt idx="1206">
                  <c:v>7.9399999999964166E-2</c:v>
                </c:pt>
                <c:pt idx="1207">
                  <c:v>0.12260000000003402</c:v>
                </c:pt>
                <c:pt idx="1208">
                  <c:v>6.25E-2</c:v>
                </c:pt>
                <c:pt idx="1209">
                  <c:v>0.13319999999998799</c:v>
                </c:pt>
                <c:pt idx="1210">
                  <c:v>0.10690000000010969</c:v>
                </c:pt>
                <c:pt idx="1211">
                  <c:v>0.13609999999994216</c:v>
                </c:pt>
                <c:pt idx="1212">
                  <c:v>0.10269999999991342</c:v>
                </c:pt>
                <c:pt idx="1213">
                  <c:v>5.05999999999176E-2</c:v>
                </c:pt>
                <c:pt idx="1214">
                  <c:v>0.12550000000010186</c:v>
                </c:pt>
                <c:pt idx="1215">
                  <c:v>0.14260000000001583</c:v>
                </c:pt>
                <c:pt idx="1216">
                  <c:v>0.1210999999999558</c:v>
                </c:pt>
                <c:pt idx="1217">
                  <c:v>6.7400000000020555E-2</c:v>
                </c:pt>
                <c:pt idx="1218">
                  <c:v>5.4099999999948523E-2</c:v>
                </c:pt>
                <c:pt idx="1219">
                  <c:v>6.9799999999986539E-2</c:v>
                </c:pt>
                <c:pt idx="1220">
                  <c:v>0.13580000000001746</c:v>
                </c:pt>
                <c:pt idx="1221">
                  <c:v>6.2099999999986721E-2</c:v>
                </c:pt>
                <c:pt idx="1222">
                  <c:v>1.9499999999993634E-2</c:v>
                </c:pt>
                <c:pt idx="1223">
                  <c:v>0.12019999999995434</c:v>
                </c:pt>
                <c:pt idx="1224">
                  <c:v>7.740000000001146E-2</c:v>
                </c:pt>
                <c:pt idx="1225">
                  <c:v>7.6700000000073487E-2</c:v>
                </c:pt>
                <c:pt idx="1226">
                  <c:v>0.11250000000006821</c:v>
                </c:pt>
                <c:pt idx="1227">
                  <c:v>0.14449999999999363</c:v>
                </c:pt>
                <c:pt idx="1228">
                  <c:v>8.4899999999947795E-2</c:v>
                </c:pt>
                <c:pt idx="1229">
                  <c:v>7.2699999999940701E-2</c:v>
                </c:pt>
                <c:pt idx="1230">
                  <c:v>9.2399999999997817E-2</c:v>
                </c:pt>
                <c:pt idx="1231">
                  <c:v>9.080000000005839E-2</c:v>
                </c:pt>
                <c:pt idx="1232">
                  <c:v>6.9299999999998363E-2</c:v>
                </c:pt>
                <c:pt idx="1233">
                  <c:v>2.2299999999972897E-2</c:v>
                </c:pt>
                <c:pt idx="1234">
                  <c:v>0.11189999999999145</c:v>
                </c:pt>
                <c:pt idx="1235">
                  <c:v>0.16210000000000946</c:v>
                </c:pt>
                <c:pt idx="1236">
                  <c:v>8.5899999999924148E-2</c:v>
                </c:pt>
                <c:pt idx="1237">
                  <c:v>0.11230000000000473</c:v>
                </c:pt>
                <c:pt idx="1238">
                  <c:v>0.12580000000002656</c:v>
                </c:pt>
                <c:pt idx="1239">
                  <c:v>5.5399999999963256E-2</c:v>
                </c:pt>
                <c:pt idx="1240">
                  <c:v>7.1299999999951069E-2</c:v>
                </c:pt>
                <c:pt idx="1241">
                  <c:v>7.9899999999952342E-2</c:v>
                </c:pt>
                <c:pt idx="1242">
                  <c:v>6.8199999999933425E-2</c:v>
                </c:pt>
                <c:pt idx="1243">
                  <c:v>7.0199999999999818E-2</c:v>
                </c:pt>
                <c:pt idx="1244">
                  <c:v>9.8100000000044929E-2</c:v>
                </c:pt>
                <c:pt idx="1245">
                  <c:v>8.8399999999978718E-2</c:v>
                </c:pt>
                <c:pt idx="1246">
                  <c:v>5.819999999994252E-2</c:v>
                </c:pt>
                <c:pt idx="1247">
                  <c:v>8.7199999999938882E-2</c:v>
                </c:pt>
                <c:pt idx="1248">
                  <c:v>6.2400000000025102E-2</c:v>
                </c:pt>
                <c:pt idx="1249">
                  <c:v>0.13450000000000273</c:v>
                </c:pt>
                <c:pt idx="1250">
                  <c:v>8.0600000000004002E-2</c:v>
                </c:pt>
                <c:pt idx="1251">
                  <c:v>7.8499999999962711E-2</c:v>
                </c:pt>
                <c:pt idx="1252">
                  <c:v>9.2099999999959437E-2</c:v>
                </c:pt>
                <c:pt idx="1253">
                  <c:v>0.1433999999999287</c:v>
                </c:pt>
                <c:pt idx="1254">
                  <c:v>2.0899999999983265E-2</c:v>
                </c:pt>
                <c:pt idx="1255">
                  <c:v>0.12409999999999854</c:v>
                </c:pt>
                <c:pt idx="1256">
                  <c:v>8.7599999999952161E-2</c:v>
                </c:pt>
                <c:pt idx="1257">
                  <c:v>0.13470000000006621</c:v>
                </c:pt>
                <c:pt idx="1258">
                  <c:v>0.10439999999994143</c:v>
                </c:pt>
                <c:pt idx="1259">
                  <c:v>0.11059999999997672</c:v>
                </c:pt>
                <c:pt idx="1260">
                  <c:v>0.11340000000006967</c:v>
                </c:pt>
                <c:pt idx="1261">
                  <c:v>8.9999999999918145E-2</c:v>
                </c:pt>
                <c:pt idx="1262">
                  <c:v>0.11329999999998108</c:v>
                </c:pt>
                <c:pt idx="1263">
                  <c:v>7.4700000000007094E-2</c:v>
                </c:pt>
                <c:pt idx="1264">
                  <c:v>0.1291999999999689</c:v>
                </c:pt>
                <c:pt idx="1265">
                  <c:v>9.5599999999990359E-2</c:v>
                </c:pt>
                <c:pt idx="1266">
                  <c:v>8.7499999999977263E-2</c:v>
                </c:pt>
                <c:pt idx="1267">
                  <c:v>0.10520000000008167</c:v>
                </c:pt>
                <c:pt idx="1268">
                  <c:v>7.2300000000041109E-2</c:v>
                </c:pt>
                <c:pt idx="1269">
                  <c:v>0.12699999999995271</c:v>
                </c:pt>
                <c:pt idx="1270">
                  <c:v>0.10140000000001237</c:v>
                </c:pt>
                <c:pt idx="1271">
                  <c:v>9.7200000000043474E-2</c:v>
                </c:pt>
                <c:pt idx="1272">
                  <c:v>6.3899999999989632E-2</c:v>
                </c:pt>
                <c:pt idx="1273">
                  <c:v>6.4499999999952706E-2</c:v>
                </c:pt>
                <c:pt idx="1274">
                  <c:v>7.5400000000058753E-2</c:v>
                </c:pt>
                <c:pt idx="1275">
                  <c:v>0.12419999999997344</c:v>
                </c:pt>
                <c:pt idx="1276">
                  <c:v>9.3999999999937245E-2</c:v>
                </c:pt>
                <c:pt idx="1277">
                  <c:v>0.12199999999995725</c:v>
                </c:pt>
                <c:pt idx="1278">
                  <c:v>4.860000000007858E-2</c:v>
                </c:pt>
                <c:pt idx="1279">
                  <c:v>0.12059999999996762</c:v>
                </c:pt>
                <c:pt idx="1280">
                  <c:v>0.15589999999997417</c:v>
                </c:pt>
                <c:pt idx="1281">
                  <c:v>8.3600000000046748E-2</c:v>
                </c:pt>
                <c:pt idx="1282">
                  <c:v>1.1300000000005639E-2</c:v>
                </c:pt>
                <c:pt idx="1283">
                  <c:v>3.8399999999910506E-2</c:v>
                </c:pt>
                <c:pt idx="1284">
                  <c:v>0.12510000000008858</c:v>
                </c:pt>
                <c:pt idx="1285">
                  <c:v>8.8099999999940337E-2</c:v>
                </c:pt>
                <c:pt idx="1286">
                  <c:v>5.6800000000066575E-2</c:v>
                </c:pt>
                <c:pt idx="1287">
                  <c:v>0.12599999999997635</c:v>
                </c:pt>
                <c:pt idx="1288">
                  <c:v>9.010000000000673E-2</c:v>
                </c:pt>
                <c:pt idx="1289">
                  <c:v>5.5600000000026739E-2</c:v>
                </c:pt>
                <c:pt idx="1290">
                  <c:v>8.7800000000015643E-2</c:v>
                </c:pt>
                <c:pt idx="1291">
                  <c:v>0.13589999999999236</c:v>
                </c:pt>
                <c:pt idx="1292">
                  <c:v>2.2799999999961074E-2</c:v>
                </c:pt>
                <c:pt idx="1293">
                  <c:v>9.4800000000077489E-2</c:v>
                </c:pt>
                <c:pt idx="1294">
                  <c:v>8.8399999999978718E-2</c:v>
                </c:pt>
                <c:pt idx="1295">
                  <c:v>6.9499999999948159E-2</c:v>
                </c:pt>
                <c:pt idx="1296">
                  <c:v>9.309999999993579E-2</c:v>
                </c:pt>
                <c:pt idx="1297">
                  <c:v>9.8099999999931242E-2</c:v>
                </c:pt>
                <c:pt idx="1298">
                  <c:v>5.489999999997508E-2</c:v>
                </c:pt>
                <c:pt idx="1299">
                  <c:v>0.10209999999995034</c:v>
                </c:pt>
                <c:pt idx="1300">
                  <c:v>0.12720000000001619</c:v>
                </c:pt>
                <c:pt idx="1301">
                  <c:v>0.14520000000004529</c:v>
                </c:pt>
                <c:pt idx="1302">
                  <c:v>0.10839999999996053</c:v>
                </c:pt>
                <c:pt idx="1303">
                  <c:v>6.1300000000073851E-2</c:v>
                </c:pt>
                <c:pt idx="1304">
                  <c:v>0.13339999999993779</c:v>
                </c:pt>
                <c:pt idx="1305">
                  <c:v>0.14599999999995816</c:v>
                </c:pt>
                <c:pt idx="1306">
                  <c:v>4.7000000000025466E-2</c:v>
                </c:pt>
                <c:pt idx="1307">
                  <c:v>4.1100000000028558E-2</c:v>
                </c:pt>
                <c:pt idx="1308">
                  <c:v>0.11220000000002983</c:v>
                </c:pt>
                <c:pt idx="1309">
                  <c:v>5.999999999994543E-2</c:v>
                </c:pt>
                <c:pt idx="1310">
                  <c:v>8.9699999999993452E-2</c:v>
                </c:pt>
                <c:pt idx="1311">
                  <c:v>4.9999999998817657E-4</c:v>
                </c:pt>
                <c:pt idx="1312">
                  <c:v>8.9699999999993452E-2</c:v>
                </c:pt>
                <c:pt idx="1313">
                  <c:v>0.12379999999996016</c:v>
                </c:pt>
                <c:pt idx="1314">
                  <c:v>2.1999999999934516E-2</c:v>
                </c:pt>
                <c:pt idx="1315">
                  <c:v>9.0400000000045111E-2</c:v>
                </c:pt>
                <c:pt idx="1316">
                  <c:v>5.7600000000093132E-2</c:v>
                </c:pt>
                <c:pt idx="1317">
                  <c:v>9.410000000002583E-2</c:v>
                </c:pt>
                <c:pt idx="1318">
                  <c:v>9.8999999999932697E-2</c:v>
                </c:pt>
                <c:pt idx="1319">
                  <c:v>0.10359999999991487</c:v>
                </c:pt>
                <c:pt idx="1320">
                  <c:v>0.13279999999997472</c:v>
                </c:pt>
                <c:pt idx="1321">
                  <c:v>0.10080000000004929</c:v>
                </c:pt>
                <c:pt idx="1322">
                  <c:v>0.14320000000009259</c:v>
                </c:pt>
                <c:pt idx="1323">
                  <c:v>0.12729999999999109</c:v>
                </c:pt>
                <c:pt idx="1324">
                  <c:v>0.19780000000002929</c:v>
                </c:pt>
                <c:pt idx="1325">
                  <c:v>0.1430000000000291</c:v>
                </c:pt>
                <c:pt idx="1326">
                  <c:v>0.20259999999996126</c:v>
                </c:pt>
                <c:pt idx="1327">
                  <c:v>0.22640000000001237</c:v>
                </c:pt>
                <c:pt idx="1328">
                  <c:v>0.1290000000000191</c:v>
                </c:pt>
                <c:pt idx="1329">
                  <c:v>0.16660000000001673</c:v>
                </c:pt>
                <c:pt idx="1330">
                  <c:v>0.19050000000004275</c:v>
                </c:pt>
                <c:pt idx="1331">
                  <c:v>0.22639999999989868</c:v>
                </c:pt>
                <c:pt idx="1332">
                  <c:v>0.18410000000005766</c:v>
                </c:pt>
                <c:pt idx="1333">
                  <c:v>0.22109999999997854</c:v>
                </c:pt>
                <c:pt idx="1334">
                  <c:v>0.18640000000004875</c:v>
                </c:pt>
                <c:pt idx="1335">
                  <c:v>0.21010000000001128</c:v>
                </c:pt>
                <c:pt idx="1336">
                  <c:v>0.15880000000004202</c:v>
                </c:pt>
                <c:pt idx="1337">
                  <c:v>0.16980000000000928</c:v>
                </c:pt>
                <c:pt idx="1338">
                  <c:v>0.22149999999999181</c:v>
                </c:pt>
                <c:pt idx="1339">
                  <c:v>0.18100000000004002</c:v>
                </c:pt>
                <c:pt idx="1340">
                  <c:v>0.10359999999991487</c:v>
                </c:pt>
                <c:pt idx="1341">
                  <c:v>0.17610000000001946</c:v>
                </c:pt>
                <c:pt idx="1342">
                  <c:v>0.20939999999995962</c:v>
                </c:pt>
                <c:pt idx="1343">
                  <c:v>0.18919999999991433</c:v>
                </c:pt>
                <c:pt idx="1344">
                  <c:v>0.1432999999999538</c:v>
                </c:pt>
                <c:pt idx="1345">
                  <c:v>0.19519999999999982</c:v>
                </c:pt>
                <c:pt idx="1346">
                  <c:v>0.23270000000002256</c:v>
                </c:pt>
                <c:pt idx="1347">
                  <c:v>0.18960000000004129</c:v>
                </c:pt>
                <c:pt idx="1348">
                  <c:v>0.19510000000002492</c:v>
                </c:pt>
                <c:pt idx="1349">
                  <c:v>0.17070000000001073</c:v>
                </c:pt>
                <c:pt idx="1350">
                  <c:v>0.16669999999999163</c:v>
                </c:pt>
                <c:pt idx="1351">
                  <c:v>0.20010000000002037</c:v>
                </c:pt>
                <c:pt idx="1352">
                  <c:v>0.22939999999994143</c:v>
                </c:pt>
                <c:pt idx="1353">
                  <c:v>0.26560000000006312</c:v>
                </c:pt>
                <c:pt idx="1354">
                  <c:v>0.21440000000006876</c:v>
                </c:pt>
                <c:pt idx="1355">
                  <c:v>0.2316000000000713</c:v>
                </c:pt>
                <c:pt idx="1356">
                  <c:v>0.14840000000003783</c:v>
                </c:pt>
                <c:pt idx="1357">
                  <c:v>0.23130000000003292</c:v>
                </c:pt>
                <c:pt idx="1358">
                  <c:v>0.22919999999999163</c:v>
                </c:pt>
                <c:pt idx="1359">
                  <c:v>3.8434000000000879</c:v>
                </c:pt>
                <c:pt idx="1360">
                  <c:v>1.9953999999999041</c:v>
                </c:pt>
                <c:pt idx="1361">
                  <c:v>2.129099999999994</c:v>
                </c:pt>
                <c:pt idx="1362">
                  <c:v>2.0949999999999136</c:v>
                </c:pt>
                <c:pt idx="1363">
                  <c:v>2.0067999999999984</c:v>
                </c:pt>
                <c:pt idx="1364">
                  <c:v>2.1381000000000085</c:v>
                </c:pt>
                <c:pt idx="1365">
                  <c:v>2.1018000000000256</c:v>
                </c:pt>
                <c:pt idx="1366">
                  <c:v>1.9348999999999705</c:v>
                </c:pt>
                <c:pt idx="1367">
                  <c:v>1.8354999999999109</c:v>
                </c:pt>
                <c:pt idx="1368">
                  <c:v>2.1358999999999924</c:v>
                </c:pt>
                <c:pt idx="1369">
                  <c:v>2.2118000000000393</c:v>
                </c:pt>
                <c:pt idx="1370">
                  <c:v>1.2719000000000733</c:v>
                </c:pt>
                <c:pt idx="1371">
                  <c:v>6.1999999999898137E-2</c:v>
                </c:pt>
                <c:pt idx="1372">
                  <c:v>0.48120000000005803</c:v>
                </c:pt>
                <c:pt idx="1373">
                  <c:v>0.38059999999995853</c:v>
                </c:pt>
                <c:pt idx="1374">
                  <c:v>0.34410000000002583</c:v>
                </c:pt>
                <c:pt idx="1375">
                  <c:v>0.42439999999999145</c:v>
                </c:pt>
                <c:pt idx="1376">
                  <c:v>0.43219999999996617</c:v>
                </c:pt>
                <c:pt idx="1377">
                  <c:v>0.4072999999999638</c:v>
                </c:pt>
                <c:pt idx="1378">
                  <c:v>0.44640000000003965</c:v>
                </c:pt>
                <c:pt idx="1379">
                  <c:v>0.38639999999998054</c:v>
                </c:pt>
                <c:pt idx="1380">
                  <c:v>0.40280000000007021</c:v>
                </c:pt>
                <c:pt idx="1381">
                  <c:v>0.51640000000008968</c:v>
                </c:pt>
                <c:pt idx="1382">
                  <c:v>0.41570000000001528</c:v>
                </c:pt>
                <c:pt idx="1383">
                  <c:v>0.42409999999995307</c:v>
                </c:pt>
                <c:pt idx="1384">
                  <c:v>0.38640000000009422</c:v>
                </c:pt>
                <c:pt idx="1385">
                  <c:v>0.4435999999999467</c:v>
                </c:pt>
                <c:pt idx="1386">
                  <c:v>0.39640000000008513</c:v>
                </c:pt>
                <c:pt idx="1387">
                  <c:v>0.48969999999997071</c:v>
                </c:pt>
                <c:pt idx="1388">
                  <c:v>0.39239999999995234</c:v>
                </c:pt>
                <c:pt idx="1389">
                  <c:v>0.41719999999997981</c:v>
                </c:pt>
                <c:pt idx="1390">
                  <c:v>0.4597999999999729</c:v>
                </c:pt>
                <c:pt idx="1391">
                  <c:v>0.44939999999996871</c:v>
                </c:pt>
                <c:pt idx="1392">
                  <c:v>0.45910000000003492</c:v>
                </c:pt>
                <c:pt idx="1393">
                  <c:v>0.44380000000001019</c:v>
                </c:pt>
                <c:pt idx="1394">
                  <c:v>0.39460000000008222</c:v>
                </c:pt>
                <c:pt idx="1395">
                  <c:v>0.48159999999995762</c:v>
                </c:pt>
                <c:pt idx="1396">
                  <c:v>0.52530000000001564</c:v>
                </c:pt>
                <c:pt idx="1397">
                  <c:v>0.49439999999992779</c:v>
                </c:pt>
                <c:pt idx="1398">
                  <c:v>0.47059999999999036</c:v>
                </c:pt>
                <c:pt idx="1399">
                  <c:v>0.42020000000002256</c:v>
                </c:pt>
                <c:pt idx="1400">
                  <c:v>0.4151000000000522</c:v>
                </c:pt>
                <c:pt idx="1401">
                  <c:v>0.41729999999995471</c:v>
                </c:pt>
                <c:pt idx="1402">
                  <c:v>0.45010000000002037</c:v>
                </c:pt>
                <c:pt idx="1403">
                  <c:v>0.46490000000005693</c:v>
                </c:pt>
                <c:pt idx="1404">
                  <c:v>0.43930000000000291</c:v>
                </c:pt>
                <c:pt idx="1405">
                  <c:v>0.50399999999990541</c:v>
                </c:pt>
                <c:pt idx="1406">
                  <c:v>0.48040000000003147</c:v>
                </c:pt>
                <c:pt idx="1407">
                  <c:v>0.43430000000000746</c:v>
                </c:pt>
                <c:pt idx="1408">
                  <c:v>0.44119999999998072</c:v>
                </c:pt>
                <c:pt idx="1409">
                  <c:v>0.44309999999995853</c:v>
                </c:pt>
                <c:pt idx="1410">
                  <c:v>0.46190000000001419</c:v>
                </c:pt>
                <c:pt idx="1411">
                  <c:v>0.41729999999995471</c:v>
                </c:pt>
                <c:pt idx="1412">
                  <c:v>0.45299999999997453</c:v>
                </c:pt>
                <c:pt idx="1413">
                  <c:v>0.42759999999998399</c:v>
                </c:pt>
                <c:pt idx="1414">
                  <c:v>0.43149999999991451</c:v>
                </c:pt>
                <c:pt idx="1415">
                  <c:v>0.50350000000003092</c:v>
                </c:pt>
                <c:pt idx="1416">
                  <c:v>0.4215999999998985</c:v>
                </c:pt>
                <c:pt idx="1417">
                  <c:v>0.43950000000006639</c:v>
                </c:pt>
                <c:pt idx="1418">
                  <c:v>0.46209999999996398</c:v>
                </c:pt>
                <c:pt idx="1419">
                  <c:v>0.49099999999998545</c:v>
                </c:pt>
                <c:pt idx="1420">
                  <c:v>0.36849999999992633</c:v>
                </c:pt>
                <c:pt idx="1421">
                  <c:v>0.52039999999999509</c:v>
                </c:pt>
                <c:pt idx="1422">
                  <c:v>0.49539999999990414</c:v>
                </c:pt>
                <c:pt idx="1423">
                  <c:v>0.45470000000000255</c:v>
                </c:pt>
                <c:pt idx="1424">
                  <c:v>0.47230000000001837</c:v>
                </c:pt>
                <c:pt idx="1425">
                  <c:v>0.43290000000001783</c:v>
                </c:pt>
                <c:pt idx="1426">
                  <c:v>0.46519999999998163</c:v>
                </c:pt>
                <c:pt idx="1427">
                  <c:v>0.45319999999992433</c:v>
                </c:pt>
                <c:pt idx="1428">
                  <c:v>0.50200000000006639</c:v>
                </c:pt>
                <c:pt idx="1429">
                  <c:v>0.42189999999993688</c:v>
                </c:pt>
                <c:pt idx="1430">
                  <c:v>0.51999999999998181</c:v>
                </c:pt>
                <c:pt idx="1431">
                  <c:v>0.53879999999992378</c:v>
                </c:pt>
                <c:pt idx="1432">
                  <c:v>0.52599999999995362</c:v>
                </c:pt>
                <c:pt idx="1433">
                  <c:v>0.477800000000002</c:v>
                </c:pt>
                <c:pt idx="1434">
                  <c:v>0.4454000000000633</c:v>
                </c:pt>
                <c:pt idx="1435">
                  <c:v>0.46389999999996689</c:v>
                </c:pt>
                <c:pt idx="1436">
                  <c:v>0.41689999999994143</c:v>
                </c:pt>
                <c:pt idx="1437">
                  <c:v>0.47640000000001237</c:v>
                </c:pt>
                <c:pt idx="1438">
                  <c:v>0.47899999999992815</c:v>
                </c:pt>
                <c:pt idx="1439">
                  <c:v>0.4998000000000502</c:v>
                </c:pt>
                <c:pt idx="1440">
                  <c:v>0.52400000000000091</c:v>
                </c:pt>
                <c:pt idx="1441">
                  <c:v>0.53669999999999618</c:v>
                </c:pt>
                <c:pt idx="1442">
                  <c:v>0.49449999999990268</c:v>
                </c:pt>
                <c:pt idx="1443">
                  <c:v>0.44470000000001164</c:v>
                </c:pt>
                <c:pt idx="1444">
                  <c:v>0.441599999999994</c:v>
                </c:pt>
                <c:pt idx="1445">
                  <c:v>0.46199999999998909</c:v>
                </c:pt>
                <c:pt idx="1446">
                  <c:v>0.4375999999999749</c:v>
                </c:pt>
                <c:pt idx="1447">
                  <c:v>0.50270000000000437</c:v>
                </c:pt>
                <c:pt idx="1448">
                  <c:v>0.4597999999999729</c:v>
                </c:pt>
                <c:pt idx="1449">
                  <c:v>0.48619999999993979</c:v>
                </c:pt>
                <c:pt idx="1450">
                  <c:v>0.48460000000000036</c:v>
                </c:pt>
                <c:pt idx="1451">
                  <c:v>0.51069999999992888</c:v>
                </c:pt>
                <c:pt idx="1452">
                  <c:v>0.45419999999990068</c:v>
                </c:pt>
                <c:pt idx="1453">
                  <c:v>0.48640000000000327</c:v>
                </c:pt>
                <c:pt idx="1454">
                  <c:v>0.46539999999993142</c:v>
                </c:pt>
                <c:pt idx="1455">
                  <c:v>0.48169999999993252</c:v>
                </c:pt>
                <c:pt idx="1456">
                  <c:v>0.45119999999997162</c:v>
                </c:pt>
                <c:pt idx="1457">
                  <c:v>0.45109999999999673</c:v>
                </c:pt>
                <c:pt idx="1458">
                  <c:v>0.52959999999995944</c:v>
                </c:pt>
                <c:pt idx="1459">
                  <c:v>0.4961999999999307</c:v>
                </c:pt>
                <c:pt idx="1460">
                  <c:v>0.44370000000003529</c:v>
                </c:pt>
                <c:pt idx="1461">
                  <c:v>0.48519999999996344</c:v>
                </c:pt>
                <c:pt idx="1462">
                  <c:v>0.42600000000004457</c:v>
                </c:pt>
                <c:pt idx="1463">
                  <c:v>0.45209999999997308</c:v>
                </c:pt>
                <c:pt idx="1464">
                  <c:v>0.48640000000000327</c:v>
                </c:pt>
                <c:pt idx="1465">
                  <c:v>0.48599999999999</c:v>
                </c:pt>
                <c:pt idx="1466">
                  <c:v>0.43700000000001182</c:v>
                </c:pt>
                <c:pt idx="1467">
                  <c:v>0.47050000000001546</c:v>
                </c:pt>
                <c:pt idx="1468">
                  <c:v>0.47910000000001673</c:v>
                </c:pt>
                <c:pt idx="1469">
                  <c:v>0.44409999999993488</c:v>
                </c:pt>
                <c:pt idx="1470">
                  <c:v>0.43950000000006639</c:v>
                </c:pt>
                <c:pt idx="1471">
                  <c:v>0.48219999999992069</c:v>
                </c:pt>
                <c:pt idx="1472">
                  <c:v>0.47090000000002874</c:v>
                </c:pt>
                <c:pt idx="1473">
                  <c:v>0.54120000000000346</c:v>
                </c:pt>
                <c:pt idx="1474">
                  <c:v>0.45019999999999527</c:v>
                </c:pt>
                <c:pt idx="1475">
                  <c:v>0.44749999999999091</c:v>
                </c:pt>
                <c:pt idx="1476">
                  <c:v>0.43990000000007967</c:v>
                </c:pt>
                <c:pt idx="1477">
                  <c:v>0.48500000000001364</c:v>
                </c:pt>
                <c:pt idx="1478">
                  <c:v>0.5220000000000482</c:v>
                </c:pt>
                <c:pt idx="1479">
                  <c:v>0.47090000000002874</c:v>
                </c:pt>
                <c:pt idx="1480">
                  <c:v>0.473700000000008</c:v>
                </c:pt>
                <c:pt idx="1481">
                  <c:v>0.4697999999999638</c:v>
                </c:pt>
                <c:pt idx="1482">
                  <c:v>0.42719999999997071</c:v>
                </c:pt>
                <c:pt idx="1483">
                  <c:v>0.4858000000000402</c:v>
                </c:pt>
                <c:pt idx="1484">
                  <c:v>0.44650000000001455</c:v>
                </c:pt>
                <c:pt idx="1485">
                  <c:v>0.48450000000002547</c:v>
                </c:pt>
                <c:pt idx="1486">
                  <c:v>0.46609999999998308</c:v>
                </c:pt>
                <c:pt idx="1487">
                  <c:v>0.42349999999999</c:v>
                </c:pt>
                <c:pt idx="1488">
                  <c:v>0.52340000000003783</c:v>
                </c:pt>
                <c:pt idx="1489">
                  <c:v>0.47690000000000055</c:v>
                </c:pt>
                <c:pt idx="1490">
                  <c:v>0.55759999999997945</c:v>
                </c:pt>
                <c:pt idx="1491">
                  <c:v>0.46029999999996107</c:v>
                </c:pt>
                <c:pt idx="1492">
                  <c:v>0.49440000000004147</c:v>
                </c:pt>
                <c:pt idx="1493">
                  <c:v>0.47819999999990159</c:v>
                </c:pt>
                <c:pt idx="1494">
                  <c:v>0.49350000000004002</c:v>
                </c:pt>
                <c:pt idx="1495">
                  <c:v>0.42880000000002383</c:v>
                </c:pt>
                <c:pt idx="1496">
                  <c:v>0.45820000000003347</c:v>
                </c:pt>
                <c:pt idx="1497">
                  <c:v>0.46649999999999636</c:v>
                </c:pt>
                <c:pt idx="1498">
                  <c:v>0.47059999999999036</c:v>
                </c:pt>
                <c:pt idx="1499">
                  <c:v>0.47130000000004202</c:v>
                </c:pt>
                <c:pt idx="1500">
                  <c:v>0.50499999999999545</c:v>
                </c:pt>
                <c:pt idx="1501">
                  <c:v>0.49090000000001055</c:v>
                </c:pt>
                <c:pt idx="1502">
                  <c:v>0.47649999999998727</c:v>
                </c:pt>
                <c:pt idx="1503">
                  <c:v>0.44899999999995543</c:v>
                </c:pt>
                <c:pt idx="1504">
                  <c:v>0.42370000000005348</c:v>
                </c:pt>
                <c:pt idx="1505">
                  <c:v>0.45209999999997308</c:v>
                </c:pt>
                <c:pt idx="1506">
                  <c:v>0.51509999999996126</c:v>
                </c:pt>
                <c:pt idx="1507">
                  <c:v>0.41189999999994598</c:v>
                </c:pt>
                <c:pt idx="1508">
                  <c:v>0.49310000000002674</c:v>
                </c:pt>
                <c:pt idx="1509">
                  <c:v>0.43200000000001637</c:v>
                </c:pt>
                <c:pt idx="1510">
                  <c:v>0.49729999999999563</c:v>
                </c:pt>
                <c:pt idx="1511">
                  <c:v>0.4192000000000462</c:v>
                </c:pt>
                <c:pt idx="1512">
                  <c:v>0.52689999999995507</c:v>
                </c:pt>
                <c:pt idx="1513">
                  <c:v>0.49660000000005766</c:v>
                </c:pt>
                <c:pt idx="1514">
                  <c:v>0.50870000000008986</c:v>
                </c:pt>
                <c:pt idx="1515">
                  <c:v>0.50560000000007221</c:v>
                </c:pt>
                <c:pt idx="1516">
                  <c:v>0.4737999999999829</c:v>
                </c:pt>
                <c:pt idx="1517">
                  <c:v>0.46719999999993433</c:v>
                </c:pt>
                <c:pt idx="1518">
                  <c:v>0.48009999999999309</c:v>
                </c:pt>
                <c:pt idx="1519">
                  <c:v>0.45529999999996562</c:v>
                </c:pt>
                <c:pt idx="1520">
                  <c:v>0.51729999999997744</c:v>
                </c:pt>
                <c:pt idx="1521">
                  <c:v>0.47939999999994143</c:v>
                </c:pt>
                <c:pt idx="1522">
                  <c:v>0.4557999999999538</c:v>
                </c:pt>
                <c:pt idx="1523">
                  <c:v>0.48529999999993834</c:v>
                </c:pt>
                <c:pt idx="1524">
                  <c:v>0.51170000000001892</c:v>
                </c:pt>
                <c:pt idx="1525">
                  <c:v>0.52110000000004675</c:v>
                </c:pt>
                <c:pt idx="1526">
                  <c:v>0.45900000000006003</c:v>
                </c:pt>
                <c:pt idx="1527">
                  <c:v>0.47979999999995471</c:v>
                </c:pt>
                <c:pt idx="1528">
                  <c:v>0.46870000000001255</c:v>
                </c:pt>
                <c:pt idx="1529">
                  <c:v>0.40929999999991651</c:v>
                </c:pt>
                <c:pt idx="1530">
                  <c:v>0.5382000000000744</c:v>
                </c:pt>
                <c:pt idx="1531">
                  <c:v>0.41980000000000928</c:v>
                </c:pt>
                <c:pt idx="1532">
                  <c:v>0.46000000000003638</c:v>
                </c:pt>
                <c:pt idx="1533">
                  <c:v>0.4596000000000231</c:v>
                </c:pt>
                <c:pt idx="1534">
                  <c:v>0.45630000000005566</c:v>
                </c:pt>
                <c:pt idx="1535">
                  <c:v>0.48039999999991778</c:v>
                </c:pt>
                <c:pt idx="1536">
                  <c:v>0.45309999999994943</c:v>
                </c:pt>
                <c:pt idx="1537">
                  <c:v>0.48050000000000637</c:v>
                </c:pt>
                <c:pt idx="1538">
                  <c:v>0.5121000000000322</c:v>
                </c:pt>
                <c:pt idx="1539">
                  <c:v>0.41669999999999163</c:v>
                </c:pt>
                <c:pt idx="1540">
                  <c:v>0.51920000000006894</c:v>
                </c:pt>
                <c:pt idx="1541">
                  <c:v>0.57150000000001455</c:v>
                </c:pt>
                <c:pt idx="1542">
                  <c:v>0.4293999999999869</c:v>
                </c:pt>
                <c:pt idx="1543">
                  <c:v>0.46029999999996107</c:v>
                </c:pt>
                <c:pt idx="1544">
                  <c:v>0.48640000000000327</c:v>
                </c:pt>
                <c:pt idx="1545">
                  <c:v>0.46829999999999927</c:v>
                </c:pt>
                <c:pt idx="1546">
                  <c:v>0.46000000000003638</c:v>
                </c:pt>
                <c:pt idx="1547">
                  <c:v>0.526299999999992</c:v>
                </c:pt>
                <c:pt idx="1548">
                  <c:v>0.40039999999999054</c:v>
                </c:pt>
                <c:pt idx="1549">
                  <c:v>0.41040000000009513</c:v>
                </c:pt>
                <c:pt idx="1550">
                  <c:v>0.45079999999995835</c:v>
                </c:pt>
                <c:pt idx="1551">
                  <c:v>0.4373000000000502</c:v>
                </c:pt>
                <c:pt idx="1552">
                  <c:v>0.39980000000002747</c:v>
                </c:pt>
                <c:pt idx="1553">
                  <c:v>0.48759999999992942</c:v>
                </c:pt>
                <c:pt idx="1554">
                  <c:v>0.48400000000003729</c:v>
                </c:pt>
                <c:pt idx="1555">
                  <c:v>0.49079999999992197</c:v>
                </c:pt>
                <c:pt idx="1556">
                  <c:v>0.50159999999993943</c:v>
                </c:pt>
                <c:pt idx="1557">
                  <c:v>0.48779999999999291</c:v>
                </c:pt>
                <c:pt idx="1558">
                  <c:v>0.45799999999996999</c:v>
                </c:pt>
                <c:pt idx="1559">
                  <c:v>0.50239999999996598</c:v>
                </c:pt>
                <c:pt idx="1560">
                  <c:v>0.45289999999999964</c:v>
                </c:pt>
                <c:pt idx="1561">
                  <c:v>0.48330000000009932</c:v>
                </c:pt>
                <c:pt idx="1562">
                  <c:v>0.44690000000002783</c:v>
                </c:pt>
                <c:pt idx="1563">
                  <c:v>0.52099999999995816</c:v>
                </c:pt>
                <c:pt idx="1564">
                  <c:v>0.53360000000009222</c:v>
                </c:pt>
                <c:pt idx="1565">
                  <c:v>0.44649999999990087</c:v>
                </c:pt>
                <c:pt idx="1566">
                  <c:v>0.47889999999995325</c:v>
                </c:pt>
                <c:pt idx="1567">
                  <c:v>0.47950000000003001</c:v>
                </c:pt>
                <c:pt idx="1568">
                  <c:v>0.47720000000003893</c:v>
                </c:pt>
                <c:pt idx="1569">
                  <c:v>0.46649999999999636</c:v>
                </c:pt>
                <c:pt idx="1570">
                  <c:v>0.44489999999996144</c:v>
                </c:pt>
                <c:pt idx="1571">
                  <c:v>0.49670000000003256</c:v>
                </c:pt>
                <c:pt idx="1572">
                  <c:v>0.44079999999996744</c:v>
                </c:pt>
                <c:pt idx="1573">
                  <c:v>0.41110000000003311</c:v>
                </c:pt>
                <c:pt idx="1574">
                  <c:v>0.40989999999999327</c:v>
                </c:pt>
                <c:pt idx="1575">
                  <c:v>0.4234000000000151</c:v>
                </c:pt>
                <c:pt idx="1576">
                  <c:v>0.47740000000010241</c:v>
                </c:pt>
                <c:pt idx="1577">
                  <c:v>0.42689999999993233</c:v>
                </c:pt>
                <c:pt idx="1578">
                  <c:v>0.44700000000000273</c:v>
                </c:pt>
                <c:pt idx="1579">
                  <c:v>0.50670000000002346</c:v>
                </c:pt>
                <c:pt idx="1580">
                  <c:v>0.52419999999995071</c:v>
                </c:pt>
                <c:pt idx="1581">
                  <c:v>0.47169999999994161</c:v>
                </c:pt>
                <c:pt idx="1582">
                  <c:v>0.41100000000005821</c:v>
                </c:pt>
                <c:pt idx="1583">
                  <c:v>0.50260000000002947</c:v>
                </c:pt>
                <c:pt idx="1584">
                  <c:v>0.4740999999999076</c:v>
                </c:pt>
                <c:pt idx="1585">
                  <c:v>0.44760000000007949</c:v>
                </c:pt>
                <c:pt idx="1586">
                  <c:v>0.46870000000001255</c:v>
                </c:pt>
                <c:pt idx="1587">
                  <c:v>0.41020000000003165</c:v>
                </c:pt>
                <c:pt idx="1588">
                  <c:v>0.44670000000007803</c:v>
                </c:pt>
                <c:pt idx="1589">
                  <c:v>0.4194999999999709</c:v>
                </c:pt>
                <c:pt idx="1590">
                  <c:v>0.44060000000001764</c:v>
                </c:pt>
                <c:pt idx="1591">
                  <c:v>0.5261000000000422</c:v>
                </c:pt>
                <c:pt idx="1592">
                  <c:v>0.44839999999999236</c:v>
                </c:pt>
                <c:pt idx="1593">
                  <c:v>0.47550000000001091</c:v>
                </c:pt>
                <c:pt idx="1594">
                  <c:v>0.55489999999997508</c:v>
                </c:pt>
                <c:pt idx="1595">
                  <c:v>0.45380000000000109</c:v>
                </c:pt>
                <c:pt idx="1596">
                  <c:v>0.4897000000000844</c:v>
                </c:pt>
                <c:pt idx="1597">
                  <c:v>0.51620000000002619</c:v>
                </c:pt>
                <c:pt idx="1598">
                  <c:v>0.4194999999999709</c:v>
                </c:pt>
                <c:pt idx="1599">
                  <c:v>0.42439999999999145</c:v>
                </c:pt>
                <c:pt idx="1600">
                  <c:v>0.47650000000010095</c:v>
                </c:pt>
                <c:pt idx="1601">
                  <c:v>0.43910000000005311</c:v>
                </c:pt>
                <c:pt idx="1602">
                  <c:v>0.49400000000002819</c:v>
                </c:pt>
                <c:pt idx="1603">
                  <c:v>0.49170000000003711</c:v>
                </c:pt>
                <c:pt idx="1604">
                  <c:v>0.44229999999993197</c:v>
                </c:pt>
                <c:pt idx="1605">
                  <c:v>0.44339999999999691</c:v>
                </c:pt>
                <c:pt idx="1606">
                  <c:v>0.46809999999993579</c:v>
                </c:pt>
                <c:pt idx="1607">
                  <c:v>0.50069999999993797</c:v>
                </c:pt>
                <c:pt idx="1608">
                  <c:v>0.4879999999999427</c:v>
                </c:pt>
                <c:pt idx="1609">
                  <c:v>0.4696999999999889</c:v>
                </c:pt>
                <c:pt idx="1610">
                  <c:v>0.49549999999999272</c:v>
                </c:pt>
                <c:pt idx="1611">
                  <c:v>0.47590000000002419</c:v>
                </c:pt>
                <c:pt idx="1612">
                  <c:v>0.46829999999999927</c:v>
                </c:pt>
                <c:pt idx="1613">
                  <c:v>0.46500000000003183</c:v>
                </c:pt>
                <c:pt idx="1614">
                  <c:v>0.47529999999994743</c:v>
                </c:pt>
                <c:pt idx="1615">
                  <c:v>0.4678000000000111</c:v>
                </c:pt>
                <c:pt idx="1616">
                  <c:v>0.39629999999999654</c:v>
                </c:pt>
                <c:pt idx="1617">
                  <c:v>0.54169999999999163</c:v>
                </c:pt>
                <c:pt idx="1618">
                  <c:v>0.56290000000001328</c:v>
                </c:pt>
                <c:pt idx="1619">
                  <c:v>0.43819999999993797</c:v>
                </c:pt>
                <c:pt idx="1620">
                  <c:v>0.48710000000005493</c:v>
                </c:pt>
                <c:pt idx="1621">
                  <c:v>0.44630000000006476</c:v>
                </c:pt>
                <c:pt idx="1622">
                  <c:v>0.43150000000002819</c:v>
                </c:pt>
                <c:pt idx="1623">
                  <c:v>0.42789999999990869</c:v>
                </c:pt>
                <c:pt idx="1624">
                  <c:v>0.47509999999999764</c:v>
                </c:pt>
                <c:pt idx="1625">
                  <c:v>0.43840000000000146</c:v>
                </c:pt>
                <c:pt idx="1626">
                  <c:v>0.49170000000003711</c:v>
                </c:pt>
                <c:pt idx="1627">
                  <c:v>0.45209999999997308</c:v>
                </c:pt>
                <c:pt idx="1628">
                  <c:v>0.48120000000005803</c:v>
                </c:pt>
                <c:pt idx="1629">
                  <c:v>0.518100000000004</c:v>
                </c:pt>
                <c:pt idx="1630">
                  <c:v>0.4999000000000251</c:v>
                </c:pt>
                <c:pt idx="1631">
                  <c:v>0.5039000000000442</c:v>
                </c:pt>
                <c:pt idx="1632">
                  <c:v>0.46130000000005111</c:v>
                </c:pt>
                <c:pt idx="1633">
                  <c:v>0.47949999999991633</c:v>
                </c:pt>
                <c:pt idx="1634">
                  <c:v>0.46479999999996835</c:v>
                </c:pt>
                <c:pt idx="1635">
                  <c:v>0.48689999999999145</c:v>
                </c:pt>
                <c:pt idx="1636">
                  <c:v>0.4454000000000633</c:v>
                </c:pt>
                <c:pt idx="1637">
                  <c:v>0.45260000000007494</c:v>
                </c:pt>
                <c:pt idx="1638">
                  <c:v>0.48730000000000473</c:v>
                </c:pt>
                <c:pt idx="1639">
                  <c:v>0.43549999999993361</c:v>
                </c:pt>
                <c:pt idx="1640">
                  <c:v>0.51580000000001291</c:v>
                </c:pt>
                <c:pt idx="1641">
                  <c:v>0.51310000000000855</c:v>
                </c:pt>
                <c:pt idx="1642">
                  <c:v>0.48869999999999436</c:v>
                </c:pt>
                <c:pt idx="1643">
                  <c:v>0.4273000000000593</c:v>
                </c:pt>
                <c:pt idx="1644">
                  <c:v>0.41499999999996362</c:v>
                </c:pt>
                <c:pt idx="1645">
                  <c:v>0.50319999999999254</c:v>
                </c:pt>
                <c:pt idx="1646">
                  <c:v>0.4294999999999618</c:v>
                </c:pt>
                <c:pt idx="1647">
                  <c:v>0.52649999999994179</c:v>
                </c:pt>
                <c:pt idx="1648">
                  <c:v>0.46359999999992851</c:v>
                </c:pt>
                <c:pt idx="1649">
                  <c:v>0.43479999999999563</c:v>
                </c:pt>
                <c:pt idx="1650">
                  <c:v>0.4475999999999658</c:v>
                </c:pt>
                <c:pt idx="1651">
                  <c:v>0.5040000000000191</c:v>
                </c:pt>
                <c:pt idx="1652">
                  <c:v>0.46649999999999636</c:v>
                </c:pt>
                <c:pt idx="1653">
                  <c:v>0.50670000000002346</c:v>
                </c:pt>
                <c:pt idx="1654">
                  <c:v>0.46289999999999054</c:v>
                </c:pt>
                <c:pt idx="1655">
                  <c:v>0.44909999999993033</c:v>
                </c:pt>
                <c:pt idx="1656">
                  <c:v>0.47109999999997854</c:v>
                </c:pt>
                <c:pt idx="1657">
                  <c:v>0.47829999999999018</c:v>
                </c:pt>
                <c:pt idx="1658">
                  <c:v>0.52009999999995671</c:v>
                </c:pt>
                <c:pt idx="1659">
                  <c:v>0.51040000000000418</c:v>
                </c:pt>
                <c:pt idx="1660">
                  <c:v>0.43889999999998963</c:v>
                </c:pt>
                <c:pt idx="1661">
                  <c:v>0.50379999999995562</c:v>
                </c:pt>
                <c:pt idx="1662">
                  <c:v>0.52509999999995216</c:v>
                </c:pt>
                <c:pt idx="1663">
                  <c:v>0.48609999999996489</c:v>
                </c:pt>
                <c:pt idx="1664">
                  <c:v>0.50639999999998508</c:v>
                </c:pt>
                <c:pt idx="1665">
                  <c:v>0.46299999999996544</c:v>
                </c:pt>
                <c:pt idx="1666">
                  <c:v>0.46019999999998618</c:v>
                </c:pt>
                <c:pt idx="1667">
                  <c:v>0.44810000000006767</c:v>
                </c:pt>
                <c:pt idx="1668">
                  <c:v>0.44380000000001019</c:v>
                </c:pt>
                <c:pt idx="1669">
                  <c:v>0.49569999999994252</c:v>
                </c:pt>
                <c:pt idx="1670">
                  <c:v>0.56839999999999691</c:v>
                </c:pt>
                <c:pt idx="1671">
                  <c:v>0.38030000000003383</c:v>
                </c:pt>
                <c:pt idx="1672">
                  <c:v>0.48310000000003583</c:v>
                </c:pt>
                <c:pt idx="1673">
                  <c:v>0.45920000000000982</c:v>
                </c:pt>
                <c:pt idx="1674">
                  <c:v>0.4375999999999749</c:v>
                </c:pt>
                <c:pt idx="1675">
                  <c:v>0.47069999999996526</c:v>
                </c:pt>
                <c:pt idx="1676">
                  <c:v>0.47579999999993561</c:v>
                </c:pt>
                <c:pt idx="1677">
                  <c:v>0.43000000000006366</c:v>
                </c:pt>
                <c:pt idx="1678">
                  <c:v>0.51789999999994052</c:v>
                </c:pt>
                <c:pt idx="1679">
                  <c:v>0.46090000000003783</c:v>
                </c:pt>
                <c:pt idx="1680">
                  <c:v>0.44870000000003074</c:v>
                </c:pt>
                <c:pt idx="1681">
                  <c:v>0.48559999999997672</c:v>
                </c:pt>
                <c:pt idx="1682">
                  <c:v>0.48689999999999145</c:v>
                </c:pt>
                <c:pt idx="1683">
                  <c:v>0.41300000000001091</c:v>
                </c:pt>
                <c:pt idx="1684">
                  <c:v>0.43029999999998836</c:v>
                </c:pt>
                <c:pt idx="1685">
                  <c:v>0.44260000000008404</c:v>
                </c:pt>
                <c:pt idx="1686">
                  <c:v>0.51879999999994197</c:v>
                </c:pt>
                <c:pt idx="1687">
                  <c:v>0.4475999999999658</c:v>
                </c:pt>
                <c:pt idx="1688">
                  <c:v>0.42290000000002692</c:v>
                </c:pt>
                <c:pt idx="1689">
                  <c:v>0.49770000000000891</c:v>
                </c:pt>
                <c:pt idx="1690">
                  <c:v>0.48050000000000637</c:v>
                </c:pt>
                <c:pt idx="1691">
                  <c:v>0.46180000000003929</c:v>
                </c:pt>
                <c:pt idx="1692">
                  <c:v>0.48779999999999291</c:v>
                </c:pt>
                <c:pt idx="1693">
                  <c:v>0.44029999999997926</c:v>
                </c:pt>
                <c:pt idx="1694">
                  <c:v>0.45209999999997308</c:v>
                </c:pt>
                <c:pt idx="1695">
                  <c:v>0.52580000000000382</c:v>
                </c:pt>
                <c:pt idx="1696">
                  <c:v>0.47569999999996071</c:v>
                </c:pt>
                <c:pt idx="1697">
                  <c:v>0.42360000000007858</c:v>
                </c:pt>
                <c:pt idx="1698">
                  <c:v>0.47929999999996653</c:v>
                </c:pt>
                <c:pt idx="1699">
                  <c:v>0.55169999999998254</c:v>
                </c:pt>
                <c:pt idx="1700">
                  <c:v>0.44700000000000273</c:v>
                </c:pt>
                <c:pt idx="1701">
                  <c:v>0.48619999999993979</c:v>
                </c:pt>
                <c:pt idx="1702">
                  <c:v>0.4678000000000111</c:v>
                </c:pt>
                <c:pt idx="1703">
                  <c:v>0.45209999999997308</c:v>
                </c:pt>
                <c:pt idx="1704">
                  <c:v>0.45830000000000837</c:v>
                </c:pt>
                <c:pt idx="1705">
                  <c:v>0.47080000000005384</c:v>
                </c:pt>
                <c:pt idx="1706">
                  <c:v>0.41169999999999618</c:v>
                </c:pt>
                <c:pt idx="1707">
                  <c:v>0.43910000000005311</c:v>
                </c:pt>
                <c:pt idx="1708">
                  <c:v>0.4737999999999829</c:v>
                </c:pt>
                <c:pt idx="1709">
                  <c:v>0.42970000000002528</c:v>
                </c:pt>
                <c:pt idx="1710">
                  <c:v>0.50829999999996289</c:v>
                </c:pt>
                <c:pt idx="1711">
                  <c:v>0.46259999999995216</c:v>
                </c:pt>
                <c:pt idx="1712">
                  <c:v>0.46660000000008495</c:v>
                </c:pt>
                <c:pt idx="1713">
                  <c:v>0.47519999999997253</c:v>
                </c:pt>
                <c:pt idx="1714">
                  <c:v>0.50799999999992451</c:v>
                </c:pt>
                <c:pt idx="1715">
                  <c:v>0.44939999999996871</c:v>
                </c:pt>
                <c:pt idx="1716">
                  <c:v>0.47820000000001528</c:v>
                </c:pt>
                <c:pt idx="1717">
                  <c:v>0.48739999999997963</c:v>
                </c:pt>
                <c:pt idx="1718">
                  <c:v>0.41840000000001965</c:v>
                </c:pt>
                <c:pt idx="1719">
                  <c:v>0.44429999999999836</c:v>
                </c:pt>
                <c:pt idx="1720">
                  <c:v>0.4678000000000111</c:v>
                </c:pt>
                <c:pt idx="1721">
                  <c:v>0.43989999999996598</c:v>
                </c:pt>
                <c:pt idx="1722">
                  <c:v>0.46039999999993597</c:v>
                </c:pt>
                <c:pt idx="1723">
                  <c:v>0.46670000000005984</c:v>
                </c:pt>
                <c:pt idx="1724">
                  <c:v>0.5061999999999216</c:v>
                </c:pt>
                <c:pt idx="1725">
                  <c:v>0.47260000000005675</c:v>
                </c:pt>
                <c:pt idx="1726">
                  <c:v>0.48910000000000764</c:v>
                </c:pt>
                <c:pt idx="1727">
                  <c:v>0.44029999999997926</c:v>
                </c:pt>
                <c:pt idx="1728">
                  <c:v>0.44179999999994379</c:v>
                </c:pt>
                <c:pt idx="1729">
                  <c:v>0.4435999999999467</c:v>
                </c:pt>
                <c:pt idx="1730">
                  <c:v>0.51949999999999363</c:v>
                </c:pt>
                <c:pt idx="1731">
                  <c:v>0.41239999999993415</c:v>
                </c:pt>
                <c:pt idx="1732">
                  <c:v>0.43630000000007385</c:v>
                </c:pt>
                <c:pt idx="1733">
                  <c:v>0.47030000000006567</c:v>
                </c:pt>
                <c:pt idx="1734">
                  <c:v>0.50470000000007076</c:v>
                </c:pt>
                <c:pt idx="1735">
                  <c:v>0.46619999999995798</c:v>
                </c:pt>
                <c:pt idx="1736">
                  <c:v>0.47640000000001237</c:v>
                </c:pt>
                <c:pt idx="1737">
                  <c:v>0.49360000000001492</c:v>
                </c:pt>
                <c:pt idx="1738">
                  <c:v>2.7767000000000053</c:v>
                </c:pt>
                <c:pt idx="1739">
                  <c:v>2.1194000000000415</c:v>
                </c:pt>
                <c:pt idx="1740">
                  <c:v>3.2944999999999709</c:v>
                </c:pt>
                <c:pt idx="1741">
                  <c:v>3.3999999999999773</c:v>
                </c:pt>
                <c:pt idx="1742">
                  <c:v>3.3110000000000355</c:v>
                </c:pt>
                <c:pt idx="1743">
                  <c:v>2.6648000000000138</c:v>
                </c:pt>
                <c:pt idx="1744">
                  <c:v>3.7665999999999258</c:v>
                </c:pt>
                <c:pt idx="1745">
                  <c:v>3.2422000000000253</c:v>
                </c:pt>
                <c:pt idx="1746">
                  <c:v>3.0695999999999231</c:v>
                </c:pt>
                <c:pt idx="1747">
                  <c:v>3.1772999999999456</c:v>
                </c:pt>
                <c:pt idx="1748">
                  <c:v>3.3824000000000751</c:v>
                </c:pt>
                <c:pt idx="1749">
                  <c:v>4.8205000000000382</c:v>
                </c:pt>
                <c:pt idx="1750">
                  <c:v>1.6000000000531145E-3</c:v>
                </c:pt>
                <c:pt idx="1751">
                  <c:v>7.489999999995689E-2</c:v>
                </c:pt>
                <c:pt idx="1752">
                  <c:v>5.7399999999915963E-2</c:v>
                </c:pt>
                <c:pt idx="1753">
                  <c:v>6.5299999999979264E-2</c:v>
                </c:pt>
                <c:pt idx="1754">
                  <c:v>2.8000000000020009E-2</c:v>
                </c:pt>
                <c:pt idx="1755">
                  <c:v>5.6000000000722139E-3</c:v>
                </c:pt>
                <c:pt idx="1756">
                  <c:v>0</c:v>
                </c:pt>
                <c:pt idx="1757">
                  <c:v>3.9100000000075852E-2</c:v>
                </c:pt>
                <c:pt idx="1758">
                  <c:v>2.3300000000062937E-2</c:v>
                </c:pt>
                <c:pt idx="1759">
                  <c:v>2.9899999999997817E-2</c:v>
                </c:pt>
                <c:pt idx="1760">
                  <c:v>4.7999999999319698E-3</c:v>
                </c:pt>
                <c:pt idx="1761">
                  <c:v>4.759999999998854E-2</c:v>
                </c:pt>
                <c:pt idx="1762">
                  <c:v>4.8400000000015098E-2</c:v>
                </c:pt>
                <c:pt idx="1763">
                  <c:v>1.3799999999946522E-2</c:v>
                </c:pt>
                <c:pt idx="1764">
                  <c:v>4.6199999999998909E-2</c:v>
                </c:pt>
                <c:pt idx="1765">
                  <c:v>1.5399999999999636E-2</c:v>
                </c:pt>
                <c:pt idx="1766">
                  <c:v>1.2100000000032196E-2</c:v>
                </c:pt>
                <c:pt idx="1767">
                  <c:v>4.9500000000080036E-2</c:v>
                </c:pt>
                <c:pt idx="1768">
                  <c:v>4.9999999999954525E-3</c:v>
                </c:pt>
                <c:pt idx="1769">
                  <c:v>2.6100000000042201E-2</c:v>
                </c:pt>
                <c:pt idx="1770">
                  <c:v>1.089999999999236E-2</c:v>
                </c:pt>
                <c:pt idx="1771">
                  <c:v>1.010000000007949E-2</c:v>
                </c:pt>
                <c:pt idx="1772">
                  <c:v>3.2799999999951979E-2</c:v>
                </c:pt>
                <c:pt idx="1773">
                  <c:v>7.5000000000500222E-3</c:v>
                </c:pt>
                <c:pt idx="1774">
                  <c:v>1.1799999999993815E-2</c:v>
                </c:pt>
                <c:pt idx="1775">
                  <c:v>9.9999999974897946E-5</c:v>
                </c:pt>
                <c:pt idx="1776">
                  <c:v>1.5700000000038017E-2</c:v>
                </c:pt>
                <c:pt idx="1777">
                  <c:v>1.8499999999903594E-2</c:v>
                </c:pt>
                <c:pt idx="1778">
                  <c:v>2.4900000000002365E-2</c:v>
                </c:pt>
                <c:pt idx="1779">
                  <c:v>3.5300000000006548E-2</c:v>
                </c:pt>
                <c:pt idx="1780">
                  <c:v>5.3999999999973625E-2</c:v>
                </c:pt>
                <c:pt idx="1781">
                  <c:v>3.160000000002583E-2</c:v>
                </c:pt>
                <c:pt idx="1782">
                  <c:v>3.7000000000034561E-2</c:v>
                </c:pt>
                <c:pt idx="1783">
                  <c:v>3.6600000000021282E-2</c:v>
                </c:pt>
                <c:pt idx="1784">
                  <c:v>5.9999999999718057E-3</c:v>
                </c:pt>
                <c:pt idx="1785">
                  <c:v>1.1700000000018917E-2</c:v>
                </c:pt>
                <c:pt idx="1786">
                  <c:v>5.2800000000047476E-2</c:v>
                </c:pt>
                <c:pt idx="1787">
                  <c:v>5.7800000000042928E-2</c:v>
                </c:pt>
                <c:pt idx="1788">
                  <c:v>0.14019999999993615</c:v>
                </c:pt>
                <c:pt idx="1789">
                  <c:v>4.6799999999961983E-2</c:v>
                </c:pt>
                <c:pt idx="1790">
                  <c:v>1.4499999999998181E-2</c:v>
                </c:pt>
                <c:pt idx="1791">
                  <c:v>3.4099999999966712E-2</c:v>
                </c:pt>
                <c:pt idx="1792">
                  <c:v>3.6399999999957799E-2</c:v>
                </c:pt>
                <c:pt idx="1793">
                  <c:v>3.3500000000003638E-2</c:v>
                </c:pt>
                <c:pt idx="1794">
                  <c:v>1.3299999999958345E-2</c:v>
                </c:pt>
                <c:pt idx="1795">
                  <c:v>4.9300000000016553E-2</c:v>
                </c:pt>
                <c:pt idx="1796">
                  <c:v>7.4999999999363354E-3</c:v>
                </c:pt>
                <c:pt idx="1797">
                  <c:v>5.5600000000026739E-2</c:v>
                </c:pt>
                <c:pt idx="1798">
                  <c:v>0.11820000000000164</c:v>
                </c:pt>
                <c:pt idx="1799">
                  <c:v>5.8000000000220098E-3</c:v>
                </c:pt>
                <c:pt idx="1800">
                  <c:v>4.759999999998854E-2</c:v>
                </c:pt>
                <c:pt idx="1801">
                  <c:v>3.9099999999962165E-2</c:v>
                </c:pt>
                <c:pt idx="1802">
                  <c:v>8.5000000000263753E-3</c:v>
                </c:pt>
                <c:pt idx="1803">
                  <c:v>3.999999999996362E-2</c:v>
                </c:pt>
                <c:pt idx="1804">
                  <c:v>6.759999999997035E-2</c:v>
                </c:pt>
                <c:pt idx="1805">
                  <c:v>8.2400000000006912E-2</c:v>
                </c:pt>
                <c:pt idx="1806">
                  <c:v>8.2400000000006912E-2</c:v>
                </c:pt>
                <c:pt idx="1807">
                  <c:v>8.2200000000057116E-2</c:v>
                </c:pt>
                <c:pt idx="1808">
                  <c:v>0.10429999999996653</c:v>
                </c:pt>
                <c:pt idx="1809">
                  <c:v>4.149999999992815E-2</c:v>
                </c:pt>
                <c:pt idx="1810">
                  <c:v>7.4399999999968713E-2</c:v>
                </c:pt>
                <c:pt idx="1811">
                  <c:v>5.8200000000056207E-2</c:v>
                </c:pt>
                <c:pt idx="1812">
                  <c:v>0.10800000000006094</c:v>
                </c:pt>
                <c:pt idx="1813">
                  <c:v>7.4299999999993815E-2</c:v>
                </c:pt>
                <c:pt idx="1814">
                  <c:v>0</c:v>
                </c:pt>
                <c:pt idx="1815">
                  <c:v>7.5000000000045475E-2</c:v>
                </c:pt>
                <c:pt idx="1816">
                  <c:v>4.1500000000041837E-2</c:v>
                </c:pt>
                <c:pt idx="1817">
                  <c:v>5.639999999993961E-2</c:v>
                </c:pt>
                <c:pt idx="1818">
                  <c:v>7.1100000000001273E-2</c:v>
                </c:pt>
                <c:pt idx="1819">
                  <c:v>8.1999999999879947E-3</c:v>
                </c:pt>
                <c:pt idx="1820">
                  <c:v>7.5600000000008549E-2</c:v>
                </c:pt>
                <c:pt idx="1821">
                  <c:v>9.0000000000145519E-4</c:v>
                </c:pt>
                <c:pt idx="1822">
                  <c:v>7.8700000000026193E-2</c:v>
                </c:pt>
                <c:pt idx="1823">
                  <c:v>6.2000000000011823E-2</c:v>
                </c:pt>
                <c:pt idx="1824">
                  <c:v>2.9699999999934334E-2</c:v>
                </c:pt>
                <c:pt idx="1825">
                  <c:v>2.3399999999924148E-2</c:v>
                </c:pt>
                <c:pt idx="1826">
                  <c:v>8.2999999999969987E-2</c:v>
                </c:pt>
                <c:pt idx="1827">
                  <c:v>6.9400000000086948E-2</c:v>
                </c:pt>
                <c:pt idx="1828">
                  <c:v>5.5399999999963256E-2</c:v>
                </c:pt>
                <c:pt idx="1829">
                  <c:v>3.8400000000024193E-2</c:v>
                </c:pt>
                <c:pt idx="1830">
                  <c:v>6.4199999999914326E-2</c:v>
                </c:pt>
                <c:pt idx="1831">
                  <c:v>2.4000000000796717E-3</c:v>
                </c:pt>
                <c:pt idx="1832">
                  <c:v>6.8500000000085493E-2</c:v>
                </c:pt>
                <c:pt idx="1833">
                  <c:v>5.5799999999976535E-2</c:v>
                </c:pt>
                <c:pt idx="1834">
                  <c:v>5.5100000000038563E-2</c:v>
                </c:pt>
                <c:pt idx="1835">
                  <c:v>0.10559999999998126</c:v>
                </c:pt>
                <c:pt idx="1836">
                  <c:v>1.9400000000018736E-2</c:v>
                </c:pt>
                <c:pt idx="1837">
                  <c:v>1.7000000000052751E-2</c:v>
                </c:pt>
                <c:pt idx="1838">
                  <c:v>6.3699999999926149E-2</c:v>
                </c:pt>
                <c:pt idx="1839">
                  <c:v>6.2599999999974898E-2</c:v>
                </c:pt>
                <c:pt idx="1840">
                  <c:v>8.0199999999990723E-2</c:v>
                </c:pt>
                <c:pt idx="1841">
                  <c:v>3.2400000000052387E-2</c:v>
                </c:pt>
                <c:pt idx="1842">
                  <c:v>5.0900000000069667E-2</c:v>
                </c:pt>
                <c:pt idx="1843">
                  <c:v>6.2199999999961619E-2</c:v>
                </c:pt>
                <c:pt idx="1844">
                  <c:v>7.6199999999971624E-2</c:v>
                </c:pt>
                <c:pt idx="1845">
                  <c:v>0.13440000000002783</c:v>
                </c:pt>
                <c:pt idx="1846">
                  <c:v>4.0500000000065484E-2</c:v>
                </c:pt>
                <c:pt idx="1847">
                  <c:v>0.11019999999996344</c:v>
                </c:pt>
                <c:pt idx="1848">
                  <c:v>6.9599999999923057E-2</c:v>
                </c:pt>
                <c:pt idx="1849">
                  <c:v>0.18179999999995289</c:v>
                </c:pt>
                <c:pt idx="1850">
                  <c:v>6.7800000000033833E-2</c:v>
                </c:pt>
                <c:pt idx="1851">
                  <c:v>1.0300000000029286E-2</c:v>
                </c:pt>
                <c:pt idx="1852">
                  <c:v>7.7499999999986358E-2</c:v>
                </c:pt>
                <c:pt idx="1853">
                  <c:v>4.6899999999936881E-2</c:v>
                </c:pt>
                <c:pt idx="1854">
                  <c:v>8.0499999999915417E-2</c:v>
                </c:pt>
                <c:pt idx="1855">
                  <c:v>2.8999999999996362E-2</c:v>
                </c:pt>
                <c:pt idx="1856">
                  <c:v>1.9499999999993634E-2</c:v>
                </c:pt>
                <c:pt idx="1857">
                  <c:v>9.4500000000039108E-2</c:v>
                </c:pt>
                <c:pt idx="1858">
                  <c:v>2.680000000009386E-2</c:v>
                </c:pt>
                <c:pt idx="1859">
                  <c:v>5.3199999999947067E-2</c:v>
                </c:pt>
                <c:pt idx="1860">
                  <c:v>5.0999999999930878E-2</c:v>
                </c:pt>
                <c:pt idx="1861">
                  <c:v>7.4500000000057298E-2</c:v>
                </c:pt>
                <c:pt idx="1862">
                  <c:v>5.7599999999979445E-2</c:v>
                </c:pt>
                <c:pt idx="1863">
                  <c:v>4.7800000000052023E-2</c:v>
                </c:pt>
                <c:pt idx="1864">
                  <c:v>9.5799999999940155E-2</c:v>
                </c:pt>
                <c:pt idx="1865">
                  <c:v>7.2400000000016007E-2</c:v>
                </c:pt>
                <c:pt idx="1866">
                  <c:v>7.5400000000058753E-2</c:v>
                </c:pt>
                <c:pt idx="1867">
                  <c:v>4.6299999999973807E-2</c:v>
                </c:pt>
                <c:pt idx="1868">
                  <c:v>0.12340000000006057</c:v>
                </c:pt>
                <c:pt idx="1869">
                  <c:v>1.8400000000042382E-2</c:v>
                </c:pt>
                <c:pt idx="1870">
                  <c:v>2.0899999999983265E-2</c:v>
                </c:pt>
                <c:pt idx="1871">
                  <c:v>3.6200000000008004E-2</c:v>
                </c:pt>
                <c:pt idx="1872">
                  <c:v>9.1000000000008185E-2</c:v>
                </c:pt>
                <c:pt idx="1873">
                  <c:v>7.3499999999967258E-2</c:v>
                </c:pt>
                <c:pt idx="1874">
                  <c:v>8.2599999999956708E-2</c:v>
                </c:pt>
                <c:pt idx="1875">
                  <c:v>0.11140000000000327</c:v>
                </c:pt>
                <c:pt idx="1876">
                  <c:v>9.0099999999893043E-2</c:v>
                </c:pt>
                <c:pt idx="1877">
                  <c:v>2.7199999999993452E-2</c:v>
                </c:pt>
                <c:pt idx="1878">
                  <c:v>7.2599999999965803E-2</c:v>
                </c:pt>
                <c:pt idx="1879">
                  <c:v>1.2299999999981992E-2</c:v>
                </c:pt>
                <c:pt idx="1880">
                  <c:v>0.12429999999994834</c:v>
                </c:pt>
                <c:pt idx="1881">
                  <c:v>6.6900000000032378E-2</c:v>
                </c:pt>
                <c:pt idx="1882">
                  <c:v>0.14949999999998909</c:v>
                </c:pt>
                <c:pt idx="1883">
                  <c:v>0.11639999999999873</c:v>
                </c:pt>
                <c:pt idx="1884">
                  <c:v>7.8299999999899228E-2</c:v>
                </c:pt>
                <c:pt idx="1885">
                  <c:v>8.4000000000060027E-2</c:v>
                </c:pt>
                <c:pt idx="1886">
                  <c:v>7.2199999999952524E-2</c:v>
                </c:pt>
                <c:pt idx="1887">
                  <c:v>6.4900000000079672E-2</c:v>
                </c:pt>
                <c:pt idx="1888">
                  <c:v>6.9899999999961437E-2</c:v>
                </c:pt>
                <c:pt idx="1889">
                  <c:v>0.10900000000003729</c:v>
                </c:pt>
                <c:pt idx="1890">
                  <c:v>9.2599999999947613E-2</c:v>
                </c:pt>
                <c:pt idx="1891">
                  <c:v>0.11519999999995889</c:v>
                </c:pt>
                <c:pt idx="1892">
                  <c:v>0.11670000000003711</c:v>
                </c:pt>
                <c:pt idx="1893">
                  <c:v>0.10610000000008313</c:v>
                </c:pt>
                <c:pt idx="1894">
                  <c:v>8.830000000000382E-2</c:v>
                </c:pt>
                <c:pt idx="1895">
                  <c:v>8.2899999999995089E-2</c:v>
                </c:pt>
                <c:pt idx="1896">
                  <c:v>3.0799999999999272E-2</c:v>
                </c:pt>
                <c:pt idx="1897">
                  <c:v>7.5399999999945067E-2</c:v>
                </c:pt>
                <c:pt idx="1898">
                  <c:v>7.6099999999996726E-2</c:v>
                </c:pt>
                <c:pt idx="1899">
                  <c:v>0.11760000000003856</c:v>
                </c:pt>
                <c:pt idx="1900">
                  <c:v>8.9200000000005275E-2</c:v>
                </c:pt>
                <c:pt idx="1901">
                  <c:v>9.6000000000003638E-2</c:v>
                </c:pt>
                <c:pt idx="1902">
                  <c:v>8.8799999999991996E-2</c:v>
                </c:pt>
                <c:pt idx="1903">
                  <c:v>6.9999999999936335E-2</c:v>
                </c:pt>
                <c:pt idx="1904">
                  <c:v>4.4299999999907413E-2</c:v>
                </c:pt>
                <c:pt idx="1905">
                  <c:v>7.1100000000001273E-2</c:v>
                </c:pt>
                <c:pt idx="1906">
                  <c:v>0.11520000000007258</c:v>
                </c:pt>
                <c:pt idx="1907">
                  <c:v>0.13040000000000873</c:v>
                </c:pt>
                <c:pt idx="1908">
                  <c:v>9.6900000000005093E-2</c:v>
                </c:pt>
                <c:pt idx="1909">
                  <c:v>0.13179999999999836</c:v>
                </c:pt>
                <c:pt idx="1910">
                  <c:v>0.14469999999994343</c:v>
                </c:pt>
                <c:pt idx="1911">
                  <c:v>0.102800000000002</c:v>
                </c:pt>
                <c:pt idx="1912">
                  <c:v>0.10379999999997835</c:v>
                </c:pt>
                <c:pt idx="1913">
                  <c:v>0.10180000000002565</c:v>
                </c:pt>
                <c:pt idx="1914">
                  <c:v>0.13339999999993779</c:v>
                </c:pt>
                <c:pt idx="1915">
                  <c:v>0.11800000000005184</c:v>
                </c:pt>
                <c:pt idx="1916">
                  <c:v>8.1999999999993634E-2</c:v>
                </c:pt>
                <c:pt idx="1917">
                  <c:v>9.0599999999994907E-2</c:v>
                </c:pt>
                <c:pt idx="1918">
                  <c:v>9.7100000000068576E-2</c:v>
                </c:pt>
                <c:pt idx="1919">
                  <c:v>0.11760000000003856</c:v>
                </c:pt>
                <c:pt idx="1920">
                  <c:v>0.19220000000007076</c:v>
                </c:pt>
                <c:pt idx="1921">
                  <c:v>0.14520000000004529</c:v>
                </c:pt>
                <c:pt idx="1922">
                  <c:v>9.8399999999969623E-2</c:v>
                </c:pt>
                <c:pt idx="1923">
                  <c:v>0.11020000000007713</c:v>
                </c:pt>
                <c:pt idx="1924">
                  <c:v>0.14099999999996271</c:v>
                </c:pt>
                <c:pt idx="1925">
                  <c:v>0.11010000000010223</c:v>
                </c:pt>
                <c:pt idx="1926">
                  <c:v>0.12399999999990996</c:v>
                </c:pt>
                <c:pt idx="1927">
                  <c:v>0.16729999999995471</c:v>
                </c:pt>
                <c:pt idx="1928">
                  <c:v>0.17529999999999291</c:v>
                </c:pt>
                <c:pt idx="1929">
                  <c:v>0.1694999999999709</c:v>
                </c:pt>
                <c:pt idx="1930">
                  <c:v>0.10949999999991178</c:v>
                </c:pt>
                <c:pt idx="1931">
                  <c:v>0.10439999999994143</c:v>
                </c:pt>
                <c:pt idx="1932">
                  <c:v>0.13229999999998654</c:v>
                </c:pt>
                <c:pt idx="1933">
                  <c:v>0.12400000000002365</c:v>
                </c:pt>
                <c:pt idx="1934">
                  <c:v>9.770000000003165E-2</c:v>
                </c:pt>
                <c:pt idx="1935">
                  <c:v>7.2999999999979082E-2</c:v>
                </c:pt>
                <c:pt idx="1936">
                  <c:v>0.10350000000005366</c:v>
                </c:pt>
                <c:pt idx="1937">
                  <c:v>0.11099999999999</c:v>
                </c:pt>
                <c:pt idx="1938">
                  <c:v>0.16349999999999909</c:v>
                </c:pt>
                <c:pt idx="1939">
                  <c:v>0.14940000000001419</c:v>
                </c:pt>
                <c:pt idx="1940">
                  <c:v>5.9899999999970532E-2</c:v>
                </c:pt>
                <c:pt idx="1941">
                  <c:v>8.0100000000015825E-2</c:v>
                </c:pt>
                <c:pt idx="1942">
                  <c:v>0.1067000000000462</c:v>
                </c:pt>
                <c:pt idx="1943">
                  <c:v>0.13649999999995543</c:v>
                </c:pt>
                <c:pt idx="1944">
                  <c:v>0.12569999999993797</c:v>
                </c:pt>
                <c:pt idx="1945">
                  <c:v>5.4499999999961801E-2</c:v>
                </c:pt>
                <c:pt idx="1946">
                  <c:v>0.11670000000003711</c:v>
                </c:pt>
                <c:pt idx="1947">
                  <c:v>8.9999999999918145E-2</c:v>
                </c:pt>
                <c:pt idx="1948">
                  <c:v>0.10460000000000491</c:v>
                </c:pt>
                <c:pt idx="1949">
                  <c:v>9.6300000000042019E-2</c:v>
                </c:pt>
                <c:pt idx="1950">
                  <c:v>0.10360000000002856</c:v>
                </c:pt>
                <c:pt idx="1951">
                  <c:v>0.12150000000008276</c:v>
                </c:pt>
                <c:pt idx="1952">
                  <c:v>0.16480000000001382</c:v>
                </c:pt>
                <c:pt idx="1953">
                  <c:v>9.5000000000027285E-2</c:v>
                </c:pt>
                <c:pt idx="1954">
                  <c:v>0.19740000000001601</c:v>
                </c:pt>
                <c:pt idx="1955">
                  <c:v>0.16169999999999618</c:v>
                </c:pt>
                <c:pt idx="1956">
                  <c:v>8.5399999999935972E-2</c:v>
                </c:pt>
                <c:pt idx="1957">
                  <c:v>7.5299999999970169E-2</c:v>
                </c:pt>
                <c:pt idx="1958">
                  <c:v>6.4999999999940883E-2</c:v>
                </c:pt>
                <c:pt idx="1959">
                  <c:v>0.12149999999996908</c:v>
                </c:pt>
                <c:pt idx="1960">
                  <c:v>0.11020000000007713</c:v>
                </c:pt>
                <c:pt idx="1961">
                  <c:v>0.13490000000001601</c:v>
                </c:pt>
                <c:pt idx="1962">
                  <c:v>6.8499999999971806E-2</c:v>
                </c:pt>
                <c:pt idx="1963">
                  <c:v>0.12739999999996598</c:v>
                </c:pt>
                <c:pt idx="1964">
                  <c:v>0.11360000000001946</c:v>
                </c:pt>
                <c:pt idx="1965">
                  <c:v>0.14220000000000255</c:v>
                </c:pt>
                <c:pt idx="1966">
                  <c:v>0.14859999999998763</c:v>
                </c:pt>
                <c:pt idx="1967">
                  <c:v>0.13189999999997326</c:v>
                </c:pt>
                <c:pt idx="1968">
                  <c:v>0.11639999999999873</c:v>
                </c:pt>
                <c:pt idx="1969">
                  <c:v>7.4499999999943611E-2</c:v>
                </c:pt>
                <c:pt idx="1970">
                  <c:v>0.20050000000003365</c:v>
                </c:pt>
                <c:pt idx="1971">
                  <c:v>0.11779999999998836</c:v>
                </c:pt>
                <c:pt idx="1972">
                  <c:v>0.1289000000000442</c:v>
                </c:pt>
                <c:pt idx="1973">
                  <c:v>0.11990000000002965</c:v>
                </c:pt>
                <c:pt idx="1974">
                  <c:v>0.10110000000008768</c:v>
                </c:pt>
                <c:pt idx="1975">
                  <c:v>0.10950000000002547</c:v>
                </c:pt>
                <c:pt idx="1976">
                  <c:v>5.7599999999979445E-2</c:v>
                </c:pt>
                <c:pt idx="1977">
                  <c:v>0.16070000000001983</c:v>
                </c:pt>
                <c:pt idx="1978">
                  <c:v>0.10450000000003001</c:v>
                </c:pt>
                <c:pt idx="1979">
                  <c:v>0.14849999999989905</c:v>
                </c:pt>
                <c:pt idx="1980">
                  <c:v>8.5199999999986176E-2</c:v>
                </c:pt>
                <c:pt idx="1981">
                  <c:v>3.1000000000062755E-2</c:v>
                </c:pt>
                <c:pt idx="1982">
                  <c:v>0.15670000000000073</c:v>
                </c:pt>
                <c:pt idx="1983">
                  <c:v>5.4700000000025284E-2</c:v>
                </c:pt>
                <c:pt idx="1984">
                  <c:v>0.10509999999999309</c:v>
                </c:pt>
                <c:pt idx="1985">
                  <c:v>0.12659999999993943</c:v>
                </c:pt>
                <c:pt idx="1986">
                  <c:v>7.0899999999937791E-2</c:v>
                </c:pt>
                <c:pt idx="1987">
                  <c:v>5.2599999999983993E-2</c:v>
                </c:pt>
                <c:pt idx="1988">
                  <c:v>0.1251999999999498</c:v>
                </c:pt>
                <c:pt idx="1989">
                  <c:v>9.6799999999916508E-2</c:v>
                </c:pt>
                <c:pt idx="1990">
                  <c:v>4.4800000000009277E-2</c:v>
                </c:pt>
                <c:pt idx="1991">
                  <c:v>9.5300000000065666E-2</c:v>
                </c:pt>
                <c:pt idx="1992">
                  <c:v>6.7700000000058935E-2</c:v>
                </c:pt>
                <c:pt idx="1993">
                  <c:v>4.9199999999927968E-2</c:v>
                </c:pt>
                <c:pt idx="1994">
                  <c:v>2.7699999999981628E-2</c:v>
                </c:pt>
                <c:pt idx="1995">
                  <c:v>6.2999999999988177E-2</c:v>
                </c:pt>
                <c:pt idx="1996">
                  <c:v>0.11220000000002983</c:v>
                </c:pt>
                <c:pt idx="1997">
                  <c:v>0.10880000000008749</c:v>
                </c:pt>
                <c:pt idx="1998">
                  <c:v>7.3899999999980537E-2</c:v>
                </c:pt>
                <c:pt idx="1999">
                  <c:v>0.12339999999994689</c:v>
                </c:pt>
                <c:pt idx="2000">
                  <c:v>0.11559999999997217</c:v>
                </c:pt>
                <c:pt idx="2001">
                  <c:v>9.8800000000096588E-2</c:v>
                </c:pt>
                <c:pt idx="2002">
                  <c:v>9.3799999999987449E-2</c:v>
                </c:pt>
                <c:pt idx="2003">
                  <c:v>8.2700000000045293E-2</c:v>
                </c:pt>
                <c:pt idx="2004">
                  <c:v>6.9999999999936335E-2</c:v>
                </c:pt>
                <c:pt idx="2005">
                  <c:v>0.12009999999997945</c:v>
                </c:pt>
                <c:pt idx="2006">
                  <c:v>6.6399999999930515E-2</c:v>
                </c:pt>
                <c:pt idx="2007">
                  <c:v>6.2400000000025102E-2</c:v>
                </c:pt>
                <c:pt idx="2008">
                  <c:v>0.11519999999995889</c:v>
                </c:pt>
                <c:pt idx="2009">
                  <c:v>7.339999999999236E-2</c:v>
                </c:pt>
                <c:pt idx="2010">
                  <c:v>0.11990000000002965</c:v>
                </c:pt>
                <c:pt idx="2011">
                  <c:v>0.14260000000001583</c:v>
                </c:pt>
                <c:pt idx="2012">
                  <c:v>1.2200000000007094E-2</c:v>
                </c:pt>
                <c:pt idx="2013">
                  <c:v>7.0299999999974716E-2</c:v>
                </c:pt>
                <c:pt idx="2014">
                  <c:v>8.9499999999929969E-2</c:v>
                </c:pt>
                <c:pt idx="2015">
                  <c:v>7.0399999999949614E-2</c:v>
                </c:pt>
                <c:pt idx="2016">
                  <c:v>7.5799999999958345E-2</c:v>
                </c:pt>
                <c:pt idx="2017">
                  <c:v>8.4000000000060027E-2</c:v>
                </c:pt>
                <c:pt idx="2018">
                  <c:v>4.9499999999966349E-2</c:v>
                </c:pt>
                <c:pt idx="2019">
                  <c:v>3.489999999999327E-2</c:v>
                </c:pt>
                <c:pt idx="2020">
                  <c:v>7.6999999999998181E-2</c:v>
                </c:pt>
                <c:pt idx="2021">
                  <c:v>9.739999999999327E-2</c:v>
                </c:pt>
                <c:pt idx="2022">
                  <c:v>7.2000000000002728E-2</c:v>
                </c:pt>
                <c:pt idx="2023">
                  <c:v>6.8700000000035288E-2</c:v>
                </c:pt>
                <c:pt idx="2024">
                  <c:v>4.3699999999944339E-2</c:v>
                </c:pt>
                <c:pt idx="2025">
                  <c:v>0.13130000000001019</c:v>
                </c:pt>
                <c:pt idx="2026">
                  <c:v>6.7700000000058935E-2</c:v>
                </c:pt>
                <c:pt idx="2027">
                  <c:v>0.11310000000003129</c:v>
                </c:pt>
                <c:pt idx="2028">
                  <c:v>0.11360000000001946</c:v>
                </c:pt>
                <c:pt idx="2029">
                  <c:v>9.6000000000003638E-2</c:v>
                </c:pt>
                <c:pt idx="2030">
                  <c:v>6.2700000000063483E-2</c:v>
                </c:pt>
                <c:pt idx="2031">
                  <c:v>3.5399999999981446E-2</c:v>
                </c:pt>
                <c:pt idx="2032">
                  <c:v>6.1800000000062028E-2</c:v>
                </c:pt>
                <c:pt idx="2033">
                  <c:v>8.7099999999963984E-2</c:v>
                </c:pt>
                <c:pt idx="2034">
                  <c:v>3.9799999999900137E-2</c:v>
                </c:pt>
                <c:pt idx="2035">
                  <c:v>9.4200000000000728E-2</c:v>
                </c:pt>
                <c:pt idx="2036">
                  <c:v>0.10480000000006839</c:v>
                </c:pt>
                <c:pt idx="2037">
                  <c:v>7.7800000000024738E-2</c:v>
                </c:pt>
                <c:pt idx="2038">
                  <c:v>7.2000000000002728E-2</c:v>
                </c:pt>
                <c:pt idx="2039">
                  <c:v>6.2800000000038381E-2</c:v>
                </c:pt>
                <c:pt idx="2040">
                  <c:v>2.1800000000098407E-2</c:v>
                </c:pt>
                <c:pt idx="2041">
                  <c:v>2.5999999999953616E-2</c:v>
                </c:pt>
                <c:pt idx="2042">
                  <c:v>1.0200000000054388E-2</c:v>
                </c:pt>
                <c:pt idx="2043">
                  <c:v>3.1700000000000728E-2</c:v>
                </c:pt>
                <c:pt idx="2044">
                  <c:v>7.6999999999998181E-2</c:v>
                </c:pt>
                <c:pt idx="2045">
                  <c:v>7.0000000000050022E-2</c:v>
                </c:pt>
                <c:pt idx="2046">
                  <c:v>3.6600000000021282E-2</c:v>
                </c:pt>
                <c:pt idx="2047">
                  <c:v>4.0000000001327862E-4</c:v>
                </c:pt>
                <c:pt idx="2048">
                  <c:v>5.2300000000059299E-2</c:v>
                </c:pt>
                <c:pt idx="2049">
                  <c:v>2.8800000000046566E-2</c:v>
                </c:pt>
                <c:pt idx="2050">
                  <c:v>2.4499999999989086E-2</c:v>
                </c:pt>
                <c:pt idx="2051">
                  <c:v>1.5999999999394277E-3</c:v>
                </c:pt>
                <c:pt idx="2052">
                  <c:v>5.7199999999966167E-2</c:v>
                </c:pt>
                <c:pt idx="2053">
                  <c:v>1.8999999999778083E-3</c:v>
                </c:pt>
                <c:pt idx="2054">
                  <c:v>2.0300000000020191E-2</c:v>
                </c:pt>
                <c:pt idx="2055">
                  <c:v>2.7699999999981628E-2</c:v>
                </c:pt>
                <c:pt idx="2056">
                  <c:v>6.1100000000010368E-2</c:v>
                </c:pt>
                <c:pt idx="2057">
                  <c:v>6.350000000009004E-2</c:v>
                </c:pt>
                <c:pt idx="2058">
                  <c:v>2.5699999999915235E-2</c:v>
                </c:pt>
                <c:pt idx="2059">
                  <c:v>1.0099999999965803E-2</c:v>
                </c:pt>
                <c:pt idx="2060">
                  <c:v>6.5000000000736691E-3</c:v>
                </c:pt>
                <c:pt idx="2061">
                  <c:v>1.059999999995398E-2</c:v>
                </c:pt>
                <c:pt idx="2062">
                  <c:v>2.6899999999955071E-2</c:v>
                </c:pt>
                <c:pt idx="2063">
                  <c:v>9.1200000000071668E-2</c:v>
                </c:pt>
                <c:pt idx="2064">
                  <c:v>2.4999999999408828E-3</c:v>
                </c:pt>
                <c:pt idx="2065">
                  <c:v>1.1100000000055843E-2</c:v>
                </c:pt>
                <c:pt idx="2066">
                  <c:v>4.9599999999941247E-2</c:v>
                </c:pt>
                <c:pt idx="2067">
                  <c:v>8.7800000000015643E-2</c:v>
                </c:pt>
                <c:pt idx="2068">
                  <c:v>2.8400000000033288E-2</c:v>
                </c:pt>
                <c:pt idx="2069">
                  <c:v>9.9999999999909051E-3</c:v>
                </c:pt>
                <c:pt idx="2070">
                  <c:v>6.8399999999996908E-2</c:v>
                </c:pt>
                <c:pt idx="2071">
                  <c:v>6.5400000000067848E-2</c:v>
                </c:pt>
                <c:pt idx="2072">
                  <c:v>6.6299999999955617E-2</c:v>
                </c:pt>
                <c:pt idx="2073">
                  <c:v>1.2599999999906686E-2</c:v>
                </c:pt>
                <c:pt idx="2074">
                  <c:v>3.7400000000047839E-2</c:v>
                </c:pt>
                <c:pt idx="2075">
                  <c:v>5.1700000000096225E-2</c:v>
                </c:pt>
                <c:pt idx="2076">
                  <c:v>1.6300000000001091E-2</c:v>
                </c:pt>
                <c:pt idx="2077">
                  <c:v>8.930000000009386E-2</c:v>
                </c:pt>
                <c:pt idx="2078">
                  <c:v>4.5199999999908869E-2</c:v>
                </c:pt>
                <c:pt idx="2079">
                  <c:v>8.1099999999992178E-2</c:v>
                </c:pt>
                <c:pt idx="2080">
                  <c:v>0.10860000000002401</c:v>
                </c:pt>
                <c:pt idx="2081">
                  <c:v>9.2599999999947613E-2</c:v>
                </c:pt>
                <c:pt idx="2082">
                  <c:v>4.7983000000000402</c:v>
                </c:pt>
                <c:pt idx="2083">
                  <c:v>69.017000000000053</c:v>
                </c:pt>
                <c:pt idx="2084">
                  <c:v>77.780100000000004</c:v>
                </c:pt>
                <c:pt idx="2085">
                  <c:v>68.386900000000026</c:v>
                </c:pt>
                <c:pt idx="2086">
                  <c:v>76.045199999999994</c:v>
                </c:pt>
                <c:pt idx="2087">
                  <c:v>73.411899999999974</c:v>
                </c:pt>
                <c:pt idx="2088">
                  <c:v>42.755099999999999</c:v>
                </c:pt>
                <c:pt idx="2089">
                  <c:v>21.576999999999998</c:v>
                </c:pt>
                <c:pt idx="2090">
                  <c:v>9.1479999999999997</c:v>
                </c:pt>
                <c:pt idx="2091">
                  <c:v>1.1633999999999993</c:v>
                </c:pt>
                <c:pt idx="2092">
                  <c:v>0.21020000000000039</c:v>
                </c:pt>
                <c:pt idx="2093">
                  <c:v>0.21819999999999951</c:v>
                </c:pt>
                <c:pt idx="2094">
                  <c:v>0.20599999999999952</c:v>
                </c:pt>
                <c:pt idx="2095">
                  <c:v>0.26179999999999914</c:v>
                </c:pt>
                <c:pt idx="2096">
                  <c:v>0.25060000000000038</c:v>
                </c:pt>
                <c:pt idx="2097">
                  <c:v>0.22670000000000101</c:v>
                </c:pt>
                <c:pt idx="2098">
                  <c:v>0.24180000000000135</c:v>
                </c:pt>
                <c:pt idx="2099">
                  <c:v>0.21480000000000032</c:v>
                </c:pt>
                <c:pt idx="2100">
                  <c:v>0.22080000000000055</c:v>
                </c:pt>
                <c:pt idx="2101">
                  <c:v>0.23559999999999981</c:v>
                </c:pt>
                <c:pt idx="2102">
                  <c:v>0.25619999999999976</c:v>
                </c:pt>
                <c:pt idx="2103">
                  <c:v>0.26750000000000007</c:v>
                </c:pt>
                <c:pt idx="2104">
                  <c:v>0.20029999999999859</c:v>
                </c:pt>
                <c:pt idx="2105">
                  <c:v>0.27229999999999954</c:v>
                </c:pt>
                <c:pt idx="2106">
                  <c:v>0.24339999999999939</c:v>
                </c:pt>
                <c:pt idx="2107">
                  <c:v>0.26479999999999926</c:v>
                </c:pt>
                <c:pt idx="2108">
                  <c:v>0.17399999999999949</c:v>
                </c:pt>
                <c:pt idx="2109">
                  <c:v>0.24770000000000003</c:v>
                </c:pt>
                <c:pt idx="2110">
                  <c:v>0.21279999999999966</c:v>
                </c:pt>
                <c:pt idx="2111">
                  <c:v>0.22470000000000034</c:v>
                </c:pt>
                <c:pt idx="2112">
                  <c:v>0.17639999999999922</c:v>
                </c:pt>
                <c:pt idx="2113">
                  <c:v>0.24840000000000018</c:v>
                </c:pt>
                <c:pt idx="2114">
                  <c:v>0.28059999999999974</c:v>
                </c:pt>
                <c:pt idx="2115">
                  <c:v>0.26309999999999967</c:v>
                </c:pt>
                <c:pt idx="2116">
                  <c:v>0.24300000000000033</c:v>
                </c:pt>
                <c:pt idx="2117">
                  <c:v>0.24100000000000144</c:v>
                </c:pt>
                <c:pt idx="2118">
                  <c:v>0.18959999999999866</c:v>
                </c:pt>
                <c:pt idx="2119">
                  <c:v>0.29230000000000089</c:v>
                </c:pt>
                <c:pt idx="2120">
                  <c:v>0.23789999999999978</c:v>
                </c:pt>
                <c:pt idx="2121">
                  <c:v>0.23629999999999995</c:v>
                </c:pt>
                <c:pt idx="2122">
                  <c:v>0.26130000000000031</c:v>
                </c:pt>
                <c:pt idx="2123">
                  <c:v>0.23559999999999981</c:v>
                </c:pt>
                <c:pt idx="2124">
                  <c:v>0.20359999999999978</c:v>
                </c:pt>
                <c:pt idx="2125">
                  <c:v>0.17849999999999966</c:v>
                </c:pt>
                <c:pt idx="2126">
                  <c:v>0.25019999999999953</c:v>
                </c:pt>
                <c:pt idx="2127">
                  <c:v>0.24520000000000053</c:v>
                </c:pt>
                <c:pt idx="2128">
                  <c:v>0.2541000000000011</c:v>
                </c:pt>
                <c:pt idx="2129">
                  <c:v>0.29229999999999912</c:v>
                </c:pt>
                <c:pt idx="2130">
                  <c:v>0.27259999999999884</c:v>
                </c:pt>
                <c:pt idx="2131">
                  <c:v>0.23209999999999908</c:v>
                </c:pt>
                <c:pt idx="2132">
                  <c:v>0.19780000000000086</c:v>
                </c:pt>
                <c:pt idx="2133">
                  <c:v>0.26679999999999993</c:v>
                </c:pt>
                <c:pt idx="2134">
                  <c:v>0.24080000000000013</c:v>
                </c:pt>
                <c:pt idx="2135">
                  <c:v>0.21640000000000015</c:v>
                </c:pt>
                <c:pt idx="2136">
                  <c:v>0.2887000000000004</c:v>
                </c:pt>
                <c:pt idx="2137">
                  <c:v>0.20659999999999989</c:v>
                </c:pt>
                <c:pt idx="2138">
                  <c:v>0.22529999999999895</c:v>
                </c:pt>
                <c:pt idx="2139">
                  <c:v>0.26670000000000016</c:v>
                </c:pt>
                <c:pt idx="2140">
                  <c:v>0.24680000000000035</c:v>
                </c:pt>
              </c:numCache>
            </c:numRef>
          </c:xVal>
          <c:yVal>
            <c:numRef>
              <c:f>'MG Data'!$B$10:$B$2153</c:f>
              <c:numCache>
                <c:formatCode>#,##0.000</c:formatCode>
                <c:ptCount val="2144"/>
                <c:pt idx="0">
                  <c:v>0</c:v>
                </c:pt>
                <c:pt idx="1">
                  <c:v>1.389E-3</c:v>
                </c:pt>
                <c:pt idx="2">
                  <c:v>2.7780000000000001E-3</c:v>
                </c:pt>
                <c:pt idx="3">
                  <c:v>4.1669999999999997E-3</c:v>
                </c:pt>
                <c:pt idx="4">
                  <c:v>5.5560000000000002E-3</c:v>
                </c:pt>
                <c:pt idx="5">
                  <c:v>6.9439999999999997E-3</c:v>
                </c:pt>
                <c:pt idx="6">
                  <c:v>8.3330000000000001E-3</c:v>
                </c:pt>
                <c:pt idx="7">
                  <c:v>9.7219999999999997E-3</c:v>
                </c:pt>
                <c:pt idx="8">
                  <c:v>1.1110999999999999E-2</c:v>
                </c:pt>
                <c:pt idx="9">
                  <c:v>1.2500000000000001E-2</c:v>
                </c:pt>
                <c:pt idx="10">
                  <c:v>1.3889E-2</c:v>
                </c:pt>
                <c:pt idx="11">
                  <c:v>1.5278E-2</c:v>
                </c:pt>
                <c:pt idx="12">
                  <c:v>1.6667000000000001E-2</c:v>
                </c:pt>
                <c:pt idx="13">
                  <c:v>1.8055999999999999E-2</c:v>
                </c:pt>
                <c:pt idx="14">
                  <c:v>1.9443999999999999E-2</c:v>
                </c:pt>
                <c:pt idx="15">
                  <c:v>2.0833000000000001E-2</c:v>
                </c:pt>
                <c:pt idx="16">
                  <c:v>2.2221999999999999E-2</c:v>
                </c:pt>
                <c:pt idx="17">
                  <c:v>2.3611E-2</c:v>
                </c:pt>
                <c:pt idx="18">
                  <c:v>2.5000000000000001E-2</c:v>
                </c:pt>
                <c:pt idx="19">
                  <c:v>2.6388999999999999E-2</c:v>
                </c:pt>
                <c:pt idx="20">
                  <c:v>2.7778000000000001E-2</c:v>
                </c:pt>
                <c:pt idx="21">
                  <c:v>2.9166999999999998E-2</c:v>
                </c:pt>
                <c:pt idx="22">
                  <c:v>3.0556E-2</c:v>
                </c:pt>
                <c:pt idx="23">
                  <c:v>3.1944E-2</c:v>
                </c:pt>
                <c:pt idx="24">
                  <c:v>3.3333000000000002E-2</c:v>
                </c:pt>
                <c:pt idx="25">
                  <c:v>3.4722000000000003E-2</c:v>
                </c:pt>
                <c:pt idx="26">
                  <c:v>3.6110999999999997E-2</c:v>
                </c:pt>
                <c:pt idx="27">
                  <c:v>3.7499999999999999E-2</c:v>
                </c:pt>
                <c:pt idx="28">
                  <c:v>3.8889E-2</c:v>
                </c:pt>
                <c:pt idx="29">
                  <c:v>4.0278000000000001E-2</c:v>
                </c:pt>
                <c:pt idx="30">
                  <c:v>4.1667000000000003E-2</c:v>
                </c:pt>
                <c:pt idx="31">
                  <c:v>4.3055999999999997E-2</c:v>
                </c:pt>
                <c:pt idx="32">
                  <c:v>4.4443999999999997E-2</c:v>
                </c:pt>
                <c:pt idx="33">
                  <c:v>4.5832999999999999E-2</c:v>
                </c:pt>
                <c:pt idx="34">
                  <c:v>4.7222E-2</c:v>
                </c:pt>
                <c:pt idx="35">
                  <c:v>4.8611000000000001E-2</c:v>
                </c:pt>
                <c:pt idx="36">
                  <c:v>0.05</c:v>
                </c:pt>
                <c:pt idx="37">
                  <c:v>5.1388999999999997E-2</c:v>
                </c:pt>
                <c:pt idx="38">
                  <c:v>5.2777999999999999E-2</c:v>
                </c:pt>
                <c:pt idx="39">
                  <c:v>5.4167E-2</c:v>
                </c:pt>
                <c:pt idx="40">
                  <c:v>5.5556000000000001E-2</c:v>
                </c:pt>
                <c:pt idx="41">
                  <c:v>5.6944000000000002E-2</c:v>
                </c:pt>
                <c:pt idx="42">
                  <c:v>5.8333000000000003E-2</c:v>
                </c:pt>
                <c:pt idx="43">
                  <c:v>5.9721999999999997E-2</c:v>
                </c:pt>
                <c:pt idx="44">
                  <c:v>6.1110999999999999E-2</c:v>
                </c:pt>
                <c:pt idx="45">
                  <c:v>6.25E-2</c:v>
                </c:pt>
                <c:pt idx="46">
                  <c:v>6.3889000000000001E-2</c:v>
                </c:pt>
                <c:pt idx="47">
                  <c:v>6.5278000000000003E-2</c:v>
                </c:pt>
                <c:pt idx="48">
                  <c:v>6.6667000000000004E-2</c:v>
                </c:pt>
                <c:pt idx="49">
                  <c:v>6.8056000000000005E-2</c:v>
                </c:pt>
                <c:pt idx="50">
                  <c:v>6.9444000000000006E-2</c:v>
                </c:pt>
                <c:pt idx="51">
                  <c:v>7.0832999999999993E-2</c:v>
                </c:pt>
                <c:pt idx="52">
                  <c:v>7.2221999999999995E-2</c:v>
                </c:pt>
                <c:pt idx="53">
                  <c:v>7.3610999999999996E-2</c:v>
                </c:pt>
                <c:pt idx="54">
                  <c:v>7.4999999999999997E-2</c:v>
                </c:pt>
                <c:pt idx="55">
                  <c:v>7.6388999999999999E-2</c:v>
                </c:pt>
                <c:pt idx="56">
                  <c:v>7.7778E-2</c:v>
                </c:pt>
                <c:pt idx="57">
                  <c:v>7.9167000000000001E-2</c:v>
                </c:pt>
                <c:pt idx="58">
                  <c:v>8.0556000000000003E-2</c:v>
                </c:pt>
                <c:pt idx="59">
                  <c:v>8.1944000000000003E-2</c:v>
                </c:pt>
                <c:pt idx="60">
                  <c:v>8.3333000000000004E-2</c:v>
                </c:pt>
                <c:pt idx="61">
                  <c:v>8.4722000000000006E-2</c:v>
                </c:pt>
                <c:pt idx="62">
                  <c:v>8.6110999999999993E-2</c:v>
                </c:pt>
                <c:pt idx="63">
                  <c:v>8.7499999999999994E-2</c:v>
                </c:pt>
                <c:pt idx="64">
                  <c:v>8.8888999999999996E-2</c:v>
                </c:pt>
                <c:pt idx="65">
                  <c:v>9.0277999999999997E-2</c:v>
                </c:pt>
                <c:pt idx="66">
                  <c:v>9.1666999999999998E-2</c:v>
                </c:pt>
                <c:pt idx="67">
                  <c:v>9.3056E-2</c:v>
                </c:pt>
                <c:pt idx="68">
                  <c:v>9.4444E-2</c:v>
                </c:pt>
                <c:pt idx="69">
                  <c:v>9.5833000000000002E-2</c:v>
                </c:pt>
                <c:pt idx="70">
                  <c:v>9.7222000000000003E-2</c:v>
                </c:pt>
                <c:pt idx="71">
                  <c:v>9.8611000000000004E-2</c:v>
                </c:pt>
                <c:pt idx="72">
                  <c:v>0.1</c:v>
                </c:pt>
                <c:pt idx="73">
                  <c:v>0.10138900000000001</c:v>
                </c:pt>
                <c:pt idx="74">
                  <c:v>0.10277799999999999</c:v>
                </c:pt>
                <c:pt idx="75">
                  <c:v>0.104167</c:v>
                </c:pt>
                <c:pt idx="76">
                  <c:v>0.105556</c:v>
                </c:pt>
                <c:pt idx="77">
                  <c:v>0.106944</c:v>
                </c:pt>
                <c:pt idx="78">
                  <c:v>0.108333</c:v>
                </c:pt>
                <c:pt idx="79">
                  <c:v>0.109722</c:v>
                </c:pt>
                <c:pt idx="80">
                  <c:v>0.111111</c:v>
                </c:pt>
                <c:pt idx="81">
                  <c:v>0.1125</c:v>
                </c:pt>
                <c:pt idx="82">
                  <c:v>0.113889</c:v>
                </c:pt>
                <c:pt idx="83">
                  <c:v>0.11527800000000001</c:v>
                </c:pt>
                <c:pt idx="84">
                  <c:v>0.11666700000000001</c:v>
                </c:pt>
                <c:pt idx="85">
                  <c:v>0.11805599999999999</c:v>
                </c:pt>
                <c:pt idx="86">
                  <c:v>0.11944399999999999</c:v>
                </c:pt>
                <c:pt idx="87">
                  <c:v>0.120833</c:v>
                </c:pt>
                <c:pt idx="88">
                  <c:v>0.122222</c:v>
                </c:pt>
                <c:pt idx="89">
                  <c:v>0.123611</c:v>
                </c:pt>
                <c:pt idx="90">
                  <c:v>0.125</c:v>
                </c:pt>
                <c:pt idx="91">
                  <c:v>0.126389</c:v>
                </c:pt>
                <c:pt idx="92">
                  <c:v>0.127778</c:v>
                </c:pt>
                <c:pt idx="93">
                  <c:v>0.129167</c:v>
                </c:pt>
                <c:pt idx="94">
                  <c:v>0.13055600000000001</c:v>
                </c:pt>
                <c:pt idx="95">
                  <c:v>0.13194400000000001</c:v>
                </c:pt>
                <c:pt idx="96">
                  <c:v>0.13333300000000001</c:v>
                </c:pt>
                <c:pt idx="97">
                  <c:v>0.13472200000000001</c:v>
                </c:pt>
                <c:pt idx="98">
                  <c:v>0.13611100000000001</c:v>
                </c:pt>
                <c:pt idx="99">
                  <c:v>0.13750000000000001</c:v>
                </c:pt>
                <c:pt idx="100">
                  <c:v>0.13888900000000001</c:v>
                </c:pt>
                <c:pt idx="101">
                  <c:v>0.14027800000000001</c:v>
                </c:pt>
                <c:pt idx="102">
                  <c:v>0.14166699999999999</c:v>
                </c:pt>
                <c:pt idx="103">
                  <c:v>0.14305599999999999</c:v>
                </c:pt>
                <c:pt idx="104">
                  <c:v>0.14444399999999999</c:v>
                </c:pt>
                <c:pt idx="105">
                  <c:v>0.14583299999999999</c:v>
                </c:pt>
                <c:pt idx="106">
                  <c:v>0.14722199999999999</c:v>
                </c:pt>
                <c:pt idx="107">
                  <c:v>0.14861099999999999</c:v>
                </c:pt>
                <c:pt idx="108">
                  <c:v>0.15</c:v>
                </c:pt>
                <c:pt idx="109">
                  <c:v>0.151389</c:v>
                </c:pt>
                <c:pt idx="110">
                  <c:v>0.152778</c:v>
                </c:pt>
                <c:pt idx="111">
                  <c:v>0.154167</c:v>
                </c:pt>
                <c:pt idx="112">
                  <c:v>0.155556</c:v>
                </c:pt>
                <c:pt idx="113">
                  <c:v>0.156944</c:v>
                </c:pt>
                <c:pt idx="114">
                  <c:v>0.158333</c:v>
                </c:pt>
                <c:pt idx="115">
                  <c:v>0.159722</c:v>
                </c:pt>
                <c:pt idx="116">
                  <c:v>0.161111</c:v>
                </c:pt>
                <c:pt idx="117">
                  <c:v>0.16250000000000001</c:v>
                </c:pt>
                <c:pt idx="118">
                  <c:v>0.16388900000000001</c:v>
                </c:pt>
                <c:pt idx="119">
                  <c:v>0.16527800000000001</c:v>
                </c:pt>
                <c:pt idx="120">
                  <c:v>0.16666700000000001</c:v>
                </c:pt>
                <c:pt idx="121">
                  <c:v>0.16805600000000001</c:v>
                </c:pt>
                <c:pt idx="122">
                  <c:v>0.16944400000000001</c:v>
                </c:pt>
                <c:pt idx="123">
                  <c:v>0.17083300000000001</c:v>
                </c:pt>
                <c:pt idx="124">
                  <c:v>0.17222199999999999</c:v>
                </c:pt>
                <c:pt idx="125">
                  <c:v>0.17361099999999999</c:v>
                </c:pt>
                <c:pt idx="126">
                  <c:v>0.17499999999999999</c:v>
                </c:pt>
                <c:pt idx="127">
                  <c:v>0.17638899999999999</c:v>
                </c:pt>
                <c:pt idx="128">
                  <c:v>0.17777799999999999</c:v>
                </c:pt>
                <c:pt idx="129">
                  <c:v>0.17916699999999999</c:v>
                </c:pt>
                <c:pt idx="130">
                  <c:v>0.18055599999999999</c:v>
                </c:pt>
                <c:pt idx="131">
                  <c:v>0.18194399999999999</c:v>
                </c:pt>
                <c:pt idx="132">
                  <c:v>0.183333</c:v>
                </c:pt>
                <c:pt idx="133">
                  <c:v>0.184722</c:v>
                </c:pt>
                <c:pt idx="134">
                  <c:v>0.186111</c:v>
                </c:pt>
                <c:pt idx="135">
                  <c:v>0.1875</c:v>
                </c:pt>
                <c:pt idx="136">
                  <c:v>0.188889</c:v>
                </c:pt>
                <c:pt idx="137">
                  <c:v>0.190278</c:v>
                </c:pt>
                <c:pt idx="138">
                  <c:v>0.191667</c:v>
                </c:pt>
                <c:pt idx="139">
                  <c:v>0.19305600000000001</c:v>
                </c:pt>
                <c:pt idx="140">
                  <c:v>0.19444400000000001</c:v>
                </c:pt>
                <c:pt idx="141">
                  <c:v>0.19583300000000001</c:v>
                </c:pt>
                <c:pt idx="142">
                  <c:v>0.19722200000000001</c:v>
                </c:pt>
                <c:pt idx="143">
                  <c:v>0.19861100000000001</c:v>
                </c:pt>
                <c:pt idx="144">
                  <c:v>0.2</c:v>
                </c:pt>
                <c:pt idx="145">
                  <c:v>0.20138900000000001</c:v>
                </c:pt>
                <c:pt idx="146">
                  <c:v>0.20277800000000001</c:v>
                </c:pt>
                <c:pt idx="147">
                  <c:v>0.20416699999999999</c:v>
                </c:pt>
                <c:pt idx="148">
                  <c:v>0.20555599999999999</c:v>
                </c:pt>
                <c:pt idx="149">
                  <c:v>0.20694399999999999</c:v>
                </c:pt>
                <c:pt idx="150">
                  <c:v>0.20833299999999999</c:v>
                </c:pt>
                <c:pt idx="151">
                  <c:v>0.20972199999999999</c:v>
                </c:pt>
                <c:pt idx="152">
                  <c:v>0.21111099999999999</c:v>
                </c:pt>
                <c:pt idx="153">
                  <c:v>0.21249999999999999</c:v>
                </c:pt>
                <c:pt idx="154">
                  <c:v>0.213889</c:v>
                </c:pt>
                <c:pt idx="155">
                  <c:v>0.215278</c:v>
                </c:pt>
                <c:pt idx="156">
                  <c:v>0.216667</c:v>
                </c:pt>
                <c:pt idx="157">
                  <c:v>0.218056</c:v>
                </c:pt>
                <c:pt idx="158">
                  <c:v>0.219444</c:v>
                </c:pt>
                <c:pt idx="159">
                  <c:v>0.220833</c:v>
                </c:pt>
                <c:pt idx="160">
                  <c:v>0.222222</c:v>
                </c:pt>
                <c:pt idx="161">
                  <c:v>0.223611</c:v>
                </c:pt>
                <c:pt idx="162">
                  <c:v>0.22500000000000001</c:v>
                </c:pt>
                <c:pt idx="163">
                  <c:v>0.22638900000000001</c:v>
                </c:pt>
                <c:pt idx="164">
                  <c:v>0.22777800000000001</c:v>
                </c:pt>
                <c:pt idx="165">
                  <c:v>0.22916700000000001</c:v>
                </c:pt>
                <c:pt idx="166">
                  <c:v>0.23055600000000001</c:v>
                </c:pt>
                <c:pt idx="167">
                  <c:v>0.23194400000000001</c:v>
                </c:pt>
                <c:pt idx="168">
                  <c:v>0.23333300000000001</c:v>
                </c:pt>
                <c:pt idx="169">
                  <c:v>0.23472199999999999</c:v>
                </c:pt>
                <c:pt idx="170">
                  <c:v>0.23611099999999999</c:v>
                </c:pt>
                <c:pt idx="171">
                  <c:v>0.23749999999999999</c:v>
                </c:pt>
                <c:pt idx="172">
                  <c:v>0.23888899999999999</c:v>
                </c:pt>
                <c:pt idx="173">
                  <c:v>0.24027799999999999</c:v>
                </c:pt>
                <c:pt idx="174">
                  <c:v>0.24166699999999999</c:v>
                </c:pt>
                <c:pt idx="175">
                  <c:v>0.24305599999999999</c:v>
                </c:pt>
                <c:pt idx="176">
                  <c:v>0.24444399999999999</c:v>
                </c:pt>
                <c:pt idx="177">
                  <c:v>0.245833</c:v>
                </c:pt>
                <c:pt idx="178">
                  <c:v>0.247222</c:v>
                </c:pt>
                <c:pt idx="179">
                  <c:v>0.248611</c:v>
                </c:pt>
                <c:pt idx="180">
                  <c:v>0.25</c:v>
                </c:pt>
                <c:pt idx="181">
                  <c:v>0.25138899999999997</c:v>
                </c:pt>
                <c:pt idx="182">
                  <c:v>0.252778</c:v>
                </c:pt>
                <c:pt idx="183">
                  <c:v>0.25416699999999998</c:v>
                </c:pt>
                <c:pt idx="184">
                  <c:v>0.25555600000000001</c:v>
                </c:pt>
                <c:pt idx="185">
                  <c:v>0.25694400000000001</c:v>
                </c:pt>
                <c:pt idx="186">
                  <c:v>0.25833299999999998</c:v>
                </c:pt>
                <c:pt idx="187">
                  <c:v>0.25972200000000001</c:v>
                </c:pt>
                <c:pt idx="188">
                  <c:v>0.26111099999999998</c:v>
                </c:pt>
                <c:pt idx="189">
                  <c:v>0.26250000000000001</c:v>
                </c:pt>
                <c:pt idx="190">
                  <c:v>0.26388899999999998</c:v>
                </c:pt>
                <c:pt idx="191">
                  <c:v>0.26527800000000001</c:v>
                </c:pt>
                <c:pt idx="192">
                  <c:v>0.26666699999999999</c:v>
                </c:pt>
                <c:pt idx="193">
                  <c:v>0.26805600000000002</c:v>
                </c:pt>
                <c:pt idx="194">
                  <c:v>0.26944400000000002</c:v>
                </c:pt>
                <c:pt idx="195">
                  <c:v>0.27083299999999999</c:v>
                </c:pt>
                <c:pt idx="196">
                  <c:v>0.27222200000000002</c:v>
                </c:pt>
                <c:pt idx="197">
                  <c:v>0.27361099999999999</c:v>
                </c:pt>
                <c:pt idx="198">
                  <c:v>0.27500000000000002</c:v>
                </c:pt>
                <c:pt idx="199">
                  <c:v>0.276389</c:v>
                </c:pt>
                <c:pt idx="200">
                  <c:v>0.27777800000000002</c:v>
                </c:pt>
                <c:pt idx="201">
                  <c:v>0.279167</c:v>
                </c:pt>
                <c:pt idx="202">
                  <c:v>0.28055600000000003</c:v>
                </c:pt>
                <c:pt idx="203">
                  <c:v>0.28194399999999997</c:v>
                </c:pt>
                <c:pt idx="204">
                  <c:v>0.283333</c:v>
                </c:pt>
                <c:pt idx="205">
                  <c:v>0.28472199999999998</c:v>
                </c:pt>
                <c:pt idx="206">
                  <c:v>0.286111</c:v>
                </c:pt>
                <c:pt idx="207">
                  <c:v>0.28749999999999998</c:v>
                </c:pt>
                <c:pt idx="208">
                  <c:v>0.28888900000000001</c:v>
                </c:pt>
                <c:pt idx="209">
                  <c:v>0.29027799999999998</c:v>
                </c:pt>
                <c:pt idx="210">
                  <c:v>0.29166700000000001</c:v>
                </c:pt>
                <c:pt idx="211">
                  <c:v>0.29305599999999998</c:v>
                </c:pt>
                <c:pt idx="212">
                  <c:v>0.29444399999999998</c:v>
                </c:pt>
                <c:pt idx="213">
                  <c:v>0.29583300000000001</c:v>
                </c:pt>
                <c:pt idx="214">
                  <c:v>0.29722199999999999</c:v>
                </c:pt>
                <c:pt idx="215">
                  <c:v>0.29861100000000002</c:v>
                </c:pt>
                <c:pt idx="216">
                  <c:v>0.3</c:v>
                </c:pt>
                <c:pt idx="217">
                  <c:v>0.30138900000000002</c:v>
                </c:pt>
                <c:pt idx="218">
                  <c:v>0.30277799999999999</c:v>
                </c:pt>
                <c:pt idx="219">
                  <c:v>0.30416700000000002</c:v>
                </c:pt>
                <c:pt idx="220">
                  <c:v>0.30555599999999999</c:v>
                </c:pt>
                <c:pt idx="221">
                  <c:v>0.30694399999999999</c:v>
                </c:pt>
                <c:pt idx="222">
                  <c:v>0.30833300000000002</c:v>
                </c:pt>
                <c:pt idx="223">
                  <c:v>0.309722</c:v>
                </c:pt>
                <c:pt idx="224">
                  <c:v>0.31111100000000003</c:v>
                </c:pt>
                <c:pt idx="225">
                  <c:v>0.3125</c:v>
                </c:pt>
                <c:pt idx="226">
                  <c:v>0.31388899999999997</c:v>
                </c:pt>
                <c:pt idx="227">
                  <c:v>0.315278</c:v>
                </c:pt>
                <c:pt idx="228">
                  <c:v>0.31666699999999998</c:v>
                </c:pt>
                <c:pt idx="229">
                  <c:v>0.31805600000000001</c:v>
                </c:pt>
                <c:pt idx="230">
                  <c:v>0.31944400000000001</c:v>
                </c:pt>
                <c:pt idx="231">
                  <c:v>0.32083299999999998</c:v>
                </c:pt>
                <c:pt idx="232">
                  <c:v>0.32222200000000001</c:v>
                </c:pt>
                <c:pt idx="233">
                  <c:v>0.32361099999999998</c:v>
                </c:pt>
                <c:pt idx="234">
                  <c:v>0.32500000000000001</c:v>
                </c:pt>
                <c:pt idx="235">
                  <c:v>0.32638899999999998</c:v>
                </c:pt>
                <c:pt idx="236">
                  <c:v>0.32777800000000001</c:v>
                </c:pt>
                <c:pt idx="237">
                  <c:v>0.32916699999999999</c:v>
                </c:pt>
                <c:pt idx="238">
                  <c:v>0.33055600000000002</c:v>
                </c:pt>
                <c:pt idx="239">
                  <c:v>0.33194400000000002</c:v>
                </c:pt>
                <c:pt idx="240">
                  <c:v>0.33333299999999999</c:v>
                </c:pt>
                <c:pt idx="241">
                  <c:v>0.33472200000000002</c:v>
                </c:pt>
                <c:pt idx="242">
                  <c:v>0.33611099999999999</c:v>
                </c:pt>
                <c:pt idx="243">
                  <c:v>0.33750000000000002</c:v>
                </c:pt>
                <c:pt idx="244">
                  <c:v>0.338889</c:v>
                </c:pt>
                <c:pt idx="245">
                  <c:v>0.34027800000000002</c:v>
                </c:pt>
                <c:pt idx="246">
                  <c:v>0.341667</c:v>
                </c:pt>
                <c:pt idx="247">
                  <c:v>0.34305600000000003</c:v>
                </c:pt>
                <c:pt idx="248">
                  <c:v>0.34444399999999997</c:v>
                </c:pt>
                <c:pt idx="249">
                  <c:v>0.345833</c:v>
                </c:pt>
                <c:pt idx="250">
                  <c:v>0.34722199999999998</c:v>
                </c:pt>
                <c:pt idx="251">
                  <c:v>0.348611</c:v>
                </c:pt>
                <c:pt idx="252">
                  <c:v>0.35</c:v>
                </c:pt>
                <c:pt idx="253">
                  <c:v>0.35138900000000001</c:v>
                </c:pt>
                <c:pt idx="254">
                  <c:v>0.35277799999999998</c:v>
                </c:pt>
                <c:pt idx="255">
                  <c:v>0.35416700000000001</c:v>
                </c:pt>
                <c:pt idx="256">
                  <c:v>0.35555599999999998</c:v>
                </c:pt>
                <c:pt idx="257">
                  <c:v>0.35694399999999998</c:v>
                </c:pt>
                <c:pt idx="258">
                  <c:v>0.35833300000000001</c:v>
                </c:pt>
                <c:pt idx="259">
                  <c:v>0.35972199999999999</c:v>
                </c:pt>
                <c:pt idx="260">
                  <c:v>0.36111100000000002</c:v>
                </c:pt>
                <c:pt idx="261">
                  <c:v>0.36249999999999999</c:v>
                </c:pt>
                <c:pt idx="262">
                  <c:v>0.36388900000000002</c:v>
                </c:pt>
                <c:pt idx="263">
                  <c:v>0.36527799999999999</c:v>
                </c:pt>
                <c:pt idx="264">
                  <c:v>0.36666700000000002</c:v>
                </c:pt>
                <c:pt idx="265">
                  <c:v>0.36805599999999999</c:v>
                </c:pt>
                <c:pt idx="266">
                  <c:v>0.36944399999999999</c:v>
                </c:pt>
                <c:pt idx="267">
                  <c:v>0.37083300000000002</c:v>
                </c:pt>
                <c:pt idx="268">
                  <c:v>0.372222</c:v>
                </c:pt>
                <c:pt idx="269">
                  <c:v>0.37361100000000003</c:v>
                </c:pt>
                <c:pt idx="270">
                  <c:v>0.375</c:v>
                </c:pt>
                <c:pt idx="271">
                  <c:v>0.37638899999999997</c:v>
                </c:pt>
                <c:pt idx="272">
                  <c:v>0.377778</c:v>
                </c:pt>
                <c:pt idx="273">
                  <c:v>0.37916699999999998</c:v>
                </c:pt>
                <c:pt idx="274">
                  <c:v>0.38055600000000001</c:v>
                </c:pt>
                <c:pt idx="275">
                  <c:v>0.38194400000000001</c:v>
                </c:pt>
                <c:pt idx="276">
                  <c:v>0.38333299999999998</c:v>
                </c:pt>
                <c:pt idx="277">
                  <c:v>0.38472200000000001</c:v>
                </c:pt>
                <c:pt idx="278">
                  <c:v>0.38611099999999998</c:v>
                </c:pt>
                <c:pt idx="279">
                  <c:v>0.38750000000000001</c:v>
                </c:pt>
                <c:pt idx="280">
                  <c:v>0.38888899999999998</c:v>
                </c:pt>
                <c:pt idx="281">
                  <c:v>0.39027800000000001</c:v>
                </c:pt>
                <c:pt idx="282">
                  <c:v>0.39166699999999999</c:v>
                </c:pt>
                <c:pt idx="283">
                  <c:v>0.39305600000000002</c:v>
                </c:pt>
                <c:pt idx="284">
                  <c:v>0.39444400000000002</c:v>
                </c:pt>
                <c:pt idx="285">
                  <c:v>0.39583299999999999</c:v>
                </c:pt>
                <c:pt idx="286">
                  <c:v>0.39722200000000002</c:v>
                </c:pt>
                <c:pt idx="287">
                  <c:v>0.39861099999999999</c:v>
                </c:pt>
                <c:pt idx="288">
                  <c:v>0.4</c:v>
                </c:pt>
                <c:pt idx="289">
                  <c:v>0.401389</c:v>
                </c:pt>
                <c:pt idx="290">
                  <c:v>0.40277800000000002</c:v>
                </c:pt>
                <c:pt idx="291">
                  <c:v>0.404167</c:v>
                </c:pt>
                <c:pt idx="292">
                  <c:v>0.40555600000000003</c:v>
                </c:pt>
                <c:pt idx="293">
                  <c:v>0.40694399999999997</c:v>
                </c:pt>
                <c:pt idx="294">
                  <c:v>0.408333</c:v>
                </c:pt>
                <c:pt idx="295">
                  <c:v>0.40972199999999998</c:v>
                </c:pt>
                <c:pt idx="296">
                  <c:v>0.411111</c:v>
                </c:pt>
                <c:pt idx="297">
                  <c:v>0.41249999999999998</c:v>
                </c:pt>
                <c:pt idx="298">
                  <c:v>0.41388900000000001</c:v>
                </c:pt>
                <c:pt idx="299">
                  <c:v>0.41527799999999998</c:v>
                </c:pt>
                <c:pt idx="300">
                  <c:v>0.41666700000000001</c:v>
                </c:pt>
                <c:pt idx="301">
                  <c:v>0.41805599999999998</c:v>
                </c:pt>
                <c:pt idx="302">
                  <c:v>0.41944399999999998</c:v>
                </c:pt>
                <c:pt idx="303">
                  <c:v>0.42083300000000001</c:v>
                </c:pt>
                <c:pt idx="304">
                  <c:v>0.42222199999999999</c:v>
                </c:pt>
                <c:pt idx="305">
                  <c:v>0.42361100000000002</c:v>
                </c:pt>
                <c:pt idx="306">
                  <c:v>0.42499999999999999</c:v>
                </c:pt>
                <c:pt idx="307">
                  <c:v>0.42638900000000002</c:v>
                </c:pt>
                <c:pt idx="308">
                  <c:v>0.42777799999999999</c:v>
                </c:pt>
                <c:pt idx="309">
                  <c:v>0.42916700000000002</c:v>
                </c:pt>
                <c:pt idx="310">
                  <c:v>0.43055599999999999</c:v>
                </c:pt>
                <c:pt idx="311">
                  <c:v>0.43194399999999999</c:v>
                </c:pt>
                <c:pt idx="312">
                  <c:v>0.43333300000000002</c:v>
                </c:pt>
                <c:pt idx="313">
                  <c:v>0.434722</c:v>
                </c:pt>
                <c:pt idx="314">
                  <c:v>0.43611100000000003</c:v>
                </c:pt>
                <c:pt idx="315">
                  <c:v>0.4375</c:v>
                </c:pt>
                <c:pt idx="316">
                  <c:v>0.43888899999999997</c:v>
                </c:pt>
                <c:pt idx="317">
                  <c:v>0.440278</c:v>
                </c:pt>
                <c:pt idx="318">
                  <c:v>0.44166699999999998</c:v>
                </c:pt>
                <c:pt idx="319">
                  <c:v>0.44305600000000001</c:v>
                </c:pt>
                <c:pt idx="320">
                  <c:v>0.44444400000000001</c:v>
                </c:pt>
                <c:pt idx="321">
                  <c:v>0.44583299999999998</c:v>
                </c:pt>
                <c:pt idx="322">
                  <c:v>0.44722200000000001</c:v>
                </c:pt>
                <c:pt idx="323">
                  <c:v>0.44861099999999998</c:v>
                </c:pt>
                <c:pt idx="324">
                  <c:v>0.45</c:v>
                </c:pt>
                <c:pt idx="325">
                  <c:v>0.45138899999999998</c:v>
                </c:pt>
                <c:pt idx="326">
                  <c:v>0.45277800000000001</c:v>
                </c:pt>
                <c:pt idx="327">
                  <c:v>0.45416699999999999</c:v>
                </c:pt>
                <c:pt idx="328">
                  <c:v>0.45555600000000002</c:v>
                </c:pt>
                <c:pt idx="329">
                  <c:v>0.45694400000000002</c:v>
                </c:pt>
                <c:pt idx="330">
                  <c:v>0.45833299999999999</c:v>
                </c:pt>
                <c:pt idx="331">
                  <c:v>0.45972200000000002</c:v>
                </c:pt>
                <c:pt idx="332">
                  <c:v>0.46111099999999999</c:v>
                </c:pt>
                <c:pt idx="333">
                  <c:v>0.46250000000000002</c:v>
                </c:pt>
                <c:pt idx="334">
                  <c:v>0.463889</c:v>
                </c:pt>
                <c:pt idx="335">
                  <c:v>0.46527800000000002</c:v>
                </c:pt>
                <c:pt idx="336">
                  <c:v>0.466667</c:v>
                </c:pt>
                <c:pt idx="337">
                  <c:v>0.46805600000000003</c:v>
                </c:pt>
                <c:pt idx="338">
                  <c:v>0.46944399999999997</c:v>
                </c:pt>
                <c:pt idx="339">
                  <c:v>0.470833</c:v>
                </c:pt>
                <c:pt idx="340">
                  <c:v>0.47222199999999998</c:v>
                </c:pt>
                <c:pt idx="341">
                  <c:v>0.473611</c:v>
                </c:pt>
                <c:pt idx="342">
                  <c:v>0.47499999999999998</c:v>
                </c:pt>
                <c:pt idx="343">
                  <c:v>0.47638900000000001</c:v>
                </c:pt>
                <c:pt idx="344">
                  <c:v>0.47777799999999998</c:v>
                </c:pt>
                <c:pt idx="345">
                  <c:v>0.47916700000000001</c:v>
                </c:pt>
                <c:pt idx="346">
                  <c:v>0.48055599999999998</c:v>
                </c:pt>
                <c:pt idx="347">
                  <c:v>0.48194399999999998</c:v>
                </c:pt>
                <c:pt idx="348">
                  <c:v>0.48333300000000001</c:v>
                </c:pt>
                <c:pt idx="349">
                  <c:v>0.48472199999999999</c:v>
                </c:pt>
                <c:pt idx="350">
                  <c:v>0.48611100000000002</c:v>
                </c:pt>
                <c:pt idx="351">
                  <c:v>0.48749999999999999</c:v>
                </c:pt>
                <c:pt idx="352">
                  <c:v>0.48888900000000002</c:v>
                </c:pt>
                <c:pt idx="353">
                  <c:v>0.49027799999999999</c:v>
                </c:pt>
                <c:pt idx="354">
                  <c:v>0.49166700000000002</c:v>
                </c:pt>
                <c:pt idx="355">
                  <c:v>0.49305599999999999</c:v>
                </c:pt>
                <c:pt idx="356">
                  <c:v>0.49444399999999999</c:v>
                </c:pt>
                <c:pt idx="357">
                  <c:v>0.49583300000000002</c:v>
                </c:pt>
                <c:pt idx="358">
                  <c:v>0.497222</c:v>
                </c:pt>
                <c:pt idx="359">
                  <c:v>0.49861100000000003</c:v>
                </c:pt>
                <c:pt idx="360">
                  <c:v>0.5</c:v>
                </c:pt>
                <c:pt idx="361">
                  <c:v>0.50138899999999997</c:v>
                </c:pt>
                <c:pt idx="362">
                  <c:v>0.50277799999999995</c:v>
                </c:pt>
                <c:pt idx="363">
                  <c:v>0.50416700000000003</c:v>
                </c:pt>
                <c:pt idx="364">
                  <c:v>0.50555600000000001</c:v>
                </c:pt>
                <c:pt idx="365">
                  <c:v>0.50694399999999995</c:v>
                </c:pt>
                <c:pt idx="366">
                  <c:v>0.50833300000000003</c:v>
                </c:pt>
                <c:pt idx="367">
                  <c:v>0.50972200000000001</c:v>
                </c:pt>
                <c:pt idx="368">
                  <c:v>0.51111099999999998</c:v>
                </c:pt>
                <c:pt idx="369">
                  <c:v>0.51249999999999996</c:v>
                </c:pt>
                <c:pt idx="370">
                  <c:v>0.51388900000000004</c:v>
                </c:pt>
                <c:pt idx="371">
                  <c:v>0.51527800000000001</c:v>
                </c:pt>
                <c:pt idx="372">
                  <c:v>0.51666699999999999</c:v>
                </c:pt>
                <c:pt idx="373">
                  <c:v>0.51805599999999996</c:v>
                </c:pt>
                <c:pt idx="374">
                  <c:v>0.51944400000000002</c:v>
                </c:pt>
                <c:pt idx="375">
                  <c:v>0.52083299999999999</c:v>
                </c:pt>
                <c:pt idx="376">
                  <c:v>0.52222199999999996</c:v>
                </c:pt>
                <c:pt idx="377">
                  <c:v>0.52361100000000005</c:v>
                </c:pt>
                <c:pt idx="378">
                  <c:v>0.52500000000000002</c:v>
                </c:pt>
                <c:pt idx="379">
                  <c:v>0.526389</c:v>
                </c:pt>
                <c:pt idx="380">
                  <c:v>0.52777799999999997</c:v>
                </c:pt>
                <c:pt idx="381">
                  <c:v>0.52916700000000005</c:v>
                </c:pt>
                <c:pt idx="382">
                  <c:v>0.53055600000000003</c:v>
                </c:pt>
                <c:pt idx="383">
                  <c:v>0.53194399999999997</c:v>
                </c:pt>
                <c:pt idx="384">
                  <c:v>0.53333299999999995</c:v>
                </c:pt>
                <c:pt idx="385">
                  <c:v>0.53472200000000003</c:v>
                </c:pt>
                <c:pt idx="386">
                  <c:v>0.536111</c:v>
                </c:pt>
                <c:pt idx="387">
                  <c:v>0.53749999999999998</c:v>
                </c:pt>
                <c:pt idx="388">
                  <c:v>0.53888899999999995</c:v>
                </c:pt>
                <c:pt idx="389">
                  <c:v>0.54027800000000004</c:v>
                </c:pt>
                <c:pt idx="390">
                  <c:v>0.54166700000000001</c:v>
                </c:pt>
                <c:pt idx="391">
                  <c:v>0.54305599999999998</c:v>
                </c:pt>
                <c:pt idx="392">
                  <c:v>0.54444400000000004</c:v>
                </c:pt>
                <c:pt idx="393">
                  <c:v>0.54583300000000001</c:v>
                </c:pt>
                <c:pt idx="394">
                  <c:v>0.54722199999999999</c:v>
                </c:pt>
                <c:pt idx="395">
                  <c:v>0.54861099999999996</c:v>
                </c:pt>
                <c:pt idx="396">
                  <c:v>0.55000000000000004</c:v>
                </c:pt>
                <c:pt idx="397">
                  <c:v>0.55138900000000002</c:v>
                </c:pt>
                <c:pt idx="398">
                  <c:v>0.55277799999999999</c:v>
                </c:pt>
                <c:pt idx="399">
                  <c:v>0.55416699999999997</c:v>
                </c:pt>
                <c:pt idx="400">
                  <c:v>0.55555600000000005</c:v>
                </c:pt>
                <c:pt idx="401">
                  <c:v>0.55694399999999999</c:v>
                </c:pt>
                <c:pt idx="402">
                  <c:v>0.55833299999999997</c:v>
                </c:pt>
                <c:pt idx="403">
                  <c:v>0.55972200000000005</c:v>
                </c:pt>
                <c:pt idx="404">
                  <c:v>0.56111100000000003</c:v>
                </c:pt>
                <c:pt idx="405">
                  <c:v>0.5625</c:v>
                </c:pt>
                <c:pt idx="406">
                  <c:v>0.56388899999999997</c:v>
                </c:pt>
                <c:pt idx="407">
                  <c:v>0.56527799999999995</c:v>
                </c:pt>
                <c:pt idx="408">
                  <c:v>0.56666700000000003</c:v>
                </c:pt>
                <c:pt idx="409">
                  <c:v>0.56805600000000001</c:v>
                </c:pt>
                <c:pt idx="410">
                  <c:v>0.56944399999999995</c:v>
                </c:pt>
                <c:pt idx="411">
                  <c:v>0.57083300000000003</c:v>
                </c:pt>
                <c:pt idx="412">
                  <c:v>0.57222200000000001</c:v>
                </c:pt>
                <c:pt idx="413">
                  <c:v>0.57361099999999998</c:v>
                </c:pt>
                <c:pt idx="414">
                  <c:v>0.57499999999999996</c:v>
                </c:pt>
                <c:pt idx="415">
                  <c:v>0.57638900000000004</c:v>
                </c:pt>
                <c:pt idx="416">
                  <c:v>0.57777800000000001</c:v>
                </c:pt>
                <c:pt idx="417">
                  <c:v>0.57916699999999999</c:v>
                </c:pt>
                <c:pt idx="418">
                  <c:v>0.58055599999999996</c:v>
                </c:pt>
                <c:pt idx="419">
                  <c:v>0.58194400000000002</c:v>
                </c:pt>
                <c:pt idx="420">
                  <c:v>0.58333299999999999</c:v>
                </c:pt>
                <c:pt idx="421">
                  <c:v>0.58472199999999996</c:v>
                </c:pt>
                <c:pt idx="422">
                  <c:v>0.58611100000000005</c:v>
                </c:pt>
                <c:pt idx="423">
                  <c:v>0.58750000000000002</c:v>
                </c:pt>
                <c:pt idx="424">
                  <c:v>0.588889</c:v>
                </c:pt>
                <c:pt idx="425">
                  <c:v>0.59027799999999997</c:v>
                </c:pt>
                <c:pt idx="426">
                  <c:v>0.59166700000000005</c:v>
                </c:pt>
                <c:pt idx="427">
                  <c:v>0.59305600000000003</c:v>
                </c:pt>
                <c:pt idx="428">
                  <c:v>0.59444399999999997</c:v>
                </c:pt>
                <c:pt idx="429">
                  <c:v>0.59583299999999995</c:v>
                </c:pt>
                <c:pt idx="430">
                  <c:v>0.59722200000000003</c:v>
                </c:pt>
                <c:pt idx="431">
                  <c:v>0.598611</c:v>
                </c:pt>
                <c:pt idx="432">
                  <c:v>0.6</c:v>
                </c:pt>
                <c:pt idx="433">
                  <c:v>0.60138899999999995</c:v>
                </c:pt>
                <c:pt idx="434">
                  <c:v>0.60277800000000004</c:v>
                </c:pt>
                <c:pt idx="435">
                  <c:v>0.60416700000000001</c:v>
                </c:pt>
                <c:pt idx="436">
                  <c:v>0.60555599999999998</c:v>
                </c:pt>
                <c:pt idx="437">
                  <c:v>0.60694400000000004</c:v>
                </c:pt>
                <c:pt idx="438">
                  <c:v>0.60833300000000001</c:v>
                </c:pt>
                <c:pt idx="439">
                  <c:v>0.60972199999999999</c:v>
                </c:pt>
                <c:pt idx="440">
                  <c:v>0.61111099999999996</c:v>
                </c:pt>
                <c:pt idx="441">
                  <c:v>0.61250000000000004</c:v>
                </c:pt>
                <c:pt idx="442">
                  <c:v>0.61388900000000002</c:v>
                </c:pt>
                <c:pt idx="443">
                  <c:v>0.61527799999999999</c:v>
                </c:pt>
                <c:pt idx="444">
                  <c:v>0.61666699999999997</c:v>
                </c:pt>
                <c:pt idx="445">
                  <c:v>0.61805600000000005</c:v>
                </c:pt>
                <c:pt idx="446">
                  <c:v>0.61944399999999999</c:v>
                </c:pt>
                <c:pt idx="447">
                  <c:v>0.62083299999999997</c:v>
                </c:pt>
                <c:pt idx="448">
                  <c:v>0.62222200000000005</c:v>
                </c:pt>
                <c:pt idx="449">
                  <c:v>0.62361100000000003</c:v>
                </c:pt>
                <c:pt idx="450">
                  <c:v>0.625</c:v>
                </c:pt>
                <c:pt idx="451">
                  <c:v>0.62638899999999997</c:v>
                </c:pt>
                <c:pt idx="452">
                  <c:v>0.62777799999999995</c:v>
                </c:pt>
                <c:pt idx="453">
                  <c:v>0.62916700000000003</c:v>
                </c:pt>
                <c:pt idx="454">
                  <c:v>0.63055600000000001</c:v>
                </c:pt>
                <c:pt idx="455">
                  <c:v>0.63194399999999995</c:v>
                </c:pt>
                <c:pt idx="456">
                  <c:v>0.63333300000000003</c:v>
                </c:pt>
                <c:pt idx="457">
                  <c:v>0.63472200000000001</c:v>
                </c:pt>
                <c:pt idx="458">
                  <c:v>0.63611099999999998</c:v>
                </c:pt>
                <c:pt idx="459">
                  <c:v>0.63749999999999996</c:v>
                </c:pt>
                <c:pt idx="460">
                  <c:v>0.63888900000000004</c:v>
                </c:pt>
                <c:pt idx="461">
                  <c:v>0.64027800000000001</c:v>
                </c:pt>
                <c:pt idx="462">
                  <c:v>0.64166699999999999</c:v>
                </c:pt>
                <c:pt idx="463">
                  <c:v>0.64305599999999996</c:v>
                </c:pt>
                <c:pt idx="464">
                  <c:v>0.64444400000000002</c:v>
                </c:pt>
                <c:pt idx="465">
                  <c:v>0.64583299999999999</c:v>
                </c:pt>
                <c:pt idx="466">
                  <c:v>0.64722199999999996</c:v>
                </c:pt>
                <c:pt idx="467">
                  <c:v>0.64861100000000005</c:v>
                </c:pt>
                <c:pt idx="468">
                  <c:v>0.65</c:v>
                </c:pt>
                <c:pt idx="469">
                  <c:v>0.651389</c:v>
                </c:pt>
                <c:pt idx="470">
                  <c:v>0.65277799999999997</c:v>
                </c:pt>
                <c:pt idx="471">
                  <c:v>0.65416700000000005</c:v>
                </c:pt>
                <c:pt idx="472">
                  <c:v>0.65555600000000003</c:v>
                </c:pt>
                <c:pt idx="473">
                  <c:v>0.65694399999999997</c:v>
                </c:pt>
                <c:pt idx="474">
                  <c:v>0.65833299999999995</c:v>
                </c:pt>
                <c:pt idx="475">
                  <c:v>0.65972200000000003</c:v>
                </c:pt>
                <c:pt idx="476">
                  <c:v>0.661111</c:v>
                </c:pt>
                <c:pt idx="477">
                  <c:v>0.66249999999999998</c:v>
                </c:pt>
                <c:pt idx="478">
                  <c:v>0.66388899999999995</c:v>
                </c:pt>
                <c:pt idx="479">
                  <c:v>0.66527800000000004</c:v>
                </c:pt>
                <c:pt idx="480">
                  <c:v>0.66666700000000001</c:v>
                </c:pt>
                <c:pt idx="481">
                  <c:v>0.66805599999999998</c:v>
                </c:pt>
                <c:pt idx="482">
                  <c:v>0.66944400000000004</c:v>
                </c:pt>
                <c:pt idx="483">
                  <c:v>0.67083300000000001</c:v>
                </c:pt>
                <c:pt idx="484">
                  <c:v>0.67222199999999999</c:v>
                </c:pt>
                <c:pt idx="485">
                  <c:v>0.67361099999999996</c:v>
                </c:pt>
                <c:pt idx="486">
                  <c:v>0.67500000000000004</c:v>
                </c:pt>
                <c:pt idx="487">
                  <c:v>0.67638900000000002</c:v>
                </c:pt>
                <c:pt idx="488">
                  <c:v>0.67777799999999999</c:v>
                </c:pt>
                <c:pt idx="489">
                  <c:v>0.67916699999999997</c:v>
                </c:pt>
                <c:pt idx="490">
                  <c:v>0.68055600000000005</c:v>
                </c:pt>
                <c:pt idx="491">
                  <c:v>0.68194399999999999</c:v>
                </c:pt>
                <c:pt idx="492">
                  <c:v>0.68333299999999997</c:v>
                </c:pt>
                <c:pt idx="493">
                  <c:v>0.68472200000000005</c:v>
                </c:pt>
                <c:pt idx="494">
                  <c:v>0.68611100000000003</c:v>
                </c:pt>
                <c:pt idx="495">
                  <c:v>0.6875</c:v>
                </c:pt>
                <c:pt idx="496">
                  <c:v>0.68888899999999997</c:v>
                </c:pt>
                <c:pt idx="497">
                  <c:v>0.69027799999999995</c:v>
                </c:pt>
                <c:pt idx="498">
                  <c:v>0.69166700000000003</c:v>
                </c:pt>
                <c:pt idx="499">
                  <c:v>0.69305600000000001</c:v>
                </c:pt>
                <c:pt idx="500">
                  <c:v>0.69444399999999995</c:v>
                </c:pt>
                <c:pt idx="501">
                  <c:v>0.69583300000000003</c:v>
                </c:pt>
                <c:pt idx="502">
                  <c:v>0.69722200000000001</c:v>
                </c:pt>
                <c:pt idx="503">
                  <c:v>0.69861099999999998</c:v>
                </c:pt>
                <c:pt idx="504">
                  <c:v>0.7</c:v>
                </c:pt>
                <c:pt idx="505">
                  <c:v>0.70138900000000004</c:v>
                </c:pt>
                <c:pt idx="506">
                  <c:v>0.70277800000000001</c:v>
                </c:pt>
                <c:pt idx="507">
                  <c:v>0.70416699999999999</c:v>
                </c:pt>
                <c:pt idx="508">
                  <c:v>0.70555599999999996</c:v>
                </c:pt>
                <c:pt idx="509">
                  <c:v>0.70694400000000002</c:v>
                </c:pt>
                <c:pt idx="510">
                  <c:v>0.70833299999999999</c:v>
                </c:pt>
                <c:pt idx="511">
                  <c:v>0.70972199999999996</c:v>
                </c:pt>
                <c:pt idx="512">
                  <c:v>0.71111100000000005</c:v>
                </c:pt>
                <c:pt idx="513">
                  <c:v>0.71250000000000002</c:v>
                </c:pt>
                <c:pt idx="514">
                  <c:v>0.713889</c:v>
                </c:pt>
                <c:pt idx="515">
                  <c:v>0.71527799999999997</c:v>
                </c:pt>
                <c:pt idx="516">
                  <c:v>0.71666700000000005</c:v>
                </c:pt>
                <c:pt idx="517">
                  <c:v>0.71805600000000003</c:v>
                </c:pt>
                <c:pt idx="518">
                  <c:v>0.71944399999999997</c:v>
                </c:pt>
                <c:pt idx="519">
                  <c:v>0.72083299999999995</c:v>
                </c:pt>
                <c:pt idx="520">
                  <c:v>0.72222200000000003</c:v>
                </c:pt>
                <c:pt idx="521">
                  <c:v>0.723611</c:v>
                </c:pt>
                <c:pt idx="522">
                  <c:v>0.72499999999999998</c:v>
                </c:pt>
                <c:pt idx="523">
                  <c:v>0.72638899999999995</c:v>
                </c:pt>
                <c:pt idx="524">
                  <c:v>0.72777800000000004</c:v>
                </c:pt>
                <c:pt idx="525">
                  <c:v>0.72916700000000001</c:v>
                </c:pt>
                <c:pt idx="526">
                  <c:v>0.73055599999999998</c:v>
                </c:pt>
                <c:pt idx="527">
                  <c:v>0.73194400000000004</c:v>
                </c:pt>
                <c:pt idx="528">
                  <c:v>0.73333300000000001</c:v>
                </c:pt>
                <c:pt idx="529">
                  <c:v>0.73472199999999999</c:v>
                </c:pt>
                <c:pt idx="530">
                  <c:v>0.73611099999999996</c:v>
                </c:pt>
                <c:pt idx="531">
                  <c:v>0.73750000000000004</c:v>
                </c:pt>
                <c:pt idx="532">
                  <c:v>0.73888900000000002</c:v>
                </c:pt>
                <c:pt idx="533">
                  <c:v>0.74027799999999999</c:v>
                </c:pt>
                <c:pt idx="534">
                  <c:v>0.74166699999999997</c:v>
                </c:pt>
                <c:pt idx="535">
                  <c:v>0.74305600000000005</c:v>
                </c:pt>
                <c:pt idx="536">
                  <c:v>0.74444399999999999</c:v>
                </c:pt>
                <c:pt idx="537">
                  <c:v>0.74583299999999997</c:v>
                </c:pt>
                <c:pt idx="538">
                  <c:v>0.74722200000000005</c:v>
                </c:pt>
                <c:pt idx="539">
                  <c:v>0.74861100000000003</c:v>
                </c:pt>
                <c:pt idx="540">
                  <c:v>0.75</c:v>
                </c:pt>
                <c:pt idx="541">
                  <c:v>0.75138899999999997</c:v>
                </c:pt>
                <c:pt idx="542">
                  <c:v>0.75277799999999995</c:v>
                </c:pt>
                <c:pt idx="543">
                  <c:v>0.75416700000000003</c:v>
                </c:pt>
                <c:pt idx="544">
                  <c:v>0.75555600000000001</c:v>
                </c:pt>
                <c:pt idx="545">
                  <c:v>0.75694399999999995</c:v>
                </c:pt>
                <c:pt idx="546">
                  <c:v>0.75833300000000003</c:v>
                </c:pt>
                <c:pt idx="547">
                  <c:v>0.75972200000000001</c:v>
                </c:pt>
                <c:pt idx="548">
                  <c:v>0.76111099999999998</c:v>
                </c:pt>
                <c:pt idx="549">
                  <c:v>0.76249999999999996</c:v>
                </c:pt>
                <c:pt idx="550">
                  <c:v>0.76388900000000004</c:v>
                </c:pt>
                <c:pt idx="551">
                  <c:v>0.76527800000000001</c:v>
                </c:pt>
                <c:pt idx="552">
                  <c:v>0.76666699999999999</c:v>
                </c:pt>
                <c:pt idx="553">
                  <c:v>0.76805599999999996</c:v>
                </c:pt>
                <c:pt idx="554">
                  <c:v>0.76944400000000002</c:v>
                </c:pt>
                <c:pt idx="555">
                  <c:v>0.77083299999999999</c:v>
                </c:pt>
                <c:pt idx="556">
                  <c:v>0.77222199999999996</c:v>
                </c:pt>
                <c:pt idx="557">
                  <c:v>0.77361100000000005</c:v>
                </c:pt>
                <c:pt idx="558">
                  <c:v>0.77500000000000002</c:v>
                </c:pt>
                <c:pt idx="559">
                  <c:v>0.776389</c:v>
                </c:pt>
                <c:pt idx="560">
                  <c:v>0.77777799999999997</c:v>
                </c:pt>
                <c:pt idx="561">
                  <c:v>0.77916700000000005</c:v>
                </c:pt>
                <c:pt idx="562">
                  <c:v>0.78055600000000003</c:v>
                </c:pt>
                <c:pt idx="563">
                  <c:v>0.78194399999999997</c:v>
                </c:pt>
                <c:pt idx="564">
                  <c:v>0.78333299999999995</c:v>
                </c:pt>
                <c:pt idx="565">
                  <c:v>0.78472200000000003</c:v>
                </c:pt>
                <c:pt idx="566">
                  <c:v>0.786111</c:v>
                </c:pt>
                <c:pt idx="567">
                  <c:v>0.78749999999999998</c:v>
                </c:pt>
                <c:pt idx="568">
                  <c:v>0.78888899999999995</c:v>
                </c:pt>
                <c:pt idx="569">
                  <c:v>0.79027800000000004</c:v>
                </c:pt>
                <c:pt idx="570">
                  <c:v>0.79166700000000001</c:v>
                </c:pt>
                <c:pt idx="571">
                  <c:v>0.79305599999999998</c:v>
                </c:pt>
                <c:pt idx="572">
                  <c:v>0.79444400000000004</c:v>
                </c:pt>
                <c:pt idx="573">
                  <c:v>0.79583300000000001</c:v>
                </c:pt>
                <c:pt idx="574">
                  <c:v>0.79722199999999999</c:v>
                </c:pt>
                <c:pt idx="575">
                  <c:v>0.79861099999999996</c:v>
                </c:pt>
                <c:pt idx="576">
                  <c:v>0.8</c:v>
                </c:pt>
                <c:pt idx="577">
                  <c:v>0.80138900000000002</c:v>
                </c:pt>
                <c:pt idx="578">
                  <c:v>0.80277799999999999</c:v>
                </c:pt>
                <c:pt idx="579">
                  <c:v>0.80416699999999997</c:v>
                </c:pt>
                <c:pt idx="580">
                  <c:v>0.80555600000000005</c:v>
                </c:pt>
                <c:pt idx="581">
                  <c:v>0.80694399999999999</c:v>
                </c:pt>
                <c:pt idx="582">
                  <c:v>0.80833299999999997</c:v>
                </c:pt>
                <c:pt idx="583">
                  <c:v>0.80972200000000005</c:v>
                </c:pt>
                <c:pt idx="584">
                  <c:v>0.81111100000000003</c:v>
                </c:pt>
                <c:pt idx="585">
                  <c:v>0.8125</c:v>
                </c:pt>
                <c:pt idx="586">
                  <c:v>0.81388899999999997</c:v>
                </c:pt>
                <c:pt idx="587">
                  <c:v>0.81527799999999995</c:v>
                </c:pt>
                <c:pt idx="588">
                  <c:v>0.81666700000000003</c:v>
                </c:pt>
                <c:pt idx="589">
                  <c:v>0.81805600000000001</c:v>
                </c:pt>
                <c:pt idx="590">
                  <c:v>0.81944399999999995</c:v>
                </c:pt>
                <c:pt idx="591">
                  <c:v>0.82083300000000003</c:v>
                </c:pt>
                <c:pt idx="592">
                  <c:v>0.82222200000000001</c:v>
                </c:pt>
                <c:pt idx="593">
                  <c:v>0.82361099999999998</c:v>
                </c:pt>
                <c:pt idx="594">
                  <c:v>0.82499999999999996</c:v>
                </c:pt>
                <c:pt idx="595">
                  <c:v>0.82638900000000004</c:v>
                </c:pt>
                <c:pt idx="596">
                  <c:v>0.82777800000000001</c:v>
                </c:pt>
                <c:pt idx="597">
                  <c:v>0.82916699999999999</c:v>
                </c:pt>
                <c:pt idx="598">
                  <c:v>0.83055599999999996</c:v>
                </c:pt>
                <c:pt idx="599">
                  <c:v>0.83194400000000002</c:v>
                </c:pt>
                <c:pt idx="600">
                  <c:v>0.83333299999999999</c:v>
                </c:pt>
                <c:pt idx="601">
                  <c:v>0.83472199999999996</c:v>
                </c:pt>
                <c:pt idx="602">
                  <c:v>0.83611100000000005</c:v>
                </c:pt>
                <c:pt idx="603">
                  <c:v>0.83750000000000002</c:v>
                </c:pt>
                <c:pt idx="604">
                  <c:v>0.838889</c:v>
                </c:pt>
                <c:pt idx="605">
                  <c:v>0.84027799999999997</c:v>
                </c:pt>
                <c:pt idx="606">
                  <c:v>0.84166700000000005</c:v>
                </c:pt>
                <c:pt idx="607">
                  <c:v>0.84305600000000003</c:v>
                </c:pt>
                <c:pt idx="608">
                  <c:v>0.84444399999999997</c:v>
                </c:pt>
                <c:pt idx="609">
                  <c:v>0.84583299999999995</c:v>
                </c:pt>
                <c:pt idx="610">
                  <c:v>0.84722200000000003</c:v>
                </c:pt>
                <c:pt idx="611">
                  <c:v>0.848611</c:v>
                </c:pt>
                <c:pt idx="612">
                  <c:v>0.85</c:v>
                </c:pt>
                <c:pt idx="613">
                  <c:v>0.85138899999999995</c:v>
                </c:pt>
                <c:pt idx="614">
                  <c:v>0.85277800000000004</c:v>
                </c:pt>
                <c:pt idx="615">
                  <c:v>0.85416700000000001</c:v>
                </c:pt>
                <c:pt idx="616">
                  <c:v>0.85555599999999998</c:v>
                </c:pt>
                <c:pt idx="617">
                  <c:v>0.85694400000000004</c:v>
                </c:pt>
                <c:pt idx="618">
                  <c:v>0.85833300000000001</c:v>
                </c:pt>
                <c:pt idx="619">
                  <c:v>0.85972199999999999</c:v>
                </c:pt>
                <c:pt idx="620">
                  <c:v>0.86111099999999996</c:v>
                </c:pt>
                <c:pt idx="621">
                  <c:v>0.86250000000000004</c:v>
                </c:pt>
                <c:pt idx="622">
                  <c:v>0.86388900000000002</c:v>
                </c:pt>
                <c:pt idx="623">
                  <c:v>0.86527799999999999</c:v>
                </c:pt>
                <c:pt idx="624">
                  <c:v>0.86666699999999997</c:v>
                </c:pt>
                <c:pt idx="625">
                  <c:v>0.86805600000000005</c:v>
                </c:pt>
                <c:pt idx="626">
                  <c:v>0.86944399999999999</c:v>
                </c:pt>
                <c:pt idx="627">
                  <c:v>0.87083299999999997</c:v>
                </c:pt>
                <c:pt idx="628">
                  <c:v>0.87222200000000005</c:v>
                </c:pt>
                <c:pt idx="629">
                  <c:v>0.87361100000000003</c:v>
                </c:pt>
                <c:pt idx="630">
                  <c:v>0.875</c:v>
                </c:pt>
                <c:pt idx="631">
                  <c:v>0.87638899999999997</c:v>
                </c:pt>
                <c:pt idx="632">
                  <c:v>0.87777799999999995</c:v>
                </c:pt>
                <c:pt idx="633">
                  <c:v>0.87916700000000003</c:v>
                </c:pt>
                <c:pt idx="634">
                  <c:v>0.88055600000000001</c:v>
                </c:pt>
                <c:pt idx="635">
                  <c:v>0.88194399999999995</c:v>
                </c:pt>
                <c:pt idx="636">
                  <c:v>0.88333300000000003</c:v>
                </c:pt>
                <c:pt idx="637">
                  <c:v>0.88472200000000001</c:v>
                </c:pt>
                <c:pt idx="638">
                  <c:v>0.88611099999999998</c:v>
                </c:pt>
                <c:pt idx="639">
                  <c:v>0.88749999999999996</c:v>
                </c:pt>
                <c:pt idx="640">
                  <c:v>0.88888900000000004</c:v>
                </c:pt>
                <c:pt idx="641">
                  <c:v>0.89027800000000001</c:v>
                </c:pt>
                <c:pt idx="642">
                  <c:v>0.89166699999999999</c:v>
                </c:pt>
                <c:pt idx="643">
                  <c:v>0.89305599999999996</c:v>
                </c:pt>
                <c:pt idx="644">
                  <c:v>0.89444400000000002</c:v>
                </c:pt>
                <c:pt idx="645">
                  <c:v>0.89583299999999999</c:v>
                </c:pt>
                <c:pt idx="646">
                  <c:v>0.89722199999999996</c:v>
                </c:pt>
                <c:pt idx="647">
                  <c:v>0.89861100000000005</c:v>
                </c:pt>
                <c:pt idx="648">
                  <c:v>0.9</c:v>
                </c:pt>
                <c:pt idx="649">
                  <c:v>0.901389</c:v>
                </c:pt>
                <c:pt idx="650">
                  <c:v>0.90277799999999997</c:v>
                </c:pt>
                <c:pt idx="651">
                  <c:v>0.90416700000000005</c:v>
                </c:pt>
                <c:pt idx="652">
                  <c:v>0.90555600000000003</c:v>
                </c:pt>
                <c:pt idx="653">
                  <c:v>0.90694399999999997</c:v>
                </c:pt>
                <c:pt idx="654">
                  <c:v>0.90833299999999995</c:v>
                </c:pt>
                <c:pt idx="655">
                  <c:v>0.90972200000000003</c:v>
                </c:pt>
                <c:pt idx="656">
                  <c:v>0.911111</c:v>
                </c:pt>
                <c:pt idx="657">
                  <c:v>0.91249999999999998</c:v>
                </c:pt>
                <c:pt idx="658">
                  <c:v>0.91388899999999995</c:v>
                </c:pt>
                <c:pt idx="659">
                  <c:v>0.91527800000000004</c:v>
                </c:pt>
                <c:pt idx="660">
                  <c:v>0.91666700000000001</c:v>
                </c:pt>
                <c:pt idx="661">
                  <c:v>0.91805599999999998</c:v>
                </c:pt>
                <c:pt idx="662">
                  <c:v>0.91944400000000004</c:v>
                </c:pt>
                <c:pt idx="663">
                  <c:v>0.92083300000000001</c:v>
                </c:pt>
                <c:pt idx="664">
                  <c:v>0.92222199999999999</c:v>
                </c:pt>
                <c:pt idx="665">
                  <c:v>0.92361099999999996</c:v>
                </c:pt>
                <c:pt idx="666">
                  <c:v>0.92500000000000004</c:v>
                </c:pt>
                <c:pt idx="667">
                  <c:v>0.92638900000000002</c:v>
                </c:pt>
                <c:pt idx="668">
                  <c:v>0.92777799999999999</c:v>
                </c:pt>
                <c:pt idx="669">
                  <c:v>0.92916699999999997</c:v>
                </c:pt>
                <c:pt idx="670">
                  <c:v>0.93055600000000005</c:v>
                </c:pt>
                <c:pt idx="671">
                  <c:v>0.93194399999999999</c:v>
                </c:pt>
                <c:pt idx="672">
                  <c:v>0.93333299999999997</c:v>
                </c:pt>
                <c:pt idx="673">
                  <c:v>0.93472200000000005</c:v>
                </c:pt>
                <c:pt idx="674">
                  <c:v>0.93611100000000003</c:v>
                </c:pt>
                <c:pt idx="675">
                  <c:v>0.9375</c:v>
                </c:pt>
                <c:pt idx="676">
                  <c:v>0.93888899999999997</c:v>
                </c:pt>
                <c:pt idx="677">
                  <c:v>0.94027799999999995</c:v>
                </c:pt>
                <c:pt idx="678">
                  <c:v>0.94166700000000003</c:v>
                </c:pt>
                <c:pt idx="679">
                  <c:v>0.94305600000000001</c:v>
                </c:pt>
                <c:pt idx="680">
                  <c:v>0.94444399999999995</c:v>
                </c:pt>
                <c:pt idx="681">
                  <c:v>0.94583300000000003</c:v>
                </c:pt>
                <c:pt idx="682">
                  <c:v>0.94722200000000001</c:v>
                </c:pt>
                <c:pt idx="683">
                  <c:v>0.94861099999999998</c:v>
                </c:pt>
                <c:pt idx="684">
                  <c:v>0.95</c:v>
                </c:pt>
                <c:pt idx="685">
                  <c:v>0.95138900000000004</c:v>
                </c:pt>
                <c:pt idx="686">
                  <c:v>0.95277800000000001</c:v>
                </c:pt>
                <c:pt idx="687">
                  <c:v>0.95416699999999999</c:v>
                </c:pt>
                <c:pt idx="688">
                  <c:v>0.95555599999999996</c:v>
                </c:pt>
                <c:pt idx="689">
                  <c:v>0.95694400000000002</c:v>
                </c:pt>
                <c:pt idx="690">
                  <c:v>0.95833299999999999</c:v>
                </c:pt>
                <c:pt idx="691">
                  <c:v>0.95972199999999996</c:v>
                </c:pt>
                <c:pt idx="692">
                  <c:v>0.96111100000000005</c:v>
                </c:pt>
                <c:pt idx="693">
                  <c:v>0.96250000000000002</c:v>
                </c:pt>
                <c:pt idx="694">
                  <c:v>0.963889</c:v>
                </c:pt>
                <c:pt idx="695">
                  <c:v>0.96527799999999997</c:v>
                </c:pt>
                <c:pt idx="696">
                  <c:v>0.96666700000000005</c:v>
                </c:pt>
                <c:pt idx="697">
                  <c:v>0.96805600000000003</c:v>
                </c:pt>
                <c:pt idx="698">
                  <c:v>0.96944399999999997</c:v>
                </c:pt>
                <c:pt idx="699">
                  <c:v>0.97083299999999995</c:v>
                </c:pt>
                <c:pt idx="700">
                  <c:v>0.97222200000000003</c:v>
                </c:pt>
                <c:pt idx="701">
                  <c:v>0.973611</c:v>
                </c:pt>
                <c:pt idx="702">
                  <c:v>0.97499999999999998</c:v>
                </c:pt>
                <c:pt idx="703">
                  <c:v>0.97638899999999995</c:v>
                </c:pt>
                <c:pt idx="704">
                  <c:v>0.97777800000000004</c:v>
                </c:pt>
                <c:pt idx="705">
                  <c:v>0.97916700000000001</c:v>
                </c:pt>
                <c:pt idx="706">
                  <c:v>0.98055599999999998</c:v>
                </c:pt>
                <c:pt idx="707">
                  <c:v>0.98194400000000004</c:v>
                </c:pt>
                <c:pt idx="708">
                  <c:v>0.98333300000000001</c:v>
                </c:pt>
                <c:pt idx="709">
                  <c:v>0.98472199999999999</c:v>
                </c:pt>
                <c:pt idx="710">
                  <c:v>0.98611099999999996</c:v>
                </c:pt>
                <c:pt idx="711">
                  <c:v>0.98750000000000004</c:v>
                </c:pt>
                <c:pt idx="712">
                  <c:v>0.98888900000000002</c:v>
                </c:pt>
                <c:pt idx="713">
                  <c:v>0.99027799999999999</c:v>
                </c:pt>
                <c:pt idx="714">
                  <c:v>0.99166699999999997</c:v>
                </c:pt>
                <c:pt idx="715">
                  <c:v>0.99305600000000005</c:v>
                </c:pt>
                <c:pt idx="716">
                  <c:v>0.99444399999999999</c:v>
                </c:pt>
                <c:pt idx="717">
                  <c:v>0.99583299999999997</c:v>
                </c:pt>
                <c:pt idx="718">
                  <c:v>0.99722200000000005</c:v>
                </c:pt>
                <c:pt idx="719">
                  <c:v>0.99861100000000003</c:v>
                </c:pt>
                <c:pt idx="720">
                  <c:v>1</c:v>
                </c:pt>
                <c:pt idx="721">
                  <c:v>1.0013890000000001</c:v>
                </c:pt>
                <c:pt idx="722">
                  <c:v>1.0027779999999999</c:v>
                </c:pt>
                <c:pt idx="723">
                  <c:v>1.004167</c:v>
                </c:pt>
                <c:pt idx="724">
                  <c:v>1.0055559999999999</c:v>
                </c:pt>
                <c:pt idx="725">
                  <c:v>1.0069440000000001</c:v>
                </c:pt>
                <c:pt idx="726">
                  <c:v>1.0083329999999999</c:v>
                </c:pt>
                <c:pt idx="727">
                  <c:v>1.009722</c:v>
                </c:pt>
                <c:pt idx="728">
                  <c:v>1.0111110000000001</c:v>
                </c:pt>
                <c:pt idx="729">
                  <c:v>1.0125</c:v>
                </c:pt>
                <c:pt idx="730">
                  <c:v>1.013889</c:v>
                </c:pt>
                <c:pt idx="731">
                  <c:v>1.0152779999999999</c:v>
                </c:pt>
                <c:pt idx="732">
                  <c:v>1.016667</c:v>
                </c:pt>
                <c:pt idx="733">
                  <c:v>1.0180560000000001</c:v>
                </c:pt>
                <c:pt idx="734">
                  <c:v>1.019444</c:v>
                </c:pt>
                <c:pt idx="735">
                  <c:v>1.0208330000000001</c:v>
                </c:pt>
                <c:pt idx="736">
                  <c:v>1.022222</c:v>
                </c:pt>
                <c:pt idx="737">
                  <c:v>1.023611</c:v>
                </c:pt>
                <c:pt idx="738">
                  <c:v>1.0249999999999999</c:v>
                </c:pt>
                <c:pt idx="739">
                  <c:v>1.026389</c:v>
                </c:pt>
                <c:pt idx="740">
                  <c:v>1.0277780000000001</c:v>
                </c:pt>
                <c:pt idx="741">
                  <c:v>1.0291669999999999</c:v>
                </c:pt>
                <c:pt idx="742">
                  <c:v>1.030556</c:v>
                </c:pt>
                <c:pt idx="743">
                  <c:v>1.031944</c:v>
                </c:pt>
                <c:pt idx="744">
                  <c:v>1.0333330000000001</c:v>
                </c:pt>
                <c:pt idx="745">
                  <c:v>1.0347219999999999</c:v>
                </c:pt>
                <c:pt idx="746">
                  <c:v>1.036111</c:v>
                </c:pt>
                <c:pt idx="747">
                  <c:v>1.0375000000000001</c:v>
                </c:pt>
                <c:pt idx="748">
                  <c:v>1.038889</c:v>
                </c:pt>
                <c:pt idx="749">
                  <c:v>1.040278</c:v>
                </c:pt>
                <c:pt idx="750">
                  <c:v>1.0416669999999999</c:v>
                </c:pt>
                <c:pt idx="751">
                  <c:v>1.043056</c:v>
                </c:pt>
                <c:pt idx="752">
                  <c:v>1.0444439999999999</c:v>
                </c:pt>
                <c:pt idx="753">
                  <c:v>1.045833</c:v>
                </c:pt>
                <c:pt idx="754">
                  <c:v>1.0472220000000001</c:v>
                </c:pt>
                <c:pt idx="755">
                  <c:v>1.048611</c:v>
                </c:pt>
                <c:pt idx="756">
                  <c:v>1.05</c:v>
                </c:pt>
                <c:pt idx="757">
                  <c:v>1.0513889999999999</c:v>
                </c:pt>
                <c:pt idx="758">
                  <c:v>1.052778</c:v>
                </c:pt>
                <c:pt idx="759">
                  <c:v>1.0541670000000001</c:v>
                </c:pt>
                <c:pt idx="760">
                  <c:v>1.0555559999999999</c:v>
                </c:pt>
                <c:pt idx="761">
                  <c:v>1.0569440000000001</c:v>
                </c:pt>
                <c:pt idx="762">
                  <c:v>1.058333</c:v>
                </c:pt>
                <c:pt idx="763">
                  <c:v>1.0597220000000001</c:v>
                </c:pt>
                <c:pt idx="764">
                  <c:v>1.0611109999999999</c:v>
                </c:pt>
                <c:pt idx="765">
                  <c:v>1.0625</c:v>
                </c:pt>
                <c:pt idx="766">
                  <c:v>1.0638890000000001</c:v>
                </c:pt>
                <c:pt idx="767">
                  <c:v>1.0652779999999999</c:v>
                </c:pt>
                <c:pt idx="768">
                  <c:v>1.066667</c:v>
                </c:pt>
                <c:pt idx="769">
                  <c:v>1.0680559999999999</c:v>
                </c:pt>
                <c:pt idx="770">
                  <c:v>1.0694440000000001</c:v>
                </c:pt>
                <c:pt idx="771">
                  <c:v>1.0708329999999999</c:v>
                </c:pt>
                <c:pt idx="772">
                  <c:v>1.072222</c:v>
                </c:pt>
                <c:pt idx="773">
                  <c:v>1.0736110000000001</c:v>
                </c:pt>
                <c:pt idx="774">
                  <c:v>1.075</c:v>
                </c:pt>
                <c:pt idx="775">
                  <c:v>1.076389</c:v>
                </c:pt>
                <c:pt idx="776">
                  <c:v>1.0777779999999999</c:v>
                </c:pt>
                <c:pt idx="777">
                  <c:v>1.079167</c:v>
                </c:pt>
                <c:pt idx="778">
                  <c:v>1.0805560000000001</c:v>
                </c:pt>
                <c:pt idx="779">
                  <c:v>1.081944</c:v>
                </c:pt>
                <c:pt idx="780">
                  <c:v>1.0833330000000001</c:v>
                </c:pt>
                <c:pt idx="781">
                  <c:v>1.084722</c:v>
                </c:pt>
                <c:pt idx="782">
                  <c:v>1.086111</c:v>
                </c:pt>
                <c:pt idx="783">
                  <c:v>1.0874999999999999</c:v>
                </c:pt>
                <c:pt idx="784">
                  <c:v>1.088889</c:v>
                </c:pt>
                <c:pt idx="785">
                  <c:v>1.0902780000000001</c:v>
                </c:pt>
                <c:pt idx="786">
                  <c:v>1.0916669999999999</c:v>
                </c:pt>
                <c:pt idx="787">
                  <c:v>1.093056</c:v>
                </c:pt>
                <c:pt idx="788">
                  <c:v>1.094444</c:v>
                </c:pt>
                <c:pt idx="789">
                  <c:v>1.0958330000000001</c:v>
                </c:pt>
                <c:pt idx="790">
                  <c:v>1.0972219999999999</c:v>
                </c:pt>
                <c:pt idx="791">
                  <c:v>1.098611</c:v>
                </c:pt>
                <c:pt idx="792">
                  <c:v>1.1000000000000001</c:v>
                </c:pt>
                <c:pt idx="793">
                  <c:v>1.101389</c:v>
                </c:pt>
                <c:pt idx="794">
                  <c:v>1.102778</c:v>
                </c:pt>
                <c:pt idx="795">
                  <c:v>1.1041669999999999</c:v>
                </c:pt>
                <c:pt idx="796">
                  <c:v>1.105556</c:v>
                </c:pt>
                <c:pt idx="797">
                  <c:v>1.1069439999999999</c:v>
                </c:pt>
                <c:pt idx="798">
                  <c:v>1.108333</c:v>
                </c:pt>
                <c:pt idx="799">
                  <c:v>1.1097220000000001</c:v>
                </c:pt>
                <c:pt idx="800">
                  <c:v>1.111111</c:v>
                </c:pt>
                <c:pt idx="801">
                  <c:v>1.1125</c:v>
                </c:pt>
                <c:pt idx="802">
                  <c:v>1.1138889999999999</c:v>
                </c:pt>
                <c:pt idx="803">
                  <c:v>1.115278</c:v>
                </c:pt>
                <c:pt idx="804">
                  <c:v>1.1166670000000001</c:v>
                </c:pt>
                <c:pt idx="805">
                  <c:v>1.1180559999999999</c:v>
                </c:pt>
                <c:pt idx="806">
                  <c:v>1.1194440000000001</c:v>
                </c:pt>
                <c:pt idx="807">
                  <c:v>1.120833</c:v>
                </c:pt>
                <c:pt idx="808">
                  <c:v>1.1222220000000001</c:v>
                </c:pt>
                <c:pt idx="809">
                  <c:v>1.1236109999999999</c:v>
                </c:pt>
                <c:pt idx="810">
                  <c:v>1.125</c:v>
                </c:pt>
                <c:pt idx="811">
                  <c:v>1.1263890000000001</c:v>
                </c:pt>
                <c:pt idx="812">
                  <c:v>1.1277779999999999</c:v>
                </c:pt>
                <c:pt idx="813">
                  <c:v>1.129167</c:v>
                </c:pt>
                <c:pt idx="814">
                  <c:v>1.1305559999999999</c:v>
                </c:pt>
                <c:pt idx="815">
                  <c:v>1.1319440000000001</c:v>
                </c:pt>
                <c:pt idx="816">
                  <c:v>1.1333329999999999</c:v>
                </c:pt>
                <c:pt idx="817">
                  <c:v>1.134722</c:v>
                </c:pt>
                <c:pt idx="818">
                  <c:v>1.1361110000000001</c:v>
                </c:pt>
                <c:pt idx="819">
                  <c:v>1.1375</c:v>
                </c:pt>
                <c:pt idx="820">
                  <c:v>1.138889</c:v>
                </c:pt>
                <c:pt idx="821">
                  <c:v>1.1402779999999999</c:v>
                </c:pt>
                <c:pt idx="822">
                  <c:v>1.141667</c:v>
                </c:pt>
                <c:pt idx="823">
                  <c:v>1.1430560000000001</c:v>
                </c:pt>
                <c:pt idx="824">
                  <c:v>1.144444</c:v>
                </c:pt>
                <c:pt idx="825">
                  <c:v>1.1458330000000001</c:v>
                </c:pt>
                <c:pt idx="826">
                  <c:v>1.147222</c:v>
                </c:pt>
                <c:pt idx="827">
                  <c:v>1.148611</c:v>
                </c:pt>
                <c:pt idx="828">
                  <c:v>1.1499999999999999</c:v>
                </c:pt>
                <c:pt idx="829">
                  <c:v>1.151389</c:v>
                </c:pt>
                <c:pt idx="830">
                  <c:v>1.1527780000000001</c:v>
                </c:pt>
                <c:pt idx="831">
                  <c:v>1.1541669999999999</c:v>
                </c:pt>
                <c:pt idx="832">
                  <c:v>1.155556</c:v>
                </c:pt>
                <c:pt idx="833">
                  <c:v>1.156944</c:v>
                </c:pt>
                <c:pt idx="834">
                  <c:v>1.1583330000000001</c:v>
                </c:pt>
                <c:pt idx="835">
                  <c:v>1.1597219999999999</c:v>
                </c:pt>
                <c:pt idx="836">
                  <c:v>1.161111</c:v>
                </c:pt>
                <c:pt idx="837">
                  <c:v>1.1625000000000001</c:v>
                </c:pt>
                <c:pt idx="838">
                  <c:v>1.163889</c:v>
                </c:pt>
                <c:pt idx="839">
                  <c:v>1.165278</c:v>
                </c:pt>
                <c:pt idx="840">
                  <c:v>1.1666669999999999</c:v>
                </c:pt>
                <c:pt idx="841">
                  <c:v>1.168056</c:v>
                </c:pt>
                <c:pt idx="842">
                  <c:v>1.1694439999999999</c:v>
                </c:pt>
                <c:pt idx="843">
                  <c:v>1.170833</c:v>
                </c:pt>
                <c:pt idx="844">
                  <c:v>1.1722220000000001</c:v>
                </c:pt>
                <c:pt idx="845">
                  <c:v>1.173611</c:v>
                </c:pt>
                <c:pt idx="846">
                  <c:v>1.175</c:v>
                </c:pt>
                <c:pt idx="847">
                  <c:v>1.1763889999999999</c:v>
                </c:pt>
                <c:pt idx="848">
                  <c:v>1.177778</c:v>
                </c:pt>
                <c:pt idx="849">
                  <c:v>1.1791670000000001</c:v>
                </c:pt>
                <c:pt idx="850">
                  <c:v>1.1805559999999999</c:v>
                </c:pt>
                <c:pt idx="851">
                  <c:v>1.1819440000000001</c:v>
                </c:pt>
                <c:pt idx="852">
                  <c:v>1.183333</c:v>
                </c:pt>
                <c:pt idx="853">
                  <c:v>1.1847220000000001</c:v>
                </c:pt>
                <c:pt idx="854">
                  <c:v>1.1861109999999999</c:v>
                </c:pt>
                <c:pt idx="855">
                  <c:v>1.1875</c:v>
                </c:pt>
                <c:pt idx="856">
                  <c:v>1.1888890000000001</c:v>
                </c:pt>
                <c:pt idx="857">
                  <c:v>1.1902779999999999</c:v>
                </c:pt>
                <c:pt idx="858">
                  <c:v>1.191667</c:v>
                </c:pt>
                <c:pt idx="859">
                  <c:v>1.1930559999999999</c:v>
                </c:pt>
                <c:pt idx="860">
                  <c:v>1.1944440000000001</c:v>
                </c:pt>
                <c:pt idx="861">
                  <c:v>1.1958329999999999</c:v>
                </c:pt>
                <c:pt idx="862">
                  <c:v>1.197222</c:v>
                </c:pt>
                <c:pt idx="863">
                  <c:v>1.1986110000000001</c:v>
                </c:pt>
                <c:pt idx="864">
                  <c:v>1.2</c:v>
                </c:pt>
                <c:pt idx="865">
                  <c:v>1.201389</c:v>
                </c:pt>
                <c:pt idx="866">
                  <c:v>1.2027779999999999</c:v>
                </c:pt>
                <c:pt idx="867">
                  <c:v>1.204167</c:v>
                </c:pt>
                <c:pt idx="868">
                  <c:v>1.2055560000000001</c:v>
                </c:pt>
                <c:pt idx="869">
                  <c:v>1.206944</c:v>
                </c:pt>
                <c:pt idx="870">
                  <c:v>1.2083330000000001</c:v>
                </c:pt>
                <c:pt idx="871">
                  <c:v>1.209722</c:v>
                </c:pt>
                <c:pt idx="872">
                  <c:v>1.211111</c:v>
                </c:pt>
                <c:pt idx="873">
                  <c:v>1.2124999999999999</c:v>
                </c:pt>
                <c:pt idx="874">
                  <c:v>1.213889</c:v>
                </c:pt>
                <c:pt idx="875">
                  <c:v>1.2152780000000001</c:v>
                </c:pt>
                <c:pt idx="876">
                  <c:v>1.2166669999999999</c:v>
                </c:pt>
                <c:pt idx="877">
                  <c:v>1.218056</c:v>
                </c:pt>
                <c:pt idx="878">
                  <c:v>1.219444</c:v>
                </c:pt>
                <c:pt idx="879">
                  <c:v>1.2208330000000001</c:v>
                </c:pt>
                <c:pt idx="880">
                  <c:v>1.2222219999999999</c:v>
                </c:pt>
                <c:pt idx="881">
                  <c:v>1.223611</c:v>
                </c:pt>
                <c:pt idx="882">
                  <c:v>1.2250000000000001</c:v>
                </c:pt>
                <c:pt idx="883">
                  <c:v>1.226389</c:v>
                </c:pt>
                <c:pt idx="884">
                  <c:v>1.227778</c:v>
                </c:pt>
                <c:pt idx="885">
                  <c:v>1.2291669999999999</c:v>
                </c:pt>
                <c:pt idx="886">
                  <c:v>1.230556</c:v>
                </c:pt>
                <c:pt idx="887">
                  <c:v>1.2319439999999999</c:v>
                </c:pt>
                <c:pt idx="888">
                  <c:v>1.233333</c:v>
                </c:pt>
                <c:pt idx="889">
                  <c:v>1.2347220000000001</c:v>
                </c:pt>
                <c:pt idx="890">
                  <c:v>1.236111</c:v>
                </c:pt>
                <c:pt idx="891">
                  <c:v>1.2375</c:v>
                </c:pt>
                <c:pt idx="892">
                  <c:v>1.2388889999999999</c:v>
                </c:pt>
                <c:pt idx="893">
                  <c:v>1.240278</c:v>
                </c:pt>
                <c:pt idx="894">
                  <c:v>1.2416670000000001</c:v>
                </c:pt>
                <c:pt idx="895">
                  <c:v>1.2430559999999999</c:v>
                </c:pt>
                <c:pt idx="896">
                  <c:v>1.2444440000000001</c:v>
                </c:pt>
                <c:pt idx="897">
                  <c:v>1.245833</c:v>
                </c:pt>
                <c:pt idx="898">
                  <c:v>1.2472220000000001</c:v>
                </c:pt>
                <c:pt idx="899">
                  <c:v>1.2486109999999999</c:v>
                </c:pt>
                <c:pt idx="900">
                  <c:v>1.25</c:v>
                </c:pt>
                <c:pt idx="901">
                  <c:v>1.2513890000000001</c:v>
                </c:pt>
                <c:pt idx="902">
                  <c:v>1.2527779999999999</c:v>
                </c:pt>
                <c:pt idx="903">
                  <c:v>1.254167</c:v>
                </c:pt>
                <c:pt idx="904">
                  <c:v>1.2555559999999999</c:v>
                </c:pt>
                <c:pt idx="905">
                  <c:v>1.2569440000000001</c:v>
                </c:pt>
                <c:pt idx="906">
                  <c:v>1.2583329999999999</c:v>
                </c:pt>
                <c:pt idx="907">
                  <c:v>1.259722</c:v>
                </c:pt>
                <c:pt idx="908">
                  <c:v>1.2611110000000001</c:v>
                </c:pt>
                <c:pt idx="909">
                  <c:v>1.2625</c:v>
                </c:pt>
                <c:pt idx="910">
                  <c:v>1.263889</c:v>
                </c:pt>
                <c:pt idx="911">
                  <c:v>1.2652779999999999</c:v>
                </c:pt>
                <c:pt idx="912">
                  <c:v>1.266667</c:v>
                </c:pt>
                <c:pt idx="913">
                  <c:v>1.2680560000000001</c:v>
                </c:pt>
                <c:pt idx="914">
                  <c:v>1.269444</c:v>
                </c:pt>
                <c:pt idx="915">
                  <c:v>1.2708330000000001</c:v>
                </c:pt>
                <c:pt idx="916">
                  <c:v>1.272222</c:v>
                </c:pt>
                <c:pt idx="917">
                  <c:v>1.273611</c:v>
                </c:pt>
                <c:pt idx="918">
                  <c:v>1.2749999999999999</c:v>
                </c:pt>
                <c:pt idx="919">
                  <c:v>1.276389</c:v>
                </c:pt>
                <c:pt idx="920">
                  <c:v>1.2777780000000001</c:v>
                </c:pt>
                <c:pt idx="921">
                  <c:v>1.2791669999999999</c:v>
                </c:pt>
                <c:pt idx="922">
                  <c:v>1.280556</c:v>
                </c:pt>
                <c:pt idx="923">
                  <c:v>1.281944</c:v>
                </c:pt>
                <c:pt idx="924">
                  <c:v>1.2833330000000001</c:v>
                </c:pt>
                <c:pt idx="925">
                  <c:v>1.2847219999999999</c:v>
                </c:pt>
                <c:pt idx="926">
                  <c:v>1.286111</c:v>
                </c:pt>
                <c:pt idx="927">
                  <c:v>1.2875000000000001</c:v>
                </c:pt>
                <c:pt idx="928">
                  <c:v>1.288889</c:v>
                </c:pt>
                <c:pt idx="929">
                  <c:v>1.290278</c:v>
                </c:pt>
                <c:pt idx="930">
                  <c:v>1.2916669999999999</c:v>
                </c:pt>
                <c:pt idx="931">
                  <c:v>1.293056</c:v>
                </c:pt>
                <c:pt idx="932">
                  <c:v>1.2944439999999999</c:v>
                </c:pt>
                <c:pt idx="933">
                  <c:v>1.295833</c:v>
                </c:pt>
                <c:pt idx="934">
                  <c:v>1.2972220000000001</c:v>
                </c:pt>
                <c:pt idx="935">
                  <c:v>1.298611</c:v>
                </c:pt>
                <c:pt idx="936">
                  <c:v>1.3</c:v>
                </c:pt>
                <c:pt idx="937">
                  <c:v>1.3013889999999999</c:v>
                </c:pt>
                <c:pt idx="938">
                  <c:v>1.302778</c:v>
                </c:pt>
                <c:pt idx="939">
                  <c:v>1.3041670000000001</c:v>
                </c:pt>
                <c:pt idx="940">
                  <c:v>1.3055559999999999</c:v>
                </c:pt>
                <c:pt idx="941">
                  <c:v>1.3069440000000001</c:v>
                </c:pt>
                <c:pt idx="942">
                  <c:v>1.308333</c:v>
                </c:pt>
                <c:pt idx="943">
                  <c:v>1.3097220000000001</c:v>
                </c:pt>
                <c:pt idx="944">
                  <c:v>1.3111109999999999</c:v>
                </c:pt>
                <c:pt idx="945">
                  <c:v>1.3125</c:v>
                </c:pt>
                <c:pt idx="946">
                  <c:v>1.3138890000000001</c:v>
                </c:pt>
                <c:pt idx="947">
                  <c:v>1.3152779999999999</c:v>
                </c:pt>
                <c:pt idx="948">
                  <c:v>1.316667</c:v>
                </c:pt>
                <c:pt idx="949">
                  <c:v>1.3180559999999999</c:v>
                </c:pt>
                <c:pt idx="950">
                  <c:v>1.3194440000000001</c:v>
                </c:pt>
                <c:pt idx="951">
                  <c:v>1.3208329999999999</c:v>
                </c:pt>
                <c:pt idx="952">
                  <c:v>1.322222</c:v>
                </c:pt>
                <c:pt idx="953">
                  <c:v>1.3236110000000001</c:v>
                </c:pt>
                <c:pt idx="954">
                  <c:v>1.325</c:v>
                </c:pt>
                <c:pt idx="955">
                  <c:v>1.326389</c:v>
                </c:pt>
                <c:pt idx="956">
                  <c:v>1.3277779999999999</c:v>
                </c:pt>
                <c:pt idx="957">
                  <c:v>1.329167</c:v>
                </c:pt>
                <c:pt idx="958">
                  <c:v>1.3305560000000001</c:v>
                </c:pt>
                <c:pt idx="959">
                  <c:v>1.331944</c:v>
                </c:pt>
                <c:pt idx="960">
                  <c:v>1.3333330000000001</c:v>
                </c:pt>
                <c:pt idx="961">
                  <c:v>1.334722</c:v>
                </c:pt>
                <c:pt idx="962">
                  <c:v>1.336111</c:v>
                </c:pt>
                <c:pt idx="963">
                  <c:v>1.3374999999999999</c:v>
                </c:pt>
                <c:pt idx="964">
                  <c:v>1.338889</c:v>
                </c:pt>
                <c:pt idx="965">
                  <c:v>1.3402780000000001</c:v>
                </c:pt>
                <c:pt idx="966">
                  <c:v>1.3416669999999999</c:v>
                </c:pt>
                <c:pt idx="967">
                  <c:v>1.343056</c:v>
                </c:pt>
                <c:pt idx="968">
                  <c:v>1.344444</c:v>
                </c:pt>
                <c:pt idx="969">
                  <c:v>1.3458330000000001</c:v>
                </c:pt>
                <c:pt idx="970">
                  <c:v>1.3472219999999999</c:v>
                </c:pt>
                <c:pt idx="971">
                  <c:v>1.348611</c:v>
                </c:pt>
                <c:pt idx="972">
                  <c:v>1.35</c:v>
                </c:pt>
                <c:pt idx="973">
                  <c:v>1.351389</c:v>
                </c:pt>
                <c:pt idx="974">
                  <c:v>1.352778</c:v>
                </c:pt>
                <c:pt idx="975">
                  <c:v>1.3541669999999999</c:v>
                </c:pt>
                <c:pt idx="976">
                  <c:v>1.355556</c:v>
                </c:pt>
                <c:pt idx="977">
                  <c:v>1.3569439999999999</c:v>
                </c:pt>
                <c:pt idx="978">
                  <c:v>1.358333</c:v>
                </c:pt>
                <c:pt idx="979">
                  <c:v>1.3597220000000001</c:v>
                </c:pt>
                <c:pt idx="980">
                  <c:v>1.361111</c:v>
                </c:pt>
                <c:pt idx="981">
                  <c:v>1.3625</c:v>
                </c:pt>
                <c:pt idx="982">
                  <c:v>1.3638889999999999</c:v>
                </c:pt>
                <c:pt idx="983">
                  <c:v>1.365278</c:v>
                </c:pt>
                <c:pt idx="984">
                  <c:v>1.3666670000000001</c:v>
                </c:pt>
                <c:pt idx="985">
                  <c:v>1.3680559999999999</c:v>
                </c:pt>
                <c:pt idx="986">
                  <c:v>1.3694440000000001</c:v>
                </c:pt>
                <c:pt idx="987">
                  <c:v>1.370833</c:v>
                </c:pt>
                <c:pt idx="988">
                  <c:v>1.3722220000000001</c:v>
                </c:pt>
                <c:pt idx="989">
                  <c:v>1.3736109999999999</c:v>
                </c:pt>
                <c:pt idx="990">
                  <c:v>1.375</c:v>
                </c:pt>
                <c:pt idx="991">
                  <c:v>1.3763890000000001</c:v>
                </c:pt>
                <c:pt idx="992">
                  <c:v>1.3777779999999999</c:v>
                </c:pt>
                <c:pt idx="993">
                  <c:v>1.379167</c:v>
                </c:pt>
                <c:pt idx="994">
                  <c:v>1.3805559999999999</c:v>
                </c:pt>
                <c:pt idx="995">
                  <c:v>1.3819440000000001</c:v>
                </c:pt>
                <c:pt idx="996">
                  <c:v>1.3833329999999999</c:v>
                </c:pt>
                <c:pt idx="997">
                  <c:v>1.384722</c:v>
                </c:pt>
                <c:pt idx="998">
                  <c:v>1.3861110000000001</c:v>
                </c:pt>
                <c:pt idx="999">
                  <c:v>1.3875</c:v>
                </c:pt>
                <c:pt idx="1000">
                  <c:v>1.388889</c:v>
                </c:pt>
                <c:pt idx="1001">
                  <c:v>1.3902779999999999</c:v>
                </c:pt>
                <c:pt idx="1002">
                  <c:v>1.391667</c:v>
                </c:pt>
                <c:pt idx="1003">
                  <c:v>1.3930560000000001</c:v>
                </c:pt>
                <c:pt idx="1004">
                  <c:v>1.394444</c:v>
                </c:pt>
                <c:pt idx="1005">
                  <c:v>1.3958330000000001</c:v>
                </c:pt>
                <c:pt idx="1006">
                  <c:v>1.397222</c:v>
                </c:pt>
                <c:pt idx="1007">
                  <c:v>1.398611</c:v>
                </c:pt>
                <c:pt idx="1008">
                  <c:v>1.4</c:v>
                </c:pt>
                <c:pt idx="1009">
                  <c:v>1.401389</c:v>
                </c:pt>
                <c:pt idx="1010">
                  <c:v>1.4027780000000001</c:v>
                </c:pt>
                <c:pt idx="1011">
                  <c:v>1.4041669999999999</c:v>
                </c:pt>
                <c:pt idx="1012">
                  <c:v>1.405556</c:v>
                </c:pt>
                <c:pt idx="1013">
                  <c:v>1.406944</c:v>
                </c:pt>
                <c:pt idx="1014">
                  <c:v>1.4083330000000001</c:v>
                </c:pt>
                <c:pt idx="1015">
                  <c:v>1.4097219999999999</c:v>
                </c:pt>
                <c:pt idx="1016">
                  <c:v>1.411111</c:v>
                </c:pt>
                <c:pt idx="1017">
                  <c:v>1.4125000000000001</c:v>
                </c:pt>
                <c:pt idx="1018">
                  <c:v>1.413889</c:v>
                </c:pt>
                <c:pt idx="1019">
                  <c:v>1.415278</c:v>
                </c:pt>
                <c:pt idx="1020">
                  <c:v>1.4166669999999999</c:v>
                </c:pt>
                <c:pt idx="1021">
                  <c:v>1.418056</c:v>
                </c:pt>
                <c:pt idx="1022">
                  <c:v>1.4194439999999999</c:v>
                </c:pt>
                <c:pt idx="1023">
                  <c:v>1.420833</c:v>
                </c:pt>
                <c:pt idx="1024">
                  <c:v>1.4222220000000001</c:v>
                </c:pt>
                <c:pt idx="1025">
                  <c:v>1.423611</c:v>
                </c:pt>
                <c:pt idx="1026">
                  <c:v>1.425</c:v>
                </c:pt>
                <c:pt idx="1027">
                  <c:v>1.4263889999999999</c:v>
                </c:pt>
                <c:pt idx="1028">
                  <c:v>1.427778</c:v>
                </c:pt>
                <c:pt idx="1029">
                  <c:v>1.4291670000000001</c:v>
                </c:pt>
                <c:pt idx="1030">
                  <c:v>1.4305559999999999</c:v>
                </c:pt>
                <c:pt idx="1031">
                  <c:v>1.4319440000000001</c:v>
                </c:pt>
                <c:pt idx="1032">
                  <c:v>1.433333</c:v>
                </c:pt>
                <c:pt idx="1033">
                  <c:v>1.4347220000000001</c:v>
                </c:pt>
                <c:pt idx="1034">
                  <c:v>1.4361109999999999</c:v>
                </c:pt>
                <c:pt idx="1035">
                  <c:v>1.4375</c:v>
                </c:pt>
                <c:pt idx="1036">
                  <c:v>1.4388890000000001</c:v>
                </c:pt>
                <c:pt idx="1037">
                  <c:v>1.4402779999999999</c:v>
                </c:pt>
                <c:pt idx="1038">
                  <c:v>1.441667</c:v>
                </c:pt>
                <c:pt idx="1039">
                  <c:v>1.4430559999999999</c:v>
                </c:pt>
                <c:pt idx="1040">
                  <c:v>1.4444440000000001</c:v>
                </c:pt>
                <c:pt idx="1041">
                  <c:v>1.4458329999999999</c:v>
                </c:pt>
                <c:pt idx="1042">
                  <c:v>1.447222</c:v>
                </c:pt>
                <c:pt idx="1043">
                  <c:v>1.4486110000000001</c:v>
                </c:pt>
                <c:pt idx="1044">
                  <c:v>1.45</c:v>
                </c:pt>
                <c:pt idx="1045">
                  <c:v>1.451389</c:v>
                </c:pt>
                <c:pt idx="1046">
                  <c:v>1.4527779999999999</c:v>
                </c:pt>
                <c:pt idx="1047">
                  <c:v>1.454167</c:v>
                </c:pt>
                <c:pt idx="1048">
                  <c:v>1.4555560000000001</c:v>
                </c:pt>
                <c:pt idx="1049">
                  <c:v>1.456944</c:v>
                </c:pt>
                <c:pt idx="1050">
                  <c:v>1.4583330000000001</c:v>
                </c:pt>
                <c:pt idx="1051">
                  <c:v>1.459722</c:v>
                </c:pt>
                <c:pt idx="1052">
                  <c:v>1.461111</c:v>
                </c:pt>
                <c:pt idx="1053">
                  <c:v>1.4624999999999999</c:v>
                </c:pt>
                <c:pt idx="1054">
                  <c:v>1.463889</c:v>
                </c:pt>
                <c:pt idx="1055">
                  <c:v>1.4652780000000001</c:v>
                </c:pt>
                <c:pt idx="1056">
                  <c:v>1.4666669999999999</c:v>
                </c:pt>
                <c:pt idx="1057">
                  <c:v>1.468056</c:v>
                </c:pt>
                <c:pt idx="1058">
                  <c:v>1.469444</c:v>
                </c:pt>
                <c:pt idx="1059">
                  <c:v>1.4708330000000001</c:v>
                </c:pt>
                <c:pt idx="1060">
                  <c:v>1.4722219999999999</c:v>
                </c:pt>
                <c:pt idx="1061">
                  <c:v>1.473611</c:v>
                </c:pt>
                <c:pt idx="1062">
                  <c:v>1.4750000000000001</c:v>
                </c:pt>
                <c:pt idx="1063">
                  <c:v>1.476389</c:v>
                </c:pt>
                <c:pt idx="1064">
                  <c:v>1.477778</c:v>
                </c:pt>
                <c:pt idx="1065">
                  <c:v>1.4791669999999999</c:v>
                </c:pt>
                <c:pt idx="1066">
                  <c:v>1.480556</c:v>
                </c:pt>
                <c:pt idx="1067">
                  <c:v>1.4819439999999999</c:v>
                </c:pt>
                <c:pt idx="1068">
                  <c:v>1.483333</c:v>
                </c:pt>
                <c:pt idx="1069">
                  <c:v>1.4847220000000001</c:v>
                </c:pt>
                <c:pt idx="1070">
                  <c:v>1.486111</c:v>
                </c:pt>
                <c:pt idx="1071">
                  <c:v>1.4875</c:v>
                </c:pt>
                <c:pt idx="1072">
                  <c:v>1.4888889999999999</c:v>
                </c:pt>
                <c:pt idx="1073">
                  <c:v>1.490278</c:v>
                </c:pt>
                <c:pt idx="1074">
                  <c:v>1.4916670000000001</c:v>
                </c:pt>
                <c:pt idx="1075">
                  <c:v>1.4930559999999999</c:v>
                </c:pt>
                <c:pt idx="1076">
                  <c:v>1.4944440000000001</c:v>
                </c:pt>
                <c:pt idx="1077">
                  <c:v>1.495833</c:v>
                </c:pt>
                <c:pt idx="1078">
                  <c:v>1.4972220000000001</c:v>
                </c:pt>
                <c:pt idx="1079">
                  <c:v>1.4986109999999999</c:v>
                </c:pt>
                <c:pt idx="1080">
                  <c:v>1.5</c:v>
                </c:pt>
                <c:pt idx="1081">
                  <c:v>1.5013890000000001</c:v>
                </c:pt>
                <c:pt idx="1082">
                  <c:v>1.5027779999999999</c:v>
                </c:pt>
                <c:pt idx="1083">
                  <c:v>1.504167</c:v>
                </c:pt>
                <c:pt idx="1084">
                  <c:v>1.5055559999999999</c:v>
                </c:pt>
                <c:pt idx="1085">
                  <c:v>1.5069440000000001</c:v>
                </c:pt>
                <c:pt idx="1086">
                  <c:v>1.5083329999999999</c:v>
                </c:pt>
                <c:pt idx="1087">
                  <c:v>1.509722</c:v>
                </c:pt>
                <c:pt idx="1088">
                  <c:v>1.5111110000000001</c:v>
                </c:pt>
                <c:pt idx="1089">
                  <c:v>1.5125</c:v>
                </c:pt>
                <c:pt idx="1090">
                  <c:v>1.513889</c:v>
                </c:pt>
                <c:pt idx="1091">
                  <c:v>1.5152779999999999</c:v>
                </c:pt>
                <c:pt idx="1092">
                  <c:v>1.516667</c:v>
                </c:pt>
                <c:pt idx="1093">
                  <c:v>1.5180560000000001</c:v>
                </c:pt>
                <c:pt idx="1094">
                  <c:v>1.519444</c:v>
                </c:pt>
                <c:pt idx="1095">
                  <c:v>1.5208330000000001</c:v>
                </c:pt>
                <c:pt idx="1096">
                  <c:v>1.522222</c:v>
                </c:pt>
                <c:pt idx="1097">
                  <c:v>1.523611</c:v>
                </c:pt>
                <c:pt idx="1098">
                  <c:v>1.5249999999999999</c:v>
                </c:pt>
                <c:pt idx="1099">
                  <c:v>1.526389</c:v>
                </c:pt>
                <c:pt idx="1100">
                  <c:v>1.5277780000000001</c:v>
                </c:pt>
                <c:pt idx="1101">
                  <c:v>1.5291669999999999</c:v>
                </c:pt>
                <c:pt idx="1102">
                  <c:v>1.530556</c:v>
                </c:pt>
                <c:pt idx="1103">
                  <c:v>1.531944</c:v>
                </c:pt>
                <c:pt idx="1104">
                  <c:v>1.5333330000000001</c:v>
                </c:pt>
                <c:pt idx="1105">
                  <c:v>1.5347219999999999</c:v>
                </c:pt>
                <c:pt idx="1106">
                  <c:v>1.536111</c:v>
                </c:pt>
                <c:pt idx="1107">
                  <c:v>1.5375000000000001</c:v>
                </c:pt>
                <c:pt idx="1108">
                  <c:v>1.538889</c:v>
                </c:pt>
                <c:pt idx="1109">
                  <c:v>1.540278</c:v>
                </c:pt>
                <c:pt idx="1110">
                  <c:v>1.5416669999999999</c:v>
                </c:pt>
                <c:pt idx="1111">
                  <c:v>1.543056</c:v>
                </c:pt>
                <c:pt idx="1112">
                  <c:v>1.5444439999999999</c:v>
                </c:pt>
                <c:pt idx="1113">
                  <c:v>1.545833</c:v>
                </c:pt>
                <c:pt idx="1114">
                  <c:v>1.5472220000000001</c:v>
                </c:pt>
                <c:pt idx="1115">
                  <c:v>1.548611</c:v>
                </c:pt>
                <c:pt idx="1116">
                  <c:v>1.55</c:v>
                </c:pt>
                <c:pt idx="1117">
                  <c:v>1.5513889999999999</c:v>
                </c:pt>
                <c:pt idx="1118">
                  <c:v>1.552778</c:v>
                </c:pt>
                <c:pt idx="1119">
                  <c:v>1.5541670000000001</c:v>
                </c:pt>
                <c:pt idx="1120">
                  <c:v>1.5555559999999999</c:v>
                </c:pt>
                <c:pt idx="1121">
                  <c:v>1.5569440000000001</c:v>
                </c:pt>
                <c:pt idx="1122">
                  <c:v>1.558333</c:v>
                </c:pt>
                <c:pt idx="1123">
                  <c:v>1.5597220000000001</c:v>
                </c:pt>
                <c:pt idx="1124">
                  <c:v>1.5611109999999999</c:v>
                </c:pt>
                <c:pt idx="1125">
                  <c:v>1.5625</c:v>
                </c:pt>
                <c:pt idx="1126">
                  <c:v>1.5638890000000001</c:v>
                </c:pt>
                <c:pt idx="1127">
                  <c:v>1.5652779999999999</c:v>
                </c:pt>
                <c:pt idx="1128">
                  <c:v>1.566667</c:v>
                </c:pt>
                <c:pt idx="1129">
                  <c:v>1.5680559999999999</c:v>
                </c:pt>
                <c:pt idx="1130">
                  <c:v>1.5694440000000001</c:v>
                </c:pt>
                <c:pt idx="1131">
                  <c:v>1.5708329999999999</c:v>
                </c:pt>
                <c:pt idx="1132">
                  <c:v>1.572222</c:v>
                </c:pt>
                <c:pt idx="1133">
                  <c:v>1.5736110000000001</c:v>
                </c:pt>
                <c:pt idx="1134">
                  <c:v>1.575</c:v>
                </c:pt>
                <c:pt idx="1135">
                  <c:v>1.576389</c:v>
                </c:pt>
                <c:pt idx="1136">
                  <c:v>1.5777779999999999</c:v>
                </c:pt>
                <c:pt idx="1137">
                  <c:v>1.579167</c:v>
                </c:pt>
                <c:pt idx="1138">
                  <c:v>1.5805560000000001</c:v>
                </c:pt>
                <c:pt idx="1139">
                  <c:v>1.581944</c:v>
                </c:pt>
                <c:pt idx="1140">
                  <c:v>1.5833330000000001</c:v>
                </c:pt>
                <c:pt idx="1141">
                  <c:v>1.584722</c:v>
                </c:pt>
                <c:pt idx="1142">
                  <c:v>1.586111</c:v>
                </c:pt>
                <c:pt idx="1143">
                  <c:v>1.5874999999999999</c:v>
                </c:pt>
                <c:pt idx="1144">
                  <c:v>1.588889</c:v>
                </c:pt>
                <c:pt idx="1145">
                  <c:v>1.5902780000000001</c:v>
                </c:pt>
                <c:pt idx="1146">
                  <c:v>1.5916669999999999</c:v>
                </c:pt>
                <c:pt idx="1147">
                  <c:v>1.593056</c:v>
                </c:pt>
                <c:pt idx="1148">
                  <c:v>1.594444</c:v>
                </c:pt>
                <c:pt idx="1149">
                  <c:v>1.5958330000000001</c:v>
                </c:pt>
                <c:pt idx="1150">
                  <c:v>1.5972219999999999</c:v>
                </c:pt>
                <c:pt idx="1151">
                  <c:v>1.598611</c:v>
                </c:pt>
                <c:pt idx="1152">
                  <c:v>1.6</c:v>
                </c:pt>
                <c:pt idx="1153">
                  <c:v>1.601389</c:v>
                </c:pt>
                <c:pt idx="1154">
                  <c:v>1.602778</c:v>
                </c:pt>
                <c:pt idx="1155">
                  <c:v>1.6041669999999999</c:v>
                </c:pt>
                <c:pt idx="1156">
                  <c:v>1.605556</c:v>
                </c:pt>
                <c:pt idx="1157">
                  <c:v>1.6069439999999999</c:v>
                </c:pt>
                <c:pt idx="1158">
                  <c:v>1.608333</c:v>
                </c:pt>
                <c:pt idx="1159">
                  <c:v>1.6097220000000001</c:v>
                </c:pt>
                <c:pt idx="1160">
                  <c:v>1.611111</c:v>
                </c:pt>
                <c:pt idx="1161">
                  <c:v>1.6125</c:v>
                </c:pt>
                <c:pt idx="1162">
                  <c:v>1.6138889999999999</c:v>
                </c:pt>
                <c:pt idx="1163">
                  <c:v>1.615278</c:v>
                </c:pt>
                <c:pt idx="1164">
                  <c:v>1.6166670000000001</c:v>
                </c:pt>
                <c:pt idx="1165">
                  <c:v>1.6180559999999999</c:v>
                </c:pt>
                <c:pt idx="1166">
                  <c:v>1.6194440000000001</c:v>
                </c:pt>
                <c:pt idx="1167">
                  <c:v>1.620833</c:v>
                </c:pt>
                <c:pt idx="1168">
                  <c:v>1.6222220000000001</c:v>
                </c:pt>
                <c:pt idx="1169">
                  <c:v>1.6236109999999999</c:v>
                </c:pt>
                <c:pt idx="1170">
                  <c:v>1.625</c:v>
                </c:pt>
                <c:pt idx="1171">
                  <c:v>1.6263890000000001</c:v>
                </c:pt>
                <c:pt idx="1172">
                  <c:v>1.6277779999999999</c:v>
                </c:pt>
                <c:pt idx="1173">
                  <c:v>1.629167</c:v>
                </c:pt>
                <c:pt idx="1174">
                  <c:v>1.6305559999999999</c:v>
                </c:pt>
                <c:pt idx="1175">
                  <c:v>1.6319440000000001</c:v>
                </c:pt>
                <c:pt idx="1176">
                  <c:v>1.6333329999999999</c:v>
                </c:pt>
                <c:pt idx="1177">
                  <c:v>1.634722</c:v>
                </c:pt>
                <c:pt idx="1178">
                  <c:v>1.6361110000000001</c:v>
                </c:pt>
                <c:pt idx="1179">
                  <c:v>1.6375</c:v>
                </c:pt>
                <c:pt idx="1180">
                  <c:v>1.638889</c:v>
                </c:pt>
                <c:pt idx="1181">
                  <c:v>1.6402779999999999</c:v>
                </c:pt>
                <c:pt idx="1182">
                  <c:v>1.641667</c:v>
                </c:pt>
                <c:pt idx="1183">
                  <c:v>1.6430560000000001</c:v>
                </c:pt>
                <c:pt idx="1184">
                  <c:v>1.644444</c:v>
                </c:pt>
                <c:pt idx="1185">
                  <c:v>1.6458330000000001</c:v>
                </c:pt>
                <c:pt idx="1186">
                  <c:v>1.647222</c:v>
                </c:pt>
                <c:pt idx="1187">
                  <c:v>1.648611</c:v>
                </c:pt>
                <c:pt idx="1188">
                  <c:v>1.65</c:v>
                </c:pt>
                <c:pt idx="1189">
                  <c:v>1.651389</c:v>
                </c:pt>
                <c:pt idx="1190">
                  <c:v>1.6527780000000001</c:v>
                </c:pt>
                <c:pt idx="1191">
                  <c:v>1.6541669999999999</c:v>
                </c:pt>
                <c:pt idx="1192">
                  <c:v>1.655556</c:v>
                </c:pt>
                <c:pt idx="1193">
                  <c:v>1.656944</c:v>
                </c:pt>
                <c:pt idx="1194">
                  <c:v>1.6583330000000001</c:v>
                </c:pt>
                <c:pt idx="1195">
                  <c:v>1.6597219999999999</c:v>
                </c:pt>
                <c:pt idx="1196">
                  <c:v>1.661111</c:v>
                </c:pt>
                <c:pt idx="1197">
                  <c:v>1.6625000000000001</c:v>
                </c:pt>
                <c:pt idx="1198">
                  <c:v>1.663889</c:v>
                </c:pt>
                <c:pt idx="1199">
                  <c:v>1.665278</c:v>
                </c:pt>
                <c:pt idx="1200">
                  <c:v>1.6666669999999999</c:v>
                </c:pt>
                <c:pt idx="1201">
                  <c:v>1.668056</c:v>
                </c:pt>
                <c:pt idx="1202">
                  <c:v>1.6694439999999999</c:v>
                </c:pt>
                <c:pt idx="1203">
                  <c:v>1.670833</c:v>
                </c:pt>
                <c:pt idx="1204">
                  <c:v>1.6722220000000001</c:v>
                </c:pt>
                <c:pt idx="1205">
                  <c:v>1.673611</c:v>
                </c:pt>
                <c:pt idx="1206">
                  <c:v>1.675</c:v>
                </c:pt>
                <c:pt idx="1207">
                  <c:v>1.6763889999999999</c:v>
                </c:pt>
                <c:pt idx="1208">
                  <c:v>1.677778</c:v>
                </c:pt>
                <c:pt idx="1209">
                  <c:v>1.6791670000000001</c:v>
                </c:pt>
                <c:pt idx="1210">
                  <c:v>1.6805559999999999</c:v>
                </c:pt>
                <c:pt idx="1211">
                  <c:v>1.6819440000000001</c:v>
                </c:pt>
                <c:pt idx="1212">
                  <c:v>1.683333</c:v>
                </c:pt>
                <c:pt idx="1213">
                  <c:v>1.6847220000000001</c:v>
                </c:pt>
                <c:pt idx="1214">
                  <c:v>1.6861109999999999</c:v>
                </c:pt>
                <c:pt idx="1215">
                  <c:v>1.6875</c:v>
                </c:pt>
                <c:pt idx="1216">
                  <c:v>1.6888890000000001</c:v>
                </c:pt>
                <c:pt idx="1217">
                  <c:v>1.6902779999999999</c:v>
                </c:pt>
                <c:pt idx="1218">
                  <c:v>1.691667</c:v>
                </c:pt>
                <c:pt idx="1219">
                  <c:v>1.6930559999999999</c:v>
                </c:pt>
                <c:pt idx="1220">
                  <c:v>1.6944440000000001</c:v>
                </c:pt>
                <c:pt idx="1221">
                  <c:v>1.6958329999999999</c:v>
                </c:pt>
                <c:pt idx="1222">
                  <c:v>1.697222</c:v>
                </c:pt>
                <c:pt idx="1223">
                  <c:v>1.6986110000000001</c:v>
                </c:pt>
                <c:pt idx="1224">
                  <c:v>1.7</c:v>
                </c:pt>
                <c:pt idx="1225">
                  <c:v>1.701389</c:v>
                </c:pt>
                <c:pt idx="1226">
                  <c:v>1.7027779999999999</c:v>
                </c:pt>
                <c:pt idx="1227">
                  <c:v>1.704167</c:v>
                </c:pt>
                <c:pt idx="1228">
                  <c:v>1.7055560000000001</c:v>
                </c:pt>
                <c:pt idx="1229">
                  <c:v>1.706944</c:v>
                </c:pt>
                <c:pt idx="1230">
                  <c:v>1.7083330000000001</c:v>
                </c:pt>
                <c:pt idx="1231">
                  <c:v>1.709722</c:v>
                </c:pt>
                <c:pt idx="1232">
                  <c:v>1.711111</c:v>
                </c:pt>
                <c:pt idx="1233">
                  <c:v>1.7124999999999999</c:v>
                </c:pt>
                <c:pt idx="1234">
                  <c:v>1.713889</c:v>
                </c:pt>
                <c:pt idx="1235">
                  <c:v>1.7152780000000001</c:v>
                </c:pt>
                <c:pt idx="1236">
                  <c:v>1.7166669999999999</c:v>
                </c:pt>
                <c:pt idx="1237">
                  <c:v>1.718056</c:v>
                </c:pt>
                <c:pt idx="1238">
                  <c:v>1.719444</c:v>
                </c:pt>
                <c:pt idx="1239">
                  <c:v>1.7208330000000001</c:v>
                </c:pt>
                <c:pt idx="1240">
                  <c:v>1.7222219999999999</c:v>
                </c:pt>
                <c:pt idx="1241">
                  <c:v>1.723611</c:v>
                </c:pt>
                <c:pt idx="1242">
                  <c:v>1.7250000000000001</c:v>
                </c:pt>
                <c:pt idx="1243">
                  <c:v>1.726389</c:v>
                </c:pt>
                <c:pt idx="1244">
                  <c:v>1.727778</c:v>
                </c:pt>
                <c:pt idx="1245">
                  <c:v>1.7291669999999999</c:v>
                </c:pt>
                <c:pt idx="1246">
                  <c:v>1.730556</c:v>
                </c:pt>
                <c:pt idx="1247">
                  <c:v>1.7319439999999999</c:v>
                </c:pt>
                <c:pt idx="1248">
                  <c:v>1.733333</c:v>
                </c:pt>
                <c:pt idx="1249">
                  <c:v>1.7347220000000001</c:v>
                </c:pt>
                <c:pt idx="1250">
                  <c:v>1.736111</c:v>
                </c:pt>
                <c:pt idx="1251">
                  <c:v>1.7375</c:v>
                </c:pt>
                <c:pt idx="1252">
                  <c:v>1.7388889999999999</c:v>
                </c:pt>
                <c:pt idx="1253">
                  <c:v>1.740278</c:v>
                </c:pt>
                <c:pt idx="1254">
                  <c:v>1.7416670000000001</c:v>
                </c:pt>
                <c:pt idx="1255">
                  <c:v>1.7430559999999999</c:v>
                </c:pt>
                <c:pt idx="1256">
                  <c:v>1.7444440000000001</c:v>
                </c:pt>
                <c:pt idx="1257">
                  <c:v>1.745833</c:v>
                </c:pt>
                <c:pt idx="1258">
                  <c:v>1.7472220000000001</c:v>
                </c:pt>
                <c:pt idx="1259">
                  <c:v>1.7486109999999999</c:v>
                </c:pt>
                <c:pt idx="1260">
                  <c:v>1.75</c:v>
                </c:pt>
                <c:pt idx="1261">
                  <c:v>1.7513890000000001</c:v>
                </c:pt>
                <c:pt idx="1262">
                  <c:v>1.7527779999999999</c:v>
                </c:pt>
                <c:pt idx="1263">
                  <c:v>1.754167</c:v>
                </c:pt>
                <c:pt idx="1264">
                  <c:v>1.7555559999999999</c:v>
                </c:pt>
                <c:pt idx="1265">
                  <c:v>1.7569440000000001</c:v>
                </c:pt>
                <c:pt idx="1266">
                  <c:v>1.7583329999999999</c:v>
                </c:pt>
                <c:pt idx="1267">
                  <c:v>1.759722</c:v>
                </c:pt>
                <c:pt idx="1268">
                  <c:v>1.7611110000000001</c:v>
                </c:pt>
                <c:pt idx="1269">
                  <c:v>1.7625</c:v>
                </c:pt>
                <c:pt idx="1270">
                  <c:v>1.763889</c:v>
                </c:pt>
                <c:pt idx="1271">
                  <c:v>1.7652779999999999</c:v>
                </c:pt>
                <c:pt idx="1272">
                  <c:v>1.766667</c:v>
                </c:pt>
                <c:pt idx="1273">
                  <c:v>1.7680560000000001</c:v>
                </c:pt>
                <c:pt idx="1274">
                  <c:v>1.769444</c:v>
                </c:pt>
                <c:pt idx="1275">
                  <c:v>1.7708330000000001</c:v>
                </c:pt>
                <c:pt idx="1276">
                  <c:v>1.772222</c:v>
                </c:pt>
                <c:pt idx="1277">
                  <c:v>1.773611</c:v>
                </c:pt>
                <c:pt idx="1278">
                  <c:v>1.7749999999999999</c:v>
                </c:pt>
                <c:pt idx="1279">
                  <c:v>1.776389</c:v>
                </c:pt>
                <c:pt idx="1280">
                  <c:v>1.7777780000000001</c:v>
                </c:pt>
                <c:pt idx="1281">
                  <c:v>1.7791669999999999</c:v>
                </c:pt>
                <c:pt idx="1282">
                  <c:v>1.780556</c:v>
                </c:pt>
                <c:pt idx="1283">
                  <c:v>1.781944</c:v>
                </c:pt>
                <c:pt idx="1284">
                  <c:v>1.7833330000000001</c:v>
                </c:pt>
                <c:pt idx="1285">
                  <c:v>1.7847219999999999</c:v>
                </c:pt>
                <c:pt idx="1286">
                  <c:v>1.786111</c:v>
                </c:pt>
                <c:pt idx="1287">
                  <c:v>1.7875000000000001</c:v>
                </c:pt>
                <c:pt idx="1288">
                  <c:v>1.788889</c:v>
                </c:pt>
                <c:pt idx="1289">
                  <c:v>1.790278</c:v>
                </c:pt>
                <c:pt idx="1290">
                  <c:v>1.7916669999999999</c:v>
                </c:pt>
                <c:pt idx="1291">
                  <c:v>1.793056</c:v>
                </c:pt>
                <c:pt idx="1292">
                  <c:v>1.7944439999999999</c:v>
                </c:pt>
                <c:pt idx="1293">
                  <c:v>1.795833</c:v>
                </c:pt>
                <c:pt idx="1294">
                  <c:v>1.7972220000000001</c:v>
                </c:pt>
                <c:pt idx="1295">
                  <c:v>1.798611</c:v>
                </c:pt>
                <c:pt idx="1296">
                  <c:v>1.8</c:v>
                </c:pt>
                <c:pt idx="1297">
                  <c:v>1.8013889999999999</c:v>
                </c:pt>
                <c:pt idx="1298">
                  <c:v>1.802778</c:v>
                </c:pt>
                <c:pt idx="1299">
                  <c:v>1.8041670000000001</c:v>
                </c:pt>
                <c:pt idx="1300">
                  <c:v>1.8055559999999999</c:v>
                </c:pt>
                <c:pt idx="1301">
                  <c:v>1.8069440000000001</c:v>
                </c:pt>
                <c:pt idx="1302">
                  <c:v>1.808333</c:v>
                </c:pt>
                <c:pt idx="1303">
                  <c:v>1.8097220000000001</c:v>
                </c:pt>
                <c:pt idx="1304">
                  <c:v>1.8111109999999999</c:v>
                </c:pt>
                <c:pt idx="1305">
                  <c:v>1.8125</c:v>
                </c:pt>
                <c:pt idx="1306">
                  <c:v>1.8138890000000001</c:v>
                </c:pt>
                <c:pt idx="1307">
                  <c:v>1.8152779999999999</c:v>
                </c:pt>
                <c:pt idx="1308">
                  <c:v>1.816667</c:v>
                </c:pt>
                <c:pt idx="1309">
                  <c:v>1.8180559999999999</c:v>
                </c:pt>
                <c:pt idx="1310">
                  <c:v>1.8194440000000001</c:v>
                </c:pt>
                <c:pt idx="1311">
                  <c:v>1.8208329999999999</c:v>
                </c:pt>
                <c:pt idx="1312">
                  <c:v>1.822222</c:v>
                </c:pt>
                <c:pt idx="1313">
                  <c:v>1.8236110000000001</c:v>
                </c:pt>
                <c:pt idx="1314">
                  <c:v>1.825</c:v>
                </c:pt>
                <c:pt idx="1315">
                  <c:v>1.826389</c:v>
                </c:pt>
                <c:pt idx="1316">
                  <c:v>1.8277779999999999</c:v>
                </c:pt>
                <c:pt idx="1317">
                  <c:v>1.829167</c:v>
                </c:pt>
                <c:pt idx="1318">
                  <c:v>1.8305560000000001</c:v>
                </c:pt>
                <c:pt idx="1319">
                  <c:v>1.831944</c:v>
                </c:pt>
                <c:pt idx="1320">
                  <c:v>1.8333330000000001</c:v>
                </c:pt>
                <c:pt idx="1321">
                  <c:v>1.834722</c:v>
                </c:pt>
                <c:pt idx="1322">
                  <c:v>1.836111</c:v>
                </c:pt>
                <c:pt idx="1323">
                  <c:v>1.8374999999999999</c:v>
                </c:pt>
                <c:pt idx="1324">
                  <c:v>1.838889</c:v>
                </c:pt>
                <c:pt idx="1325">
                  <c:v>1.8402780000000001</c:v>
                </c:pt>
                <c:pt idx="1326">
                  <c:v>1.8416669999999999</c:v>
                </c:pt>
                <c:pt idx="1327">
                  <c:v>1.843056</c:v>
                </c:pt>
                <c:pt idx="1328">
                  <c:v>1.844444</c:v>
                </c:pt>
                <c:pt idx="1329">
                  <c:v>1.8458330000000001</c:v>
                </c:pt>
                <c:pt idx="1330">
                  <c:v>1.8472219999999999</c:v>
                </c:pt>
                <c:pt idx="1331">
                  <c:v>1.848611</c:v>
                </c:pt>
                <c:pt idx="1332">
                  <c:v>1.85</c:v>
                </c:pt>
                <c:pt idx="1333">
                  <c:v>1.851389</c:v>
                </c:pt>
                <c:pt idx="1334">
                  <c:v>1.852778</c:v>
                </c:pt>
                <c:pt idx="1335">
                  <c:v>1.8541669999999999</c:v>
                </c:pt>
                <c:pt idx="1336">
                  <c:v>1.855556</c:v>
                </c:pt>
                <c:pt idx="1337">
                  <c:v>1.8569439999999999</c:v>
                </c:pt>
                <c:pt idx="1338">
                  <c:v>1.858333</c:v>
                </c:pt>
                <c:pt idx="1339">
                  <c:v>1.8597220000000001</c:v>
                </c:pt>
                <c:pt idx="1340">
                  <c:v>1.861111</c:v>
                </c:pt>
                <c:pt idx="1341">
                  <c:v>1.8625</c:v>
                </c:pt>
                <c:pt idx="1342">
                  <c:v>1.8638889999999999</c:v>
                </c:pt>
                <c:pt idx="1343">
                  <c:v>1.865278</c:v>
                </c:pt>
                <c:pt idx="1344">
                  <c:v>1.8666670000000001</c:v>
                </c:pt>
                <c:pt idx="1345">
                  <c:v>1.8680559999999999</c:v>
                </c:pt>
                <c:pt idx="1346">
                  <c:v>1.8694440000000001</c:v>
                </c:pt>
                <c:pt idx="1347">
                  <c:v>1.870833</c:v>
                </c:pt>
                <c:pt idx="1348">
                  <c:v>1.8722220000000001</c:v>
                </c:pt>
                <c:pt idx="1349">
                  <c:v>1.8736109999999999</c:v>
                </c:pt>
                <c:pt idx="1350">
                  <c:v>1.875</c:v>
                </c:pt>
                <c:pt idx="1351">
                  <c:v>1.8763890000000001</c:v>
                </c:pt>
                <c:pt idx="1352">
                  <c:v>1.8777779999999999</c:v>
                </c:pt>
                <c:pt idx="1353">
                  <c:v>1.879167</c:v>
                </c:pt>
                <c:pt idx="1354">
                  <c:v>1.8805559999999999</c:v>
                </c:pt>
                <c:pt idx="1355">
                  <c:v>1.8819440000000001</c:v>
                </c:pt>
                <c:pt idx="1356">
                  <c:v>1.8833329999999999</c:v>
                </c:pt>
                <c:pt idx="1357">
                  <c:v>1.884722</c:v>
                </c:pt>
                <c:pt idx="1358">
                  <c:v>1.8861110000000001</c:v>
                </c:pt>
                <c:pt idx="1359">
                  <c:v>1.8875</c:v>
                </c:pt>
                <c:pt idx="1360">
                  <c:v>1.888889</c:v>
                </c:pt>
                <c:pt idx="1361">
                  <c:v>1.8902779999999999</c:v>
                </c:pt>
                <c:pt idx="1362">
                  <c:v>1.891667</c:v>
                </c:pt>
                <c:pt idx="1363">
                  <c:v>1.8930560000000001</c:v>
                </c:pt>
                <c:pt idx="1364">
                  <c:v>1.894444</c:v>
                </c:pt>
                <c:pt idx="1365">
                  <c:v>1.8958330000000001</c:v>
                </c:pt>
                <c:pt idx="1366">
                  <c:v>1.897222</c:v>
                </c:pt>
                <c:pt idx="1367">
                  <c:v>1.898611</c:v>
                </c:pt>
                <c:pt idx="1368">
                  <c:v>1.9</c:v>
                </c:pt>
                <c:pt idx="1369">
                  <c:v>1.901389</c:v>
                </c:pt>
                <c:pt idx="1370">
                  <c:v>1.9027780000000001</c:v>
                </c:pt>
                <c:pt idx="1371">
                  <c:v>1.9041669999999999</c:v>
                </c:pt>
                <c:pt idx="1372">
                  <c:v>1.905556</c:v>
                </c:pt>
                <c:pt idx="1373">
                  <c:v>1.906944</c:v>
                </c:pt>
                <c:pt idx="1374">
                  <c:v>1.9083330000000001</c:v>
                </c:pt>
                <c:pt idx="1375">
                  <c:v>1.9097219999999999</c:v>
                </c:pt>
                <c:pt idx="1376">
                  <c:v>1.911111</c:v>
                </c:pt>
                <c:pt idx="1377">
                  <c:v>1.9125000000000001</c:v>
                </c:pt>
                <c:pt idx="1378">
                  <c:v>1.913889</c:v>
                </c:pt>
                <c:pt idx="1379">
                  <c:v>1.915278</c:v>
                </c:pt>
                <c:pt idx="1380">
                  <c:v>1.9166669999999999</c:v>
                </c:pt>
                <c:pt idx="1381">
                  <c:v>1.918056</c:v>
                </c:pt>
                <c:pt idx="1382">
                  <c:v>1.9194439999999999</c:v>
                </c:pt>
                <c:pt idx="1383">
                  <c:v>1.920833</c:v>
                </c:pt>
                <c:pt idx="1384">
                  <c:v>1.9222220000000001</c:v>
                </c:pt>
                <c:pt idx="1385">
                  <c:v>1.923611</c:v>
                </c:pt>
                <c:pt idx="1386">
                  <c:v>1.925</c:v>
                </c:pt>
                <c:pt idx="1387">
                  <c:v>1.9263889999999999</c:v>
                </c:pt>
                <c:pt idx="1388">
                  <c:v>1.927778</c:v>
                </c:pt>
                <c:pt idx="1389">
                  <c:v>1.9291670000000001</c:v>
                </c:pt>
                <c:pt idx="1390">
                  <c:v>1.9305559999999999</c:v>
                </c:pt>
                <c:pt idx="1391">
                  <c:v>1.9319440000000001</c:v>
                </c:pt>
                <c:pt idx="1392">
                  <c:v>1.933333</c:v>
                </c:pt>
                <c:pt idx="1393">
                  <c:v>1.9347220000000001</c:v>
                </c:pt>
                <c:pt idx="1394">
                  <c:v>1.9361109999999999</c:v>
                </c:pt>
                <c:pt idx="1395">
                  <c:v>1.9375</c:v>
                </c:pt>
                <c:pt idx="1396">
                  <c:v>1.9388890000000001</c:v>
                </c:pt>
                <c:pt idx="1397">
                  <c:v>1.9402779999999999</c:v>
                </c:pt>
                <c:pt idx="1398">
                  <c:v>1.941667</c:v>
                </c:pt>
                <c:pt idx="1399">
                  <c:v>1.9430559999999999</c:v>
                </c:pt>
                <c:pt idx="1400">
                  <c:v>1.9444440000000001</c:v>
                </c:pt>
                <c:pt idx="1401">
                  <c:v>1.9458329999999999</c:v>
                </c:pt>
                <c:pt idx="1402">
                  <c:v>1.947222</c:v>
                </c:pt>
                <c:pt idx="1403">
                  <c:v>1.9486110000000001</c:v>
                </c:pt>
                <c:pt idx="1404">
                  <c:v>1.95</c:v>
                </c:pt>
                <c:pt idx="1405">
                  <c:v>1.951389</c:v>
                </c:pt>
                <c:pt idx="1406">
                  <c:v>1.9527779999999999</c:v>
                </c:pt>
                <c:pt idx="1407">
                  <c:v>1.954167</c:v>
                </c:pt>
                <c:pt idx="1408">
                  <c:v>1.9555560000000001</c:v>
                </c:pt>
                <c:pt idx="1409">
                  <c:v>1.956944</c:v>
                </c:pt>
                <c:pt idx="1410">
                  <c:v>1.9583330000000001</c:v>
                </c:pt>
                <c:pt idx="1411">
                  <c:v>1.959722</c:v>
                </c:pt>
                <c:pt idx="1412">
                  <c:v>1.961111</c:v>
                </c:pt>
                <c:pt idx="1413">
                  <c:v>1.9624999999999999</c:v>
                </c:pt>
                <c:pt idx="1414">
                  <c:v>1.963889</c:v>
                </c:pt>
                <c:pt idx="1415">
                  <c:v>1.9652780000000001</c:v>
                </c:pt>
                <c:pt idx="1416">
                  <c:v>1.9666669999999999</c:v>
                </c:pt>
                <c:pt idx="1417">
                  <c:v>1.968056</c:v>
                </c:pt>
                <c:pt idx="1418">
                  <c:v>1.969444</c:v>
                </c:pt>
                <c:pt idx="1419">
                  <c:v>1.9708330000000001</c:v>
                </c:pt>
                <c:pt idx="1420">
                  <c:v>1.9722219999999999</c:v>
                </c:pt>
                <c:pt idx="1421">
                  <c:v>1.973611</c:v>
                </c:pt>
                <c:pt idx="1422">
                  <c:v>1.9750000000000001</c:v>
                </c:pt>
                <c:pt idx="1423">
                  <c:v>1.976389</c:v>
                </c:pt>
                <c:pt idx="1424">
                  <c:v>1.977778</c:v>
                </c:pt>
                <c:pt idx="1425">
                  <c:v>1.9791669999999999</c:v>
                </c:pt>
                <c:pt idx="1426">
                  <c:v>1.980556</c:v>
                </c:pt>
                <c:pt idx="1427">
                  <c:v>1.9819439999999999</c:v>
                </c:pt>
                <c:pt idx="1428">
                  <c:v>1.983333</c:v>
                </c:pt>
                <c:pt idx="1429">
                  <c:v>1.9847220000000001</c:v>
                </c:pt>
                <c:pt idx="1430">
                  <c:v>1.986111</c:v>
                </c:pt>
                <c:pt idx="1431">
                  <c:v>1.9875</c:v>
                </c:pt>
                <c:pt idx="1432">
                  <c:v>1.9888889999999999</c:v>
                </c:pt>
                <c:pt idx="1433">
                  <c:v>1.990278</c:v>
                </c:pt>
                <c:pt idx="1434">
                  <c:v>1.9916670000000001</c:v>
                </c:pt>
                <c:pt idx="1435">
                  <c:v>1.9930559999999999</c:v>
                </c:pt>
                <c:pt idx="1436">
                  <c:v>1.9944440000000001</c:v>
                </c:pt>
                <c:pt idx="1437">
                  <c:v>1.995833</c:v>
                </c:pt>
                <c:pt idx="1438">
                  <c:v>1.9972220000000001</c:v>
                </c:pt>
                <c:pt idx="1439">
                  <c:v>1.9986109999999999</c:v>
                </c:pt>
                <c:pt idx="1440">
                  <c:v>2</c:v>
                </c:pt>
                <c:pt idx="1441">
                  <c:v>2.0013890000000001</c:v>
                </c:pt>
                <c:pt idx="1442">
                  <c:v>2.0027780000000002</c:v>
                </c:pt>
                <c:pt idx="1443">
                  <c:v>2.0041669999999998</c:v>
                </c:pt>
                <c:pt idx="1444">
                  <c:v>2.0055559999999999</c:v>
                </c:pt>
                <c:pt idx="1445">
                  <c:v>2.0069439999999998</c:v>
                </c:pt>
                <c:pt idx="1446">
                  <c:v>2.0083329999999999</c:v>
                </c:pt>
                <c:pt idx="1447">
                  <c:v>2.009722</c:v>
                </c:pt>
                <c:pt idx="1448">
                  <c:v>2.0111110000000001</c:v>
                </c:pt>
                <c:pt idx="1449">
                  <c:v>2.0125000000000002</c:v>
                </c:pt>
                <c:pt idx="1450">
                  <c:v>2.0138889999999998</c:v>
                </c:pt>
                <c:pt idx="1451">
                  <c:v>2.0152779999999999</c:v>
                </c:pt>
                <c:pt idx="1452">
                  <c:v>2.016667</c:v>
                </c:pt>
                <c:pt idx="1453">
                  <c:v>2.0180560000000001</c:v>
                </c:pt>
                <c:pt idx="1454">
                  <c:v>2.019444</c:v>
                </c:pt>
                <c:pt idx="1455">
                  <c:v>2.0208330000000001</c:v>
                </c:pt>
                <c:pt idx="1456">
                  <c:v>2.0222220000000002</c:v>
                </c:pt>
                <c:pt idx="1457">
                  <c:v>2.0236109999999998</c:v>
                </c:pt>
                <c:pt idx="1458">
                  <c:v>2.0249999999999999</c:v>
                </c:pt>
                <c:pt idx="1459">
                  <c:v>2.026389</c:v>
                </c:pt>
                <c:pt idx="1460">
                  <c:v>2.0277780000000001</c:v>
                </c:pt>
                <c:pt idx="1461">
                  <c:v>2.0291670000000002</c:v>
                </c:pt>
                <c:pt idx="1462">
                  <c:v>2.0305559999999998</c:v>
                </c:pt>
                <c:pt idx="1463">
                  <c:v>2.0319440000000002</c:v>
                </c:pt>
                <c:pt idx="1464">
                  <c:v>2.0333329999999998</c:v>
                </c:pt>
                <c:pt idx="1465">
                  <c:v>2.0347219999999999</c:v>
                </c:pt>
                <c:pt idx="1466">
                  <c:v>2.036111</c:v>
                </c:pt>
                <c:pt idx="1467">
                  <c:v>2.0375000000000001</c:v>
                </c:pt>
                <c:pt idx="1468">
                  <c:v>2.0388890000000002</c:v>
                </c:pt>
                <c:pt idx="1469">
                  <c:v>2.0402779999999998</c:v>
                </c:pt>
                <c:pt idx="1470">
                  <c:v>2.0416669999999999</c:v>
                </c:pt>
                <c:pt idx="1471">
                  <c:v>2.043056</c:v>
                </c:pt>
                <c:pt idx="1472">
                  <c:v>2.0444439999999999</c:v>
                </c:pt>
                <c:pt idx="1473">
                  <c:v>2.045833</c:v>
                </c:pt>
                <c:pt idx="1474">
                  <c:v>2.0472220000000001</c:v>
                </c:pt>
                <c:pt idx="1475">
                  <c:v>2.0486110000000002</c:v>
                </c:pt>
                <c:pt idx="1476">
                  <c:v>2.0499999999999998</c:v>
                </c:pt>
                <c:pt idx="1477">
                  <c:v>2.0513889999999999</c:v>
                </c:pt>
                <c:pt idx="1478">
                  <c:v>2.052778</c:v>
                </c:pt>
                <c:pt idx="1479">
                  <c:v>2.0541670000000001</c:v>
                </c:pt>
                <c:pt idx="1480">
                  <c:v>2.0555560000000002</c:v>
                </c:pt>
                <c:pt idx="1481">
                  <c:v>2.0569440000000001</c:v>
                </c:pt>
                <c:pt idx="1482">
                  <c:v>2.0583330000000002</c:v>
                </c:pt>
                <c:pt idx="1483">
                  <c:v>2.0597219999999998</c:v>
                </c:pt>
                <c:pt idx="1484">
                  <c:v>2.0611109999999999</c:v>
                </c:pt>
                <c:pt idx="1485">
                  <c:v>2.0625</c:v>
                </c:pt>
                <c:pt idx="1486">
                  <c:v>2.0638890000000001</c:v>
                </c:pt>
                <c:pt idx="1487">
                  <c:v>2.0652780000000002</c:v>
                </c:pt>
                <c:pt idx="1488">
                  <c:v>2.0666669999999998</c:v>
                </c:pt>
                <c:pt idx="1489">
                  <c:v>2.0680559999999999</c:v>
                </c:pt>
                <c:pt idx="1490">
                  <c:v>2.0694439999999998</c:v>
                </c:pt>
                <c:pt idx="1491">
                  <c:v>2.0708329999999999</c:v>
                </c:pt>
                <c:pt idx="1492">
                  <c:v>2.072222</c:v>
                </c:pt>
                <c:pt idx="1493">
                  <c:v>2.0736110000000001</c:v>
                </c:pt>
                <c:pt idx="1494">
                  <c:v>2.0750000000000002</c:v>
                </c:pt>
                <c:pt idx="1495">
                  <c:v>2.0763889999999998</c:v>
                </c:pt>
                <c:pt idx="1496">
                  <c:v>2.0777779999999999</c:v>
                </c:pt>
                <c:pt idx="1497">
                  <c:v>2.079167</c:v>
                </c:pt>
                <c:pt idx="1498">
                  <c:v>2.0805560000000001</c:v>
                </c:pt>
                <c:pt idx="1499">
                  <c:v>2.081944</c:v>
                </c:pt>
                <c:pt idx="1500">
                  <c:v>2.0833330000000001</c:v>
                </c:pt>
                <c:pt idx="1501">
                  <c:v>2.0847220000000002</c:v>
                </c:pt>
                <c:pt idx="1502">
                  <c:v>2.0861109999999998</c:v>
                </c:pt>
                <c:pt idx="1503">
                  <c:v>2.0874999999999999</c:v>
                </c:pt>
                <c:pt idx="1504">
                  <c:v>2.088889</c:v>
                </c:pt>
                <c:pt idx="1505">
                  <c:v>2.0902780000000001</c:v>
                </c:pt>
                <c:pt idx="1506">
                  <c:v>2.0916670000000002</c:v>
                </c:pt>
                <c:pt idx="1507">
                  <c:v>2.0930559999999998</c:v>
                </c:pt>
                <c:pt idx="1508">
                  <c:v>2.0944440000000002</c:v>
                </c:pt>
                <c:pt idx="1509">
                  <c:v>2.0958329999999998</c:v>
                </c:pt>
                <c:pt idx="1510">
                  <c:v>2.0972219999999999</c:v>
                </c:pt>
                <c:pt idx="1511">
                  <c:v>2.098611</c:v>
                </c:pt>
                <c:pt idx="1512">
                  <c:v>2.1</c:v>
                </c:pt>
                <c:pt idx="1513">
                  <c:v>2.1013890000000002</c:v>
                </c:pt>
                <c:pt idx="1514">
                  <c:v>2.1027779999999998</c:v>
                </c:pt>
                <c:pt idx="1515">
                  <c:v>2.1041669999999999</c:v>
                </c:pt>
                <c:pt idx="1516">
                  <c:v>2.105556</c:v>
                </c:pt>
                <c:pt idx="1517">
                  <c:v>2.1069439999999999</c:v>
                </c:pt>
                <c:pt idx="1518">
                  <c:v>2.108333</c:v>
                </c:pt>
                <c:pt idx="1519">
                  <c:v>2.1097220000000001</c:v>
                </c:pt>
                <c:pt idx="1520">
                  <c:v>2.1111110000000002</c:v>
                </c:pt>
                <c:pt idx="1521">
                  <c:v>2.1124999999999998</c:v>
                </c:pt>
                <c:pt idx="1522">
                  <c:v>2.1138889999999999</c:v>
                </c:pt>
                <c:pt idx="1523">
                  <c:v>2.115278</c:v>
                </c:pt>
                <c:pt idx="1524">
                  <c:v>2.1166670000000001</c:v>
                </c:pt>
                <c:pt idx="1525">
                  <c:v>2.1180560000000002</c:v>
                </c:pt>
                <c:pt idx="1526">
                  <c:v>2.1194440000000001</c:v>
                </c:pt>
                <c:pt idx="1527">
                  <c:v>2.1208330000000002</c:v>
                </c:pt>
                <c:pt idx="1528">
                  <c:v>2.1222219999999998</c:v>
                </c:pt>
                <c:pt idx="1529">
                  <c:v>2.1236109999999999</c:v>
                </c:pt>
                <c:pt idx="1530">
                  <c:v>2.125</c:v>
                </c:pt>
                <c:pt idx="1531">
                  <c:v>2.1263890000000001</c:v>
                </c:pt>
                <c:pt idx="1532">
                  <c:v>2.1277780000000002</c:v>
                </c:pt>
                <c:pt idx="1533">
                  <c:v>2.1291669999999998</c:v>
                </c:pt>
                <c:pt idx="1534">
                  <c:v>2.1305559999999999</c:v>
                </c:pt>
                <c:pt idx="1535">
                  <c:v>2.1319439999999998</c:v>
                </c:pt>
                <c:pt idx="1536">
                  <c:v>2.1333329999999999</c:v>
                </c:pt>
                <c:pt idx="1537">
                  <c:v>2.134722</c:v>
                </c:pt>
                <c:pt idx="1538">
                  <c:v>2.1361110000000001</c:v>
                </c:pt>
                <c:pt idx="1539">
                  <c:v>2.1375000000000002</c:v>
                </c:pt>
                <c:pt idx="1540">
                  <c:v>2.1388889999999998</c:v>
                </c:pt>
                <c:pt idx="1541">
                  <c:v>2.1402779999999999</c:v>
                </c:pt>
                <c:pt idx="1542">
                  <c:v>2.141667</c:v>
                </c:pt>
                <c:pt idx="1543">
                  <c:v>2.1430560000000001</c:v>
                </c:pt>
                <c:pt idx="1544">
                  <c:v>2.144444</c:v>
                </c:pt>
                <c:pt idx="1545">
                  <c:v>2.1458330000000001</c:v>
                </c:pt>
                <c:pt idx="1546">
                  <c:v>2.1472220000000002</c:v>
                </c:pt>
                <c:pt idx="1547">
                  <c:v>2.1486109999999998</c:v>
                </c:pt>
                <c:pt idx="1548">
                  <c:v>2.15</c:v>
                </c:pt>
                <c:pt idx="1549">
                  <c:v>2.151389</c:v>
                </c:pt>
                <c:pt idx="1550">
                  <c:v>2.1527780000000001</c:v>
                </c:pt>
                <c:pt idx="1551">
                  <c:v>2.1541670000000002</c:v>
                </c:pt>
                <c:pt idx="1552">
                  <c:v>2.1555559999999998</c:v>
                </c:pt>
                <c:pt idx="1553">
                  <c:v>2.1569440000000002</c:v>
                </c:pt>
                <c:pt idx="1554">
                  <c:v>2.1583329999999998</c:v>
                </c:pt>
                <c:pt idx="1555">
                  <c:v>2.1597219999999999</c:v>
                </c:pt>
                <c:pt idx="1556">
                  <c:v>2.161111</c:v>
                </c:pt>
                <c:pt idx="1557">
                  <c:v>2.1625000000000001</c:v>
                </c:pt>
                <c:pt idx="1558">
                  <c:v>2.1638890000000002</c:v>
                </c:pt>
                <c:pt idx="1559">
                  <c:v>2.1652779999999998</c:v>
                </c:pt>
                <c:pt idx="1560">
                  <c:v>2.1666669999999999</c:v>
                </c:pt>
                <c:pt idx="1561">
                  <c:v>2.168056</c:v>
                </c:pt>
                <c:pt idx="1562">
                  <c:v>2.1694439999999999</c:v>
                </c:pt>
                <c:pt idx="1563">
                  <c:v>2.170833</c:v>
                </c:pt>
                <c:pt idx="1564">
                  <c:v>2.1722220000000001</c:v>
                </c:pt>
                <c:pt idx="1565">
                  <c:v>2.1736110000000002</c:v>
                </c:pt>
                <c:pt idx="1566">
                  <c:v>2.1749999999999998</c:v>
                </c:pt>
                <c:pt idx="1567">
                  <c:v>2.1763889999999999</c:v>
                </c:pt>
                <c:pt idx="1568">
                  <c:v>2.177778</c:v>
                </c:pt>
                <c:pt idx="1569">
                  <c:v>2.1791670000000001</c:v>
                </c:pt>
                <c:pt idx="1570">
                  <c:v>2.1805560000000002</c:v>
                </c:pt>
                <c:pt idx="1571">
                  <c:v>2.1819440000000001</c:v>
                </c:pt>
                <c:pt idx="1572">
                  <c:v>2.1833330000000002</c:v>
                </c:pt>
                <c:pt idx="1573">
                  <c:v>2.1847219999999998</c:v>
                </c:pt>
                <c:pt idx="1574">
                  <c:v>2.1861109999999999</c:v>
                </c:pt>
                <c:pt idx="1575">
                  <c:v>2.1875</c:v>
                </c:pt>
                <c:pt idx="1576">
                  <c:v>2.1888890000000001</c:v>
                </c:pt>
                <c:pt idx="1577">
                  <c:v>2.1902780000000002</c:v>
                </c:pt>
                <c:pt idx="1578">
                  <c:v>2.1916669999999998</c:v>
                </c:pt>
                <c:pt idx="1579">
                  <c:v>2.1930559999999999</c:v>
                </c:pt>
                <c:pt idx="1580">
                  <c:v>2.1944439999999998</c:v>
                </c:pt>
                <c:pt idx="1581">
                  <c:v>2.1958329999999999</c:v>
                </c:pt>
                <c:pt idx="1582">
                  <c:v>2.197222</c:v>
                </c:pt>
                <c:pt idx="1583">
                  <c:v>2.1986110000000001</c:v>
                </c:pt>
                <c:pt idx="1584">
                  <c:v>2.2000000000000002</c:v>
                </c:pt>
                <c:pt idx="1585">
                  <c:v>2.2013889999999998</c:v>
                </c:pt>
                <c:pt idx="1586">
                  <c:v>2.2027779999999999</c:v>
                </c:pt>
                <c:pt idx="1587">
                  <c:v>2.204167</c:v>
                </c:pt>
                <c:pt idx="1588">
                  <c:v>2.2055560000000001</c:v>
                </c:pt>
                <c:pt idx="1589">
                  <c:v>2.206944</c:v>
                </c:pt>
                <c:pt idx="1590">
                  <c:v>2.2083330000000001</c:v>
                </c:pt>
                <c:pt idx="1591">
                  <c:v>2.2097220000000002</c:v>
                </c:pt>
                <c:pt idx="1592">
                  <c:v>2.2111109999999998</c:v>
                </c:pt>
                <c:pt idx="1593">
                  <c:v>2.2124999999999999</c:v>
                </c:pt>
                <c:pt idx="1594">
                  <c:v>2.213889</c:v>
                </c:pt>
                <c:pt idx="1595">
                  <c:v>2.2152780000000001</c:v>
                </c:pt>
                <c:pt idx="1596">
                  <c:v>2.2166670000000002</c:v>
                </c:pt>
                <c:pt idx="1597">
                  <c:v>2.2180559999999998</c:v>
                </c:pt>
                <c:pt idx="1598">
                  <c:v>2.2194440000000002</c:v>
                </c:pt>
                <c:pt idx="1599">
                  <c:v>2.2208329999999998</c:v>
                </c:pt>
                <c:pt idx="1600">
                  <c:v>2.2222219999999999</c:v>
                </c:pt>
                <c:pt idx="1601">
                  <c:v>2.223611</c:v>
                </c:pt>
                <c:pt idx="1602">
                  <c:v>2.2250000000000001</c:v>
                </c:pt>
                <c:pt idx="1603">
                  <c:v>2.2263890000000002</c:v>
                </c:pt>
                <c:pt idx="1604">
                  <c:v>2.2277779999999998</c:v>
                </c:pt>
                <c:pt idx="1605">
                  <c:v>2.2291669999999999</c:v>
                </c:pt>
                <c:pt idx="1606">
                  <c:v>2.230556</c:v>
                </c:pt>
                <c:pt idx="1607">
                  <c:v>2.2319439999999999</c:v>
                </c:pt>
                <c:pt idx="1608">
                  <c:v>2.233333</c:v>
                </c:pt>
                <c:pt idx="1609">
                  <c:v>2.2347220000000001</c:v>
                </c:pt>
                <c:pt idx="1610">
                  <c:v>2.2361110000000002</c:v>
                </c:pt>
                <c:pt idx="1611">
                  <c:v>2.2374999999999998</c:v>
                </c:pt>
                <c:pt idx="1612">
                  <c:v>2.2388889999999999</c:v>
                </c:pt>
                <c:pt idx="1613">
                  <c:v>2.240278</c:v>
                </c:pt>
                <c:pt idx="1614">
                  <c:v>2.2416670000000001</c:v>
                </c:pt>
                <c:pt idx="1615">
                  <c:v>2.2430560000000002</c:v>
                </c:pt>
                <c:pt idx="1616">
                  <c:v>2.2444440000000001</c:v>
                </c:pt>
                <c:pt idx="1617">
                  <c:v>2.2458330000000002</c:v>
                </c:pt>
                <c:pt idx="1618">
                  <c:v>2.2472219999999998</c:v>
                </c:pt>
                <c:pt idx="1619">
                  <c:v>2.2486109999999999</c:v>
                </c:pt>
                <c:pt idx="1620">
                  <c:v>2.25</c:v>
                </c:pt>
                <c:pt idx="1621">
                  <c:v>2.2513890000000001</c:v>
                </c:pt>
                <c:pt idx="1622">
                  <c:v>2.2527780000000002</c:v>
                </c:pt>
                <c:pt idx="1623">
                  <c:v>2.2541669999999998</c:v>
                </c:pt>
                <c:pt idx="1624">
                  <c:v>2.2555559999999999</c:v>
                </c:pt>
                <c:pt idx="1625">
                  <c:v>2.2569439999999998</c:v>
                </c:pt>
                <c:pt idx="1626">
                  <c:v>2.2583329999999999</c:v>
                </c:pt>
                <c:pt idx="1627">
                  <c:v>2.259722</c:v>
                </c:pt>
                <c:pt idx="1628">
                  <c:v>2.2611110000000001</c:v>
                </c:pt>
                <c:pt idx="1629">
                  <c:v>2.2625000000000002</c:v>
                </c:pt>
                <c:pt idx="1630">
                  <c:v>2.2638889999999998</c:v>
                </c:pt>
                <c:pt idx="1631">
                  <c:v>2.2652779999999999</c:v>
                </c:pt>
                <c:pt idx="1632">
                  <c:v>2.266667</c:v>
                </c:pt>
                <c:pt idx="1633">
                  <c:v>2.2680560000000001</c:v>
                </c:pt>
                <c:pt idx="1634">
                  <c:v>2.269444</c:v>
                </c:pt>
                <c:pt idx="1635">
                  <c:v>2.2708330000000001</c:v>
                </c:pt>
                <c:pt idx="1636">
                  <c:v>2.2722220000000002</c:v>
                </c:pt>
                <c:pt idx="1637">
                  <c:v>2.2736109999999998</c:v>
                </c:pt>
                <c:pt idx="1638">
                  <c:v>2.2749999999999999</c:v>
                </c:pt>
                <c:pt idx="1639">
                  <c:v>2.276389</c:v>
                </c:pt>
                <c:pt idx="1640">
                  <c:v>2.2777780000000001</c:v>
                </c:pt>
                <c:pt idx="1641">
                  <c:v>2.2791670000000002</c:v>
                </c:pt>
                <c:pt idx="1642">
                  <c:v>2.2805559999999998</c:v>
                </c:pt>
                <c:pt idx="1643">
                  <c:v>2.2819440000000002</c:v>
                </c:pt>
                <c:pt idx="1644">
                  <c:v>2.2833329999999998</c:v>
                </c:pt>
                <c:pt idx="1645">
                  <c:v>2.2847219999999999</c:v>
                </c:pt>
                <c:pt idx="1646">
                  <c:v>2.286111</c:v>
                </c:pt>
                <c:pt idx="1647">
                  <c:v>2.2875000000000001</c:v>
                </c:pt>
                <c:pt idx="1648">
                  <c:v>2.2888890000000002</c:v>
                </c:pt>
                <c:pt idx="1649">
                  <c:v>2.2902779999999998</c:v>
                </c:pt>
                <c:pt idx="1650">
                  <c:v>2.2916669999999999</c:v>
                </c:pt>
                <c:pt idx="1651">
                  <c:v>2.293056</c:v>
                </c:pt>
                <c:pt idx="1652">
                  <c:v>2.2944439999999999</c:v>
                </c:pt>
                <c:pt idx="1653">
                  <c:v>2.295833</c:v>
                </c:pt>
                <c:pt idx="1654">
                  <c:v>2.2972220000000001</c:v>
                </c:pt>
                <c:pt idx="1655">
                  <c:v>2.2986110000000002</c:v>
                </c:pt>
                <c:pt idx="1656">
                  <c:v>2.2999999999999998</c:v>
                </c:pt>
                <c:pt idx="1657">
                  <c:v>2.3013889999999999</c:v>
                </c:pt>
                <c:pt idx="1658">
                  <c:v>2.302778</c:v>
                </c:pt>
                <c:pt idx="1659">
                  <c:v>2.3041670000000001</c:v>
                </c:pt>
                <c:pt idx="1660">
                  <c:v>2.3055560000000002</c:v>
                </c:pt>
                <c:pt idx="1661">
                  <c:v>2.3069440000000001</c:v>
                </c:pt>
                <c:pt idx="1662">
                  <c:v>2.3083330000000002</c:v>
                </c:pt>
                <c:pt idx="1663">
                  <c:v>2.3097219999999998</c:v>
                </c:pt>
                <c:pt idx="1664">
                  <c:v>2.3111109999999999</c:v>
                </c:pt>
                <c:pt idx="1665">
                  <c:v>2.3125</c:v>
                </c:pt>
                <c:pt idx="1666">
                  <c:v>2.3138890000000001</c:v>
                </c:pt>
                <c:pt idx="1667">
                  <c:v>2.3152780000000002</c:v>
                </c:pt>
                <c:pt idx="1668">
                  <c:v>2.3166669999999998</c:v>
                </c:pt>
                <c:pt idx="1669">
                  <c:v>2.3180559999999999</c:v>
                </c:pt>
                <c:pt idx="1670">
                  <c:v>2.3194439999999998</c:v>
                </c:pt>
                <c:pt idx="1671">
                  <c:v>2.3208329999999999</c:v>
                </c:pt>
                <c:pt idx="1672">
                  <c:v>2.322222</c:v>
                </c:pt>
                <c:pt idx="1673">
                  <c:v>2.3236110000000001</c:v>
                </c:pt>
                <c:pt idx="1674">
                  <c:v>2.3250000000000002</c:v>
                </c:pt>
                <c:pt idx="1675">
                  <c:v>2.3263889999999998</c:v>
                </c:pt>
                <c:pt idx="1676">
                  <c:v>2.3277779999999999</c:v>
                </c:pt>
                <c:pt idx="1677">
                  <c:v>2.329167</c:v>
                </c:pt>
                <c:pt idx="1678">
                  <c:v>2.3305560000000001</c:v>
                </c:pt>
                <c:pt idx="1679">
                  <c:v>2.331944</c:v>
                </c:pt>
                <c:pt idx="1680">
                  <c:v>2.3333330000000001</c:v>
                </c:pt>
                <c:pt idx="1681">
                  <c:v>2.3347220000000002</c:v>
                </c:pt>
                <c:pt idx="1682">
                  <c:v>2.3361109999999998</c:v>
                </c:pt>
                <c:pt idx="1683">
                  <c:v>2.3374999999999999</c:v>
                </c:pt>
                <c:pt idx="1684">
                  <c:v>2.338889</c:v>
                </c:pt>
                <c:pt idx="1685">
                  <c:v>2.3402780000000001</c:v>
                </c:pt>
                <c:pt idx="1686">
                  <c:v>2.3416670000000002</c:v>
                </c:pt>
                <c:pt idx="1687">
                  <c:v>2.3430559999999998</c:v>
                </c:pt>
                <c:pt idx="1688">
                  <c:v>2.3444440000000002</c:v>
                </c:pt>
                <c:pt idx="1689">
                  <c:v>2.3458329999999998</c:v>
                </c:pt>
                <c:pt idx="1690">
                  <c:v>2.3472219999999999</c:v>
                </c:pt>
                <c:pt idx="1691">
                  <c:v>2.348611</c:v>
                </c:pt>
                <c:pt idx="1692">
                  <c:v>2.35</c:v>
                </c:pt>
                <c:pt idx="1693">
                  <c:v>2.3513890000000002</c:v>
                </c:pt>
                <c:pt idx="1694">
                  <c:v>2.3527779999999998</c:v>
                </c:pt>
                <c:pt idx="1695">
                  <c:v>2.3541669999999999</c:v>
                </c:pt>
                <c:pt idx="1696">
                  <c:v>2.355556</c:v>
                </c:pt>
                <c:pt idx="1697">
                  <c:v>2.3569439999999999</c:v>
                </c:pt>
                <c:pt idx="1698">
                  <c:v>2.358333</c:v>
                </c:pt>
                <c:pt idx="1699">
                  <c:v>2.3597220000000001</c:v>
                </c:pt>
                <c:pt idx="1700">
                  <c:v>2.3611110000000002</c:v>
                </c:pt>
                <c:pt idx="1701">
                  <c:v>2.3624999999999998</c:v>
                </c:pt>
                <c:pt idx="1702">
                  <c:v>2.3638889999999999</c:v>
                </c:pt>
                <c:pt idx="1703">
                  <c:v>2.365278</c:v>
                </c:pt>
                <c:pt idx="1704">
                  <c:v>2.3666670000000001</c:v>
                </c:pt>
                <c:pt idx="1705">
                  <c:v>2.3680560000000002</c:v>
                </c:pt>
                <c:pt idx="1706">
                  <c:v>2.3694440000000001</c:v>
                </c:pt>
                <c:pt idx="1707">
                  <c:v>2.3708330000000002</c:v>
                </c:pt>
                <c:pt idx="1708">
                  <c:v>2.3722219999999998</c:v>
                </c:pt>
                <c:pt idx="1709">
                  <c:v>2.3736109999999999</c:v>
                </c:pt>
                <c:pt idx="1710">
                  <c:v>2.375</c:v>
                </c:pt>
                <c:pt idx="1711">
                  <c:v>2.3763890000000001</c:v>
                </c:pt>
                <c:pt idx="1712">
                  <c:v>2.3777780000000002</c:v>
                </c:pt>
                <c:pt idx="1713">
                  <c:v>2.3791669999999998</c:v>
                </c:pt>
                <c:pt idx="1714">
                  <c:v>2.3805559999999999</c:v>
                </c:pt>
                <c:pt idx="1715">
                  <c:v>2.3819439999999998</c:v>
                </c:pt>
                <c:pt idx="1716">
                  <c:v>2.3833329999999999</c:v>
                </c:pt>
                <c:pt idx="1717">
                  <c:v>2.384722</c:v>
                </c:pt>
                <c:pt idx="1718">
                  <c:v>2.3861110000000001</c:v>
                </c:pt>
                <c:pt idx="1719">
                  <c:v>2.3875000000000002</c:v>
                </c:pt>
                <c:pt idx="1720">
                  <c:v>2.3888889999999998</c:v>
                </c:pt>
                <c:pt idx="1721">
                  <c:v>2.3902779999999999</c:v>
                </c:pt>
                <c:pt idx="1722">
                  <c:v>2.391667</c:v>
                </c:pt>
                <c:pt idx="1723">
                  <c:v>2.3930560000000001</c:v>
                </c:pt>
                <c:pt idx="1724">
                  <c:v>2.394444</c:v>
                </c:pt>
                <c:pt idx="1725">
                  <c:v>2.3958330000000001</c:v>
                </c:pt>
                <c:pt idx="1726">
                  <c:v>2.3972220000000002</c:v>
                </c:pt>
                <c:pt idx="1727">
                  <c:v>2.3986109999999998</c:v>
                </c:pt>
                <c:pt idx="1728">
                  <c:v>2.4</c:v>
                </c:pt>
                <c:pt idx="1729">
                  <c:v>2.401389</c:v>
                </c:pt>
                <c:pt idx="1730">
                  <c:v>2.4027780000000001</c:v>
                </c:pt>
                <c:pt idx="1731">
                  <c:v>2.4041670000000002</c:v>
                </c:pt>
                <c:pt idx="1732">
                  <c:v>2.4055559999999998</c:v>
                </c:pt>
                <c:pt idx="1733">
                  <c:v>2.4069440000000002</c:v>
                </c:pt>
                <c:pt idx="1734">
                  <c:v>2.4083329999999998</c:v>
                </c:pt>
                <c:pt idx="1735">
                  <c:v>2.4097219999999999</c:v>
                </c:pt>
                <c:pt idx="1736">
                  <c:v>2.411111</c:v>
                </c:pt>
                <c:pt idx="1737">
                  <c:v>2.4125000000000001</c:v>
                </c:pt>
                <c:pt idx="1738">
                  <c:v>2.4138890000000002</c:v>
                </c:pt>
                <c:pt idx="1739">
                  <c:v>2.4152779999999998</c:v>
                </c:pt>
                <c:pt idx="1740">
                  <c:v>2.4166669999999999</c:v>
                </c:pt>
                <c:pt idx="1741">
                  <c:v>2.418056</c:v>
                </c:pt>
                <c:pt idx="1742">
                  <c:v>2.4194439999999999</c:v>
                </c:pt>
                <c:pt idx="1743">
                  <c:v>2.420833</c:v>
                </c:pt>
                <c:pt idx="1744">
                  <c:v>2.4222220000000001</c:v>
                </c:pt>
                <c:pt idx="1745">
                  <c:v>2.4236110000000002</c:v>
                </c:pt>
                <c:pt idx="1746">
                  <c:v>2.4249999999999998</c:v>
                </c:pt>
                <c:pt idx="1747">
                  <c:v>2.4263889999999999</c:v>
                </c:pt>
                <c:pt idx="1748">
                  <c:v>2.427778</c:v>
                </c:pt>
                <c:pt idx="1749">
                  <c:v>2.4291670000000001</c:v>
                </c:pt>
                <c:pt idx="1750">
                  <c:v>2.4305560000000002</c:v>
                </c:pt>
                <c:pt idx="1751">
                  <c:v>2.4319440000000001</c:v>
                </c:pt>
                <c:pt idx="1752">
                  <c:v>2.4333330000000002</c:v>
                </c:pt>
                <c:pt idx="1753">
                  <c:v>2.4347219999999998</c:v>
                </c:pt>
                <c:pt idx="1754">
                  <c:v>2.4361109999999999</c:v>
                </c:pt>
                <c:pt idx="1755">
                  <c:v>2.4375</c:v>
                </c:pt>
                <c:pt idx="1756">
                  <c:v>2.4388890000000001</c:v>
                </c:pt>
                <c:pt idx="1757">
                  <c:v>2.4402780000000002</c:v>
                </c:pt>
                <c:pt idx="1758">
                  <c:v>2.4416669999999998</c:v>
                </c:pt>
                <c:pt idx="1759">
                  <c:v>2.4430559999999999</c:v>
                </c:pt>
                <c:pt idx="1760">
                  <c:v>2.4444439999999998</c:v>
                </c:pt>
                <c:pt idx="1761">
                  <c:v>2.4458329999999999</c:v>
                </c:pt>
                <c:pt idx="1762">
                  <c:v>2.447222</c:v>
                </c:pt>
                <c:pt idx="1763">
                  <c:v>2.4486110000000001</c:v>
                </c:pt>
                <c:pt idx="1764">
                  <c:v>2.4500000000000002</c:v>
                </c:pt>
                <c:pt idx="1765">
                  <c:v>2.4513889999999998</c:v>
                </c:pt>
                <c:pt idx="1766">
                  <c:v>2.4527779999999999</c:v>
                </c:pt>
                <c:pt idx="1767">
                  <c:v>2.454167</c:v>
                </c:pt>
                <c:pt idx="1768">
                  <c:v>2.4555560000000001</c:v>
                </c:pt>
                <c:pt idx="1769">
                  <c:v>2.456944</c:v>
                </c:pt>
                <c:pt idx="1770">
                  <c:v>2.4583330000000001</c:v>
                </c:pt>
                <c:pt idx="1771">
                  <c:v>2.4597220000000002</c:v>
                </c:pt>
                <c:pt idx="1772">
                  <c:v>2.4611109999999998</c:v>
                </c:pt>
                <c:pt idx="1773">
                  <c:v>2.4624999999999999</c:v>
                </c:pt>
                <c:pt idx="1774">
                  <c:v>2.463889</c:v>
                </c:pt>
                <c:pt idx="1775">
                  <c:v>2.4652780000000001</c:v>
                </c:pt>
                <c:pt idx="1776">
                  <c:v>2.4666670000000002</c:v>
                </c:pt>
                <c:pt idx="1777">
                  <c:v>2.4680559999999998</c:v>
                </c:pt>
                <c:pt idx="1778">
                  <c:v>2.4694440000000002</c:v>
                </c:pt>
                <c:pt idx="1779">
                  <c:v>2.4708329999999998</c:v>
                </c:pt>
                <c:pt idx="1780">
                  <c:v>2.4722219999999999</c:v>
                </c:pt>
                <c:pt idx="1781">
                  <c:v>2.473611</c:v>
                </c:pt>
                <c:pt idx="1782">
                  <c:v>2.4750000000000001</c:v>
                </c:pt>
                <c:pt idx="1783">
                  <c:v>2.4763890000000002</c:v>
                </c:pt>
                <c:pt idx="1784">
                  <c:v>2.4777779999999998</c:v>
                </c:pt>
                <c:pt idx="1785">
                  <c:v>2.4791669999999999</c:v>
                </c:pt>
                <c:pt idx="1786">
                  <c:v>2.480556</c:v>
                </c:pt>
                <c:pt idx="1787">
                  <c:v>2.4819439999999999</c:v>
                </c:pt>
                <c:pt idx="1788">
                  <c:v>2.483333</c:v>
                </c:pt>
                <c:pt idx="1789">
                  <c:v>2.4847220000000001</c:v>
                </c:pt>
                <c:pt idx="1790">
                  <c:v>2.4861110000000002</c:v>
                </c:pt>
                <c:pt idx="1791">
                  <c:v>2.4874999999999998</c:v>
                </c:pt>
                <c:pt idx="1792">
                  <c:v>2.4888889999999999</c:v>
                </c:pt>
                <c:pt idx="1793">
                  <c:v>2.490278</c:v>
                </c:pt>
                <c:pt idx="1794">
                  <c:v>2.4916670000000001</c:v>
                </c:pt>
                <c:pt idx="1795">
                  <c:v>2.4930560000000002</c:v>
                </c:pt>
                <c:pt idx="1796">
                  <c:v>2.4944440000000001</c:v>
                </c:pt>
                <c:pt idx="1797">
                  <c:v>2.4958330000000002</c:v>
                </c:pt>
                <c:pt idx="1798">
                  <c:v>2.4972219999999998</c:v>
                </c:pt>
                <c:pt idx="1799">
                  <c:v>2.4986109999999999</c:v>
                </c:pt>
                <c:pt idx="1800">
                  <c:v>2.5</c:v>
                </c:pt>
                <c:pt idx="1801">
                  <c:v>2.5013890000000001</c:v>
                </c:pt>
                <c:pt idx="1802">
                  <c:v>2.5027780000000002</c:v>
                </c:pt>
                <c:pt idx="1803">
                  <c:v>2.5041669999999998</c:v>
                </c:pt>
                <c:pt idx="1804">
                  <c:v>2.5055559999999999</c:v>
                </c:pt>
                <c:pt idx="1805">
                  <c:v>2.5069439999999998</c:v>
                </c:pt>
                <c:pt idx="1806">
                  <c:v>2.5083329999999999</c:v>
                </c:pt>
                <c:pt idx="1807">
                  <c:v>2.509722</c:v>
                </c:pt>
                <c:pt idx="1808">
                  <c:v>2.5111110000000001</c:v>
                </c:pt>
                <c:pt idx="1809">
                  <c:v>2.5125000000000002</c:v>
                </c:pt>
                <c:pt idx="1810">
                  <c:v>2.5138889999999998</c:v>
                </c:pt>
                <c:pt idx="1811">
                  <c:v>2.5152779999999999</c:v>
                </c:pt>
                <c:pt idx="1812">
                  <c:v>2.516667</c:v>
                </c:pt>
                <c:pt idx="1813">
                  <c:v>2.5180560000000001</c:v>
                </c:pt>
                <c:pt idx="1814">
                  <c:v>2.519444</c:v>
                </c:pt>
                <c:pt idx="1815">
                  <c:v>2.5208330000000001</c:v>
                </c:pt>
                <c:pt idx="1816">
                  <c:v>2.5222220000000002</c:v>
                </c:pt>
                <c:pt idx="1817">
                  <c:v>2.5236109999999998</c:v>
                </c:pt>
                <c:pt idx="1818">
                  <c:v>2.5249999999999999</c:v>
                </c:pt>
                <c:pt idx="1819">
                  <c:v>2.526389</c:v>
                </c:pt>
                <c:pt idx="1820">
                  <c:v>2.5277780000000001</c:v>
                </c:pt>
                <c:pt idx="1821">
                  <c:v>2.5291670000000002</c:v>
                </c:pt>
                <c:pt idx="1822">
                  <c:v>2.5305559999999998</c:v>
                </c:pt>
                <c:pt idx="1823">
                  <c:v>2.5319440000000002</c:v>
                </c:pt>
                <c:pt idx="1824">
                  <c:v>2.5333329999999998</c:v>
                </c:pt>
                <c:pt idx="1825">
                  <c:v>2.5347219999999999</c:v>
                </c:pt>
                <c:pt idx="1826">
                  <c:v>2.536111</c:v>
                </c:pt>
                <c:pt idx="1827">
                  <c:v>2.5375000000000001</c:v>
                </c:pt>
                <c:pt idx="1828">
                  <c:v>2.5388890000000002</c:v>
                </c:pt>
                <c:pt idx="1829">
                  <c:v>2.5402779999999998</c:v>
                </c:pt>
                <c:pt idx="1830">
                  <c:v>2.5416669999999999</c:v>
                </c:pt>
                <c:pt idx="1831">
                  <c:v>2.543056</c:v>
                </c:pt>
                <c:pt idx="1832">
                  <c:v>2.5444439999999999</c:v>
                </c:pt>
                <c:pt idx="1833">
                  <c:v>2.545833</c:v>
                </c:pt>
                <c:pt idx="1834">
                  <c:v>2.5472220000000001</c:v>
                </c:pt>
                <c:pt idx="1835">
                  <c:v>2.5486110000000002</c:v>
                </c:pt>
                <c:pt idx="1836">
                  <c:v>2.5499999999999998</c:v>
                </c:pt>
                <c:pt idx="1837">
                  <c:v>2.5513889999999999</c:v>
                </c:pt>
                <c:pt idx="1838">
                  <c:v>2.552778</c:v>
                </c:pt>
                <c:pt idx="1839">
                  <c:v>2.5541670000000001</c:v>
                </c:pt>
                <c:pt idx="1840">
                  <c:v>2.5555560000000002</c:v>
                </c:pt>
                <c:pt idx="1841">
                  <c:v>2.5569440000000001</c:v>
                </c:pt>
                <c:pt idx="1842">
                  <c:v>2.5583330000000002</c:v>
                </c:pt>
                <c:pt idx="1843">
                  <c:v>2.5597219999999998</c:v>
                </c:pt>
                <c:pt idx="1844">
                  <c:v>2.5611109999999999</c:v>
                </c:pt>
                <c:pt idx="1845">
                  <c:v>2.5625</c:v>
                </c:pt>
                <c:pt idx="1846">
                  <c:v>2.5638890000000001</c:v>
                </c:pt>
                <c:pt idx="1847">
                  <c:v>2.5652780000000002</c:v>
                </c:pt>
                <c:pt idx="1848">
                  <c:v>2.5666669999999998</c:v>
                </c:pt>
                <c:pt idx="1849">
                  <c:v>2.5680559999999999</c:v>
                </c:pt>
                <c:pt idx="1850">
                  <c:v>2.5694439999999998</c:v>
                </c:pt>
                <c:pt idx="1851">
                  <c:v>2.5708329999999999</c:v>
                </c:pt>
                <c:pt idx="1852">
                  <c:v>2.572222</c:v>
                </c:pt>
                <c:pt idx="1853">
                  <c:v>2.5736110000000001</c:v>
                </c:pt>
                <c:pt idx="1854">
                  <c:v>2.5750000000000002</c:v>
                </c:pt>
                <c:pt idx="1855">
                  <c:v>2.5763889999999998</c:v>
                </c:pt>
                <c:pt idx="1856">
                  <c:v>2.5777779999999999</c:v>
                </c:pt>
                <c:pt idx="1857">
                  <c:v>2.579167</c:v>
                </c:pt>
                <c:pt idx="1858">
                  <c:v>2.5805560000000001</c:v>
                </c:pt>
                <c:pt idx="1859">
                  <c:v>2.581944</c:v>
                </c:pt>
                <c:pt idx="1860">
                  <c:v>2.5833330000000001</c:v>
                </c:pt>
                <c:pt idx="1861">
                  <c:v>2.5847220000000002</c:v>
                </c:pt>
                <c:pt idx="1862">
                  <c:v>2.5861109999999998</c:v>
                </c:pt>
                <c:pt idx="1863">
                  <c:v>2.5874999999999999</c:v>
                </c:pt>
                <c:pt idx="1864">
                  <c:v>2.588889</c:v>
                </c:pt>
                <c:pt idx="1865">
                  <c:v>2.5902780000000001</c:v>
                </c:pt>
                <c:pt idx="1866">
                  <c:v>2.5916670000000002</c:v>
                </c:pt>
                <c:pt idx="1867">
                  <c:v>2.5930559999999998</c:v>
                </c:pt>
                <c:pt idx="1868">
                  <c:v>2.5944440000000002</c:v>
                </c:pt>
                <c:pt idx="1869">
                  <c:v>2.5958329999999998</c:v>
                </c:pt>
                <c:pt idx="1870">
                  <c:v>2.5972219999999999</c:v>
                </c:pt>
                <c:pt idx="1871">
                  <c:v>2.598611</c:v>
                </c:pt>
                <c:pt idx="1872">
                  <c:v>2.6</c:v>
                </c:pt>
                <c:pt idx="1873">
                  <c:v>2.6013890000000002</c:v>
                </c:pt>
                <c:pt idx="1874">
                  <c:v>2.6027779999999998</c:v>
                </c:pt>
                <c:pt idx="1875">
                  <c:v>2.6041669999999999</c:v>
                </c:pt>
                <c:pt idx="1876">
                  <c:v>2.605556</c:v>
                </c:pt>
                <c:pt idx="1877">
                  <c:v>2.6069439999999999</c:v>
                </c:pt>
                <c:pt idx="1878">
                  <c:v>2.608333</c:v>
                </c:pt>
                <c:pt idx="1879">
                  <c:v>2.6097220000000001</c:v>
                </c:pt>
                <c:pt idx="1880">
                  <c:v>2.6111110000000002</c:v>
                </c:pt>
                <c:pt idx="1881">
                  <c:v>2.6124999999999998</c:v>
                </c:pt>
                <c:pt idx="1882">
                  <c:v>2.6138889999999999</c:v>
                </c:pt>
                <c:pt idx="1883">
                  <c:v>2.615278</c:v>
                </c:pt>
                <c:pt idx="1884">
                  <c:v>2.6166670000000001</c:v>
                </c:pt>
                <c:pt idx="1885">
                  <c:v>2.6180560000000002</c:v>
                </c:pt>
                <c:pt idx="1886">
                  <c:v>2.6194440000000001</c:v>
                </c:pt>
                <c:pt idx="1887">
                  <c:v>2.6208330000000002</c:v>
                </c:pt>
                <c:pt idx="1888">
                  <c:v>2.6222219999999998</c:v>
                </c:pt>
                <c:pt idx="1889">
                  <c:v>2.6236109999999999</c:v>
                </c:pt>
                <c:pt idx="1890">
                  <c:v>2.625</c:v>
                </c:pt>
                <c:pt idx="1891">
                  <c:v>2.6263890000000001</c:v>
                </c:pt>
                <c:pt idx="1892">
                  <c:v>2.6277780000000002</c:v>
                </c:pt>
                <c:pt idx="1893">
                  <c:v>2.6291669999999998</c:v>
                </c:pt>
                <c:pt idx="1894">
                  <c:v>2.6305559999999999</c:v>
                </c:pt>
                <c:pt idx="1895">
                  <c:v>2.6319439999999998</c:v>
                </c:pt>
                <c:pt idx="1896">
                  <c:v>2.6333329999999999</c:v>
                </c:pt>
                <c:pt idx="1897">
                  <c:v>2.634722</c:v>
                </c:pt>
                <c:pt idx="1898">
                  <c:v>2.6361110000000001</c:v>
                </c:pt>
                <c:pt idx="1899">
                  <c:v>2.6375000000000002</c:v>
                </c:pt>
                <c:pt idx="1900">
                  <c:v>2.6388889999999998</c:v>
                </c:pt>
                <c:pt idx="1901">
                  <c:v>2.6402779999999999</c:v>
                </c:pt>
                <c:pt idx="1902">
                  <c:v>2.641667</c:v>
                </c:pt>
                <c:pt idx="1903">
                  <c:v>2.6430560000000001</c:v>
                </c:pt>
                <c:pt idx="1904">
                  <c:v>2.644444</c:v>
                </c:pt>
                <c:pt idx="1905">
                  <c:v>2.6458330000000001</c:v>
                </c:pt>
                <c:pt idx="1906">
                  <c:v>2.6472220000000002</c:v>
                </c:pt>
                <c:pt idx="1907">
                  <c:v>2.6486109999999998</c:v>
                </c:pt>
                <c:pt idx="1908">
                  <c:v>2.65</c:v>
                </c:pt>
                <c:pt idx="1909">
                  <c:v>2.651389</c:v>
                </c:pt>
                <c:pt idx="1910">
                  <c:v>2.6527780000000001</c:v>
                </c:pt>
                <c:pt idx="1911">
                  <c:v>2.6541670000000002</c:v>
                </c:pt>
                <c:pt idx="1912">
                  <c:v>2.6555559999999998</c:v>
                </c:pt>
                <c:pt idx="1913">
                  <c:v>2.6569440000000002</c:v>
                </c:pt>
                <c:pt idx="1914">
                  <c:v>2.6583329999999998</c:v>
                </c:pt>
                <c:pt idx="1915">
                  <c:v>2.6597219999999999</c:v>
                </c:pt>
                <c:pt idx="1916">
                  <c:v>2.661111</c:v>
                </c:pt>
                <c:pt idx="1917">
                  <c:v>2.6625000000000001</c:v>
                </c:pt>
                <c:pt idx="1918">
                  <c:v>2.6638890000000002</c:v>
                </c:pt>
                <c:pt idx="1919">
                  <c:v>2.6652779999999998</c:v>
                </c:pt>
                <c:pt idx="1920">
                  <c:v>2.6666669999999999</c:v>
                </c:pt>
                <c:pt idx="1921">
                  <c:v>2.668056</c:v>
                </c:pt>
                <c:pt idx="1922">
                  <c:v>2.6694439999999999</c:v>
                </c:pt>
                <c:pt idx="1923">
                  <c:v>2.670833</c:v>
                </c:pt>
                <c:pt idx="1924">
                  <c:v>2.6722220000000001</c:v>
                </c:pt>
                <c:pt idx="1925">
                  <c:v>2.6736110000000002</c:v>
                </c:pt>
                <c:pt idx="1926">
                  <c:v>2.6749999999999998</c:v>
                </c:pt>
                <c:pt idx="1927">
                  <c:v>2.6763889999999999</c:v>
                </c:pt>
                <c:pt idx="1928">
                  <c:v>2.677778</c:v>
                </c:pt>
                <c:pt idx="1929">
                  <c:v>2.6791670000000001</c:v>
                </c:pt>
                <c:pt idx="1930">
                  <c:v>2.6805560000000002</c:v>
                </c:pt>
                <c:pt idx="1931">
                  <c:v>2.6819440000000001</c:v>
                </c:pt>
                <c:pt idx="1932">
                  <c:v>2.6833330000000002</c:v>
                </c:pt>
                <c:pt idx="1933">
                  <c:v>2.6847219999999998</c:v>
                </c:pt>
                <c:pt idx="1934">
                  <c:v>2.6861109999999999</c:v>
                </c:pt>
                <c:pt idx="1935">
                  <c:v>2.6875</c:v>
                </c:pt>
                <c:pt idx="1936">
                  <c:v>2.6888890000000001</c:v>
                </c:pt>
                <c:pt idx="1937">
                  <c:v>2.6902780000000002</c:v>
                </c:pt>
                <c:pt idx="1938">
                  <c:v>2.6916669999999998</c:v>
                </c:pt>
                <c:pt idx="1939">
                  <c:v>2.6930559999999999</c:v>
                </c:pt>
                <c:pt idx="1940">
                  <c:v>2.6944439999999998</c:v>
                </c:pt>
                <c:pt idx="1941">
                  <c:v>2.6958329999999999</c:v>
                </c:pt>
                <c:pt idx="1942">
                  <c:v>2.697222</c:v>
                </c:pt>
                <c:pt idx="1943">
                  <c:v>2.6986110000000001</c:v>
                </c:pt>
                <c:pt idx="1944">
                  <c:v>2.7</c:v>
                </c:pt>
                <c:pt idx="1945">
                  <c:v>2.7013889999999998</c:v>
                </c:pt>
                <c:pt idx="1946">
                  <c:v>2.7027779999999999</c:v>
                </c:pt>
                <c:pt idx="1947">
                  <c:v>2.704167</c:v>
                </c:pt>
                <c:pt idx="1948">
                  <c:v>2.7055560000000001</c:v>
                </c:pt>
                <c:pt idx="1949">
                  <c:v>2.706944</c:v>
                </c:pt>
                <c:pt idx="1950">
                  <c:v>2.7083330000000001</c:v>
                </c:pt>
                <c:pt idx="1951">
                  <c:v>2.7097220000000002</c:v>
                </c:pt>
                <c:pt idx="1952">
                  <c:v>2.7111109999999998</c:v>
                </c:pt>
                <c:pt idx="1953">
                  <c:v>2.7124999999999999</c:v>
                </c:pt>
                <c:pt idx="1954">
                  <c:v>2.713889</c:v>
                </c:pt>
                <c:pt idx="1955">
                  <c:v>2.7152780000000001</c:v>
                </c:pt>
                <c:pt idx="1956">
                  <c:v>2.7166670000000002</c:v>
                </c:pt>
                <c:pt idx="1957">
                  <c:v>2.7180559999999998</c:v>
                </c:pt>
                <c:pt idx="1958">
                  <c:v>2.7194440000000002</c:v>
                </c:pt>
                <c:pt idx="1959">
                  <c:v>2.7208329999999998</c:v>
                </c:pt>
                <c:pt idx="1960">
                  <c:v>2.7222219999999999</c:v>
                </c:pt>
                <c:pt idx="1961">
                  <c:v>2.723611</c:v>
                </c:pt>
                <c:pt idx="1962">
                  <c:v>2.7250000000000001</c:v>
                </c:pt>
                <c:pt idx="1963">
                  <c:v>2.7263890000000002</c:v>
                </c:pt>
                <c:pt idx="1964">
                  <c:v>2.7277779999999998</c:v>
                </c:pt>
                <c:pt idx="1965">
                  <c:v>2.7291669999999999</c:v>
                </c:pt>
                <c:pt idx="1966">
                  <c:v>2.730556</c:v>
                </c:pt>
                <c:pt idx="1967">
                  <c:v>2.7319439999999999</c:v>
                </c:pt>
                <c:pt idx="1968">
                  <c:v>2.733333</c:v>
                </c:pt>
                <c:pt idx="1969">
                  <c:v>2.7347220000000001</c:v>
                </c:pt>
                <c:pt idx="1970">
                  <c:v>2.7361110000000002</c:v>
                </c:pt>
                <c:pt idx="1971">
                  <c:v>2.7374999999999998</c:v>
                </c:pt>
                <c:pt idx="1972">
                  <c:v>2.7388889999999999</c:v>
                </c:pt>
                <c:pt idx="1973">
                  <c:v>2.740278</c:v>
                </c:pt>
                <c:pt idx="1974">
                  <c:v>2.7416670000000001</c:v>
                </c:pt>
                <c:pt idx="1975">
                  <c:v>2.7430560000000002</c:v>
                </c:pt>
                <c:pt idx="1976">
                  <c:v>2.7444440000000001</c:v>
                </c:pt>
                <c:pt idx="1977">
                  <c:v>2.7458330000000002</c:v>
                </c:pt>
                <c:pt idx="1978">
                  <c:v>2.7472219999999998</c:v>
                </c:pt>
                <c:pt idx="1979">
                  <c:v>2.7486109999999999</c:v>
                </c:pt>
                <c:pt idx="1980">
                  <c:v>2.75</c:v>
                </c:pt>
                <c:pt idx="1981">
                  <c:v>2.7513890000000001</c:v>
                </c:pt>
                <c:pt idx="1982">
                  <c:v>2.7527780000000002</c:v>
                </c:pt>
                <c:pt idx="1983">
                  <c:v>2.7541669999999998</c:v>
                </c:pt>
                <c:pt idx="1984">
                  <c:v>2.7555559999999999</c:v>
                </c:pt>
                <c:pt idx="1985">
                  <c:v>2.7569439999999998</c:v>
                </c:pt>
                <c:pt idx="1986">
                  <c:v>2.7583329999999999</c:v>
                </c:pt>
                <c:pt idx="1987">
                  <c:v>2.759722</c:v>
                </c:pt>
                <c:pt idx="1988">
                  <c:v>2.7611110000000001</c:v>
                </c:pt>
                <c:pt idx="1989">
                  <c:v>2.7625000000000002</c:v>
                </c:pt>
                <c:pt idx="1990">
                  <c:v>2.7638889999999998</c:v>
                </c:pt>
                <c:pt idx="1991">
                  <c:v>2.7652779999999999</c:v>
                </c:pt>
                <c:pt idx="1992">
                  <c:v>2.766667</c:v>
                </c:pt>
                <c:pt idx="1993">
                  <c:v>2.7680560000000001</c:v>
                </c:pt>
                <c:pt idx="1994">
                  <c:v>2.769444</c:v>
                </c:pt>
                <c:pt idx="1995">
                  <c:v>2.7708330000000001</c:v>
                </c:pt>
                <c:pt idx="1996">
                  <c:v>2.7722220000000002</c:v>
                </c:pt>
                <c:pt idx="1997">
                  <c:v>2.7736109999999998</c:v>
                </c:pt>
                <c:pt idx="1998">
                  <c:v>2.7749999999999999</c:v>
                </c:pt>
                <c:pt idx="1999">
                  <c:v>2.776389</c:v>
                </c:pt>
                <c:pt idx="2000">
                  <c:v>2.7777780000000001</c:v>
                </c:pt>
                <c:pt idx="2001">
                  <c:v>2.7791670000000002</c:v>
                </c:pt>
                <c:pt idx="2002">
                  <c:v>2.7805559999999998</c:v>
                </c:pt>
                <c:pt idx="2003">
                  <c:v>2.7819440000000002</c:v>
                </c:pt>
                <c:pt idx="2004">
                  <c:v>2.7833329999999998</c:v>
                </c:pt>
                <c:pt idx="2005">
                  <c:v>2.7847219999999999</c:v>
                </c:pt>
                <c:pt idx="2006">
                  <c:v>2.786111</c:v>
                </c:pt>
                <c:pt idx="2007">
                  <c:v>2.7875000000000001</c:v>
                </c:pt>
                <c:pt idx="2008">
                  <c:v>2.7888890000000002</c:v>
                </c:pt>
                <c:pt idx="2009">
                  <c:v>2.7902779999999998</c:v>
                </c:pt>
                <c:pt idx="2010">
                  <c:v>2.7916669999999999</c:v>
                </c:pt>
                <c:pt idx="2011">
                  <c:v>2.793056</c:v>
                </c:pt>
                <c:pt idx="2012">
                  <c:v>2.7944439999999999</c:v>
                </c:pt>
                <c:pt idx="2013">
                  <c:v>2.795833</c:v>
                </c:pt>
                <c:pt idx="2014">
                  <c:v>2.7972220000000001</c:v>
                </c:pt>
                <c:pt idx="2015">
                  <c:v>2.7986110000000002</c:v>
                </c:pt>
                <c:pt idx="2016">
                  <c:v>2.8</c:v>
                </c:pt>
                <c:pt idx="2017">
                  <c:v>2.8013889999999999</c:v>
                </c:pt>
                <c:pt idx="2018">
                  <c:v>2.802778</c:v>
                </c:pt>
                <c:pt idx="2019">
                  <c:v>2.8041670000000001</c:v>
                </c:pt>
                <c:pt idx="2020">
                  <c:v>2.8055560000000002</c:v>
                </c:pt>
                <c:pt idx="2021">
                  <c:v>2.8069440000000001</c:v>
                </c:pt>
                <c:pt idx="2022">
                  <c:v>2.8083330000000002</c:v>
                </c:pt>
                <c:pt idx="2023">
                  <c:v>2.8097219999999998</c:v>
                </c:pt>
                <c:pt idx="2024">
                  <c:v>2.8111109999999999</c:v>
                </c:pt>
                <c:pt idx="2025">
                  <c:v>2.8125</c:v>
                </c:pt>
                <c:pt idx="2026">
                  <c:v>2.8138890000000001</c:v>
                </c:pt>
                <c:pt idx="2027">
                  <c:v>2.8152780000000002</c:v>
                </c:pt>
                <c:pt idx="2028">
                  <c:v>2.8166669999999998</c:v>
                </c:pt>
                <c:pt idx="2029">
                  <c:v>2.8180559999999999</c:v>
                </c:pt>
                <c:pt idx="2030">
                  <c:v>2.8194439999999998</c:v>
                </c:pt>
                <c:pt idx="2031">
                  <c:v>2.8208329999999999</c:v>
                </c:pt>
                <c:pt idx="2032">
                  <c:v>2.822222</c:v>
                </c:pt>
                <c:pt idx="2033">
                  <c:v>2.8236110000000001</c:v>
                </c:pt>
                <c:pt idx="2034">
                  <c:v>2.8250000000000002</c:v>
                </c:pt>
                <c:pt idx="2035">
                  <c:v>2.8263889999999998</c:v>
                </c:pt>
                <c:pt idx="2036">
                  <c:v>2.8277779999999999</c:v>
                </c:pt>
                <c:pt idx="2037">
                  <c:v>2.829167</c:v>
                </c:pt>
                <c:pt idx="2038">
                  <c:v>2.8305560000000001</c:v>
                </c:pt>
                <c:pt idx="2039">
                  <c:v>2.831944</c:v>
                </c:pt>
                <c:pt idx="2040">
                  <c:v>2.8333330000000001</c:v>
                </c:pt>
                <c:pt idx="2041">
                  <c:v>2.8347220000000002</c:v>
                </c:pt>
                <c:pt idx="2042">
                  <c:v>2.8361109999999998</c:v>
                </c:pt>
                <c:pt idx="2043">
                  <c:v>2.8374999999999999</c:v>
                </c:pt>
                <c:pt idx="2044">
                  <c:v>2.838889</c:v>
                </c:pt>
                <c:pt idx="2045">
                  <c:v>2.8402780000000001</c:v>
                </c:pt>
                <c:pt idx="2046">
                  <c:v>2.8416670000000002</c:v>
                </c:pt>
                <c:pt idx="2047">
                  <c:v>2.8430559999999998</c:v>
                </c:pt>
                <c:pt idx="2048">
                  <c:v>2.8444440000000002</c:v>
                </c:pt>
                <c:pt idx="2049">
                  <c:v>2.8458329999999998</c:v>
                </c:pt>
                <c:pt idx="2050">
                  <c:v>2.8472219999999999</c:v>
                </c:pt>
                <c:pt idx="2051">
                  <c:v>2.848611</c:v>
                </c:pt>
                <c:pt idx="2052">
                  <c:v>2.85</c:v>
                </c:pt>
                <c:pt idx="2053">
                  <c:v>2.8513890000000002</c:v>
                </c:pt>
                <c:pt idx="2054">
                  <c:v>2.8527779999999998</c:v>
                </c:pt>
                <c:pt idx="2055">
                  <c:v>2.8541669999999999</c:v>
                </c:pt>
                <c:pt idx="2056">
                  <c:v>2.855556</c:v>
                </c:pt>
                <c:pt idx="2057">
                  <c:v>2.8569439999999999</c:v>
                </c:pt>
                <c:pt idx="2058">
                  <c:v>2.858333</c:v>
                </c:pt>
                <c:pt idx="2059">
                  <c:v>2.8597220000000001</c:v>
                </c:pt>
                <c:pt idx="2060">
                  <c:v>2.8611110000000002</c:v>
                </c:pt>
                <c:pt idx="2061">
                  <c:v>2.8624999999999998</c:v>
                </c:pt>
                <c:pt idx="2062">
                  <c:v>2.8638889999999999</c:v>
                </c:pt>
                <c:pt idx="2063">
                  <c:v>2.865278</c:v>
                </c:pt>
                <c:pt idx="2064">
                  <c:v>2.8666670000000001</c:v>
                </c:pt>
                <c:pt idx="2065">
                  <c:v>2.8680560000000002</c:v>
                </c:pt>
                <c:pt idx="2066">
                  <c:v>2.8694440000000001</c:v>
                </c:pt>
                <c:pt idx="2067">
                  <c:v>2.8708330000000002</c:v>
                </c:pt>
                <c:pt idx="2068">
                  <c:v>2.8722219999999998</c:v>
                </c:pt>
                <c:pt idx="2069">
                  <c:v>2.8736109999999999</c:v>
                </c:pt>
                <c:pt idx="2070">
                  <c:v>2.875</c:v>
                </c:pt>
                <c:pt idx="2071">
                  <c:v>2.8763890000000001</c:v>
                </c:pt>
                <c:pt idx="2072">
                  <c:v>2.8777780000000002</c:v>
                </c:pt>
                <c:pt idx="2073">
                  <c:v>2.8791669999999998</c:v>
                </c:pt>
                <c:pt idx="2074">
                  <c:v>2.8805559999999999</c:v>
                </c:pt>
                <c:pt idx="2075">
                  <c:v>2.8819439999999998</c:v>
                </c:pt>
                <c:pt idx="2076">
                  <c:v>2.8833329999999999</c:v>
                </c:pt>
                <c:pt idx="2077">
                  <c:v>2.884722</c:v>
                </c:pt>
                <c:pt idx="2078">
                  <c:v>2.8861110000000001</c:v>
                </c:pt>
                <c:pt idx="2079">
                  <c:v>2.8875000000000002</c:v>
                </c:pt>
                <c:pt idx="2080">
                  <c:v>2.8888889999999998</c:v>
                </c:pt>
                <c:pt idx="2081">
                  <c:v>2.8902779999999999</c:v>
                </c:pt>
                <c:pt idx="2082">
                  <c:v>2.891667</c:v>
                </c:pt>
                <c:pt idx="2083">
                  <c:v>2.8930560000000001</c:v>
                </c:pt>
                <c:pt idx="2084">
                  <c:v>2.894444</c:v>
                </c:pt>
                <c:pt idx="2085">
                  <c:v>2.8958330000000001</c:v>
                </c:pt>
                <c:pt idx="2086">
                  <c:v>2.8972220000000002</c:v>
                </c:pt>
                <c:pt idx="2087">
                  <c:v>2.8986109999999998</c:v>
                </c:pt>
                <c:pt idx="2088">
                  <c:v>2.9</c:v>
                </c:pt>
                <c:pt idx="2089">
                  <c:v>2.901389</c:v>
                </c:pt>
                <c:pt idx="2090">
                  <c:v>2.9027780000000001</c:v>
                </c:pt>
                <c:pt idx="2091">
                  <c:v>2.9041670000000002</c:v>
                </c:pt>
                <c:pt idx="2092">
                  <c:v>2.9055559999999998</c:v>
                </c:pt>
                <c:pt idx="2093">
                  <c:v>2.9069440000000002</c:v>
                </c:pt>
                <c:pt idx="2094">
                  <c:v>2.9083329999999998</c:v>
                </c:pt>
                <c:pt idx="2095">
                  <c:v>2.9097219999999999</c:v>
                </c:pt>
                <c:pt idx="2096">
                  <c:v>2.911111</c:v>
                </c:pt>
                <c:pt idx="2097">
                  <c:v>2.9125000000000001</c:v>
                </c:pt>
                <c:pt idx="2098">
                  <c:v>2.9138890000000002</c:v>
                </c:pt>
                <c:pt idx="2099">
                  <c:v>2.9152779999999998</c:v>
                </c:pt>
                <c:pt idx="2100">
                  <c:v>2.9166669999999999</c:v>
                </c:pt>
                <c:pt idx="2101">
                  <c:v>2.918056</c:v>
                </c:pt>
                <c:pt idx="2102">
                  <c:v>2.9194439999999999</c:v>
                </c:pt>
                <c:pt idx="2103">
                  <c:v>2.920833</c:v>
                </c:pt>
                <c:pt idx="2104">
                  <c:v>2.9222220000000001</c:v>
                </c:pt>
                <c:pt idx="2105">
                  <c:v>2.9236110000000002</c:v>
                </c:pt>
                <c:pt idx="2106">
                  <c:v>2.9249999999999998</c:v>
                </c:pt>
                <c:pt idx="2107">
                  <c:v>2.9263889999999999</c:v>
                </c:pt>
                <c:pt idx="2108">
                  <c:v>2.927778</c:v>
                </c:pt>
                <c:pt idx="2109">
                  <c:v>2.9291670000000001</c:v>
                </c:pt>
                <c:pt idx="2110">
                  <c:v>2.9305560000000002</c:v>
                </c:pt>
                <c:pt idx="2111">
                  <c:v>2.9319440000000001</c:v>
                </c:pt>
                <c:pt idx="2112">
                  <c:v>2.9333330000000002</c:v>
                </c:pt>
                <c:pt idx="2113">
                  <c:v>2.9347219999999998</c:v>
                </c:pt>
                <c:pt idx="2114">
                  <c:v>2.9361109999999999</c:v>
                </c:pt>
                <c:pt idx="2115">
                  <c:v>2.9375</c:v>
                </c:pt>
                <c:pt idx="2116">
                  <c:v>2.9388890000000001</c:v>
                </c:pt>
                <c:pt idx="2117">
                  <c:v>2.9402780000000002</c:v>
                </c:pt>
                <c:pt idx="2118">
                  <c:v>2.9416669999999998</c:v>
                </c:pt>
                <c:pt idx="2119">
                  <c:v>2.9430559999999999</c:v>
                </c:pt>
                <c:pt idx="2120">
                  <c:v>2.9444439999999998</c:v>
                </c:pt>
                <c:pt idx="2121">
                  <c:v>2.9458329999999999</c:v>
                </c:pt>
                <c:pt idx="2122">
                  <c:v>2.947222</c:v>
                </c:pt>
                <c:pt idx="2123">
                  <c:v>2.9486110000000001</c:v>
                </c:pt>
                <c:pt idx="2124">
                  <c:v>2.95</c:v>
                </c:pt>
                <c:pt idx="2125">
                  <c:v>2.9513889999999998</c:v>
                </c:pt>
                <c:pt idx="2126">
                  <c:v>2.9527779999999999</c:v>
                </c:pt>
                <c:pt idx="2127">
                  <c:v>2.954167</c:v>
                </c:pt>
                <c:pt idx="2128">
                  <c:v>2.9555560000000001</c:v>
                </c:pt>
                <c:pt idx="2129">
                  <c:v>2.956944</c:v>
                </c:pt>
                <c:pt idx="2130">
                  <c:v>2.9583330000000001</c:v>
                </c:pt>
                <c:pt idx="2131">
                  <c:v>2.9597220000000002</c:v>
                </c:pt>
                <c:pt idx="2132">
                  <c:v>2.9611109999999998</c:v>
                </c:pt>
                <c:pt idx="2133">
                  <c:v>2.9624999999999999</c:v>
                </c:pt>
                <c:pt idx="2134">
                  <c:v>2.963889</c:v>
                </c:pt>
                <c:pt idx="2135">
                  <c:v>2.9652780000000001</c:v>
                </c:pt>
                <c:pt idx="2136">
                  <c:v>2.9666670000000002</c:v>
                </c:pt>
                <c:pt idx="2137">
                  <c:v>2.9680559999999998</c:v>
                </c:pt>
                <c:pt idx="2138">
                  <c:v>2.9694440000000002</c:v>
                </c:pt>
                <c:pt idx="2139">
                  <c:v>2.9708329999999998</c:v>
                </c:pt>
                <c:pt idx="2140">
                  <c:v>2.9722219999999999</c:v>
                </c:pt>
                <c:pt idx="2141">
                  <c:v>2.973611</c:v>
                </c:pt>
                <c:pt idx="2142">
                  <c:v>2.9750000000000001</c:v>
                </c:pt>
                <c:pt idx="2143">
                  <c:v>2.9763890000000002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CD-40E3-8C49-E1448F878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045487"/>
        <c:axId val="1318042575"/>
      </c:scatterChart>
      <c:valAx>
        <c:axId val="1318045487"/>
        <c:scaling>
          <c:logBase val="10"/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 b="1">
                    <a:solidFill>
                      <a:schemeClr val="tx1"/>
                    </a:solidFill>
                  </a:rPr>
                  <a:t>Presión, psi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18042575"/>
        <c:crosses val="autoZero"/>
        <c:crossBetween val="midCat"/>
      </c:valAx>
      <c:valAx>
        <c:axId val="1318042575"/>
        <c:scaling>
          <c:orientation val="maxMin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 b="1">
                    <a:solidFill>
                      <a:schemeClr val="tx1"/>
                    </a:solidFill>
                  </a:rPr>
                  <a:t>Tiempo. hr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18045487"/>
        <c:crossesAt val="1.0000000000000003E-4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s-BO" b="1">
                <a:solidFill>
                  <a:srgbClr val="002060"/>
                </a:solidFill>
              </a:rPr>
              <a:t>Survey</a:t>
            </a:r>
          </a:p>
        </c:rich>
      </c:tx>
      <c:layout>
        <c:manualLayout>
          <c:xMode val="edge"/>
          <c:yMode val="edge"/>
          <c:x val="1.362028275877278E-2"/>
          <c:y val="6.578948504446143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837314453340393"/>
          <c:y val="0.10634499004437593"/>
          <c:w val="0.78212399920598163"/>
          <c:h val="0.8695321987726548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3000"/>
                </a:srgbClr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Survey!$F$10:$F$73</c:f>
              <c:numCache>
                <c:formatCode>0.00;\-0.0;0.00</c:formatCode>
                <c:ptCount val="64"/>
                <c:pt idx="0">
                  <c:v>0</c:v>
                </c:pt>
                <c:pt idx="1">
                  <c:v>118</c:v>
                </c:pt>
                <c:pt idx="2">
                  <c:v>131</c:v>
                </c:pt>
                <c:pt idx="3">
                  <c:v>144</c:v>
                </c:pt>
                <c:pt idx="4">
                  <c:v>158</c:v>
                </c:pt>
                <c:pt idx="5">
                  <c:v>173</c:v>
                </c:pt>
                <c:pt idx="6">
                  <c:v>186</c:v>
                </c:pt>
                <c:pt idx="7">
                  <c:v>198</c:v>
                </c:pt>
                <c:pt idx="8">
                  <c:v>212</c:v>
                </c:pt>
                <c:pt idx="9">
                  <c:v>226</c:v>
                </c:pt>
                <c:pt idx="10">
                  <c:v>241</c:v>
                </c:pt>
                <c:pt idx="11">
                  <c:v>255</c:v>
                </c:pt>
                <c:pt idx="12">
                  <c:v>270</c:v>
                </c:pt>
                <c:pt idx="13">
                  <c:v>284</c:v>
                </c:pt>
                <c:pt idx="14">
                  <c:v>297</c:v>
                </c:pt>
                <c:pt idx="15">
                  <c:v>311</c:v>
                </c:pt>
                <c:pt idx="16">
                  <c:v>323</c:v>
                </c:pt>
                <c:pt idx="17">
                  <c:v>340</c:v>
                </c:pt>
                <c:pt idx="18">
                  <c:v>353</c:v>
                </c:pt>
                <c:pt idx="19">
                  <c:v>368</c:v>
                </c:pt>
                <c:pt idx="20">
                  <c:v>380</c:v>
                </c:pt>
                <c:pt idx="21">
                  <c:v>394</c:v>
                </c:pt>
                <c:pt idx="22">
                  <c:v>411</c:v>
                </c:pt>
                <c:pt idx="23">
                  <c:v>425</c:v>
                </c:pt>
                <c:pt idx="24">
                  <c:v>442</c:v>
                </c:pt>
                <c:pt idx="25">
                  <c:v>457</c:v>
                </c:pt>
                <c:pt idx="26">
                  <c:v>470</c:v>
                </c:pt>
                <c:pt idx="27">
                  <c:v>485</c:v>
                </c:pt>
                <c:pt idx="28">
                  <c:v>499</c:v>
                </c:pt>
                <c:pt idx="29">
                  <c:v>514</c:v>
                </c:pt>
                <c:pt idx="30">
                  <c:v>529</c:v>
                </c:pt>
                <c:pt idx="31">
                  <c:v>544</c:v>
                </c:pt>
                <c:pt idx="32">
                  <c:v>557</c:v>
                </c:pt>
                <c:pt idx="33">
                  <c:v>572</c:v>
                </c:pt>
                <c:pt idx="34">
                  <c:v>586</c:v>
                </c:pt>
                <c:pt idx="35">
                  <c:v>605</c:v>
                </c:pt>
                <c:pt idx="36">
                  <c:v>629</c:v>
                </c:pt>
                <c:pt idx="37">
                  <c:v>658</c:v>
                </c:pt>
                <c:pt idx="38">
                  <c:v>668</c:v>
                </c:pt>
                <c:pt idx="39">
                  <c:v>696</c:v>
                </c:pt>
                <c:pt idx="40">
                  <c:v>726</c:v>
                </c:pt>
                <c:pt idx="41">
                  <c:v>755</c:v>
                </c:pt>
                <c:pt idx="42">
                  <c:v>783</c:v>
                </c:pt>
                <c:pt idx="43">
                  <c:v>811</c:v>
                </c:pt>
                <c:pt idx="44">
                  <c:v>840</c:v>
                </c:pt>
                <c:pt idx="45">
                  <c:v>870</c:v>
                </c:pt>
                <c:pt idx="46">
                  <c:v>898</c:v>
                </c:pt>
                <c:pt idx="47">
                  <c:v>926</c:v>
                </c:pt>
                <c:pt idx="48">
                  <c:v>958</c:v>
                </c:pt>
                <c:pt idx="49">
                  <c:v>977</c:v>
                </c:pt>
                <c:pt idx="50">
                  <c:v>987</c:v>
                </c:pt>
                <c:pt idx="51">
                  <c:v>996</c:v>
                </c:pt>
                <c:pt idx="52">
                  <c:v>1006</c:v>
                </c:pt>
                <c:pt idx="53">
                  <c:v>1027</c:v>
                </c:pt>
                <c:pt idx="54">
                  <c:v>1055</c:v>
                </c:pt>
                <c:pt idx="55">
                  <c:v>1083</c:v>
                </c:pt>
                <c:pt idx="56">
                  <c:v>1112</c:v>
                </c:pt>
                <c:pt idx="57">
                  <c:v>1141</c:v>
                </c:pt>
                <c:pt idx="58">
                  <c:v>1170</c:v>
                </c:pt>
                <c:pt idx="59">
                  <c:v>1199</c:v>
                </c:pt>
                <c:pt idx="60">
                  <c:v>1228</c:v>
                </c:pt>
                <c:pt idx="61">
                  <c:v>1256</c:v>
                </c:pt>
                <c:pt idx="62">
                  <c:v>1275</c:v>
                </c:pt>
                <c:pt idx="63">
                  <c:v>1290</c:v>
                </c:pt>
              </c:numCache>
            </c:numRef>
          </c:xVal>
          <c:yVal>
            <c:numRef>
              <c:f>Survey!$G$10:$G$73</c:f>
              <c:numCache>
                <c:formatCode>0.00;\-0.0;0.00</c:formatCode>
                <c:ptCount val="64"/>
                <c:pt idx="0">
                  <c:v>0</c:v>
                </c:pt>
                <c:pt idx="1">
                  <c:v>117.998</c:v>
                </c:pt>
                <c:pt idx="2">
                  <c:v>130.99700000000001</c:v>
                </c:pt>
                <c:pt idx="3">
                  <c:v>143.99299999999999</c:v>
                </c:pt>
                <c:pt idx="4">
                  <c:v>157.98400000000001</c:v>
                </c:pt>
                <c:pt idx="5">
                  <c:v>172.96</c:v>
                </c:pt>
                <c:pt idx="6">
                  <c:v>185.923</c:v>
                </c:pt>
                <c:pt idx="7">
                  <c:v>197.87799999999999</c:v>
                </c:pt>
                <c:pt idx="8">
                  <c:v>211.80699999999999</c:v>
                </c:pt>
                <c:pt idx="9">
                  <c:v>225.70599999999999</c:v>
                </c:pt>
                <c:pt idx="10">
                  <c:v>240.54599999999999</c:v>
                </c:pt>
                <c:pt idx="11">
                  <c:v>254.339</c:v>
                </c:pt>
                <c:pt idx="12">
                  <c:v>269.03800000000001</c:v>
                </c:pt>
                <c:pt idx="13">
                  <c:v>282.65899999999999</c:v>
                </c:pt>
                <c:pt idx="14">
                  <c:v>295.20100000000002</c:v>
                </c:pt>
                <c:pt idx="15">
                  <c:v>308.613</c:v>
                </c:pt>
                <c:pt idx="16">
                  <c:v>320.048</c:v>
                </c:pt>
                <c:pt idx="17">
                  <c:v>336.16</c:v>
                </c:pt>
                <c:pt idx="18">
                  <c:v>348.399</c:v>
                </c:pt>
                <c:pt idx="19">
                  <c:v>362.43599999999998</c:v>
                </c:pt>
                <c:pt idx="20">
                  <c:v>373.62700000000001</c:v>
                </c:pt>
                <c:pt idx="21">
                  <c:v>386.589</c:v>
                </c:pt>
                <c:pt idx="22">
                  <c:v>402.15499999999997</c:v>
                </c:pt>
                <c:pt idx="23">
                  <c:v>414.81200000000001</c:v>
                </c:pt>
                <c:pt idx="24">
                  <c:v>429.97800000000001</c:v>
                </c:pt>
                <c:pt idx="25">
                  <c:v>443.27800000000002</c:v>
                </c:pt>
                <c:pt idx="26">
                  <c:v>454.80900000000003</c:v>
                </c:pt>
                <c:pt idx="27">
                  <c:v>468.13200000000001</c:v>
                </c:pt>
                <c:pt idx="28">
                  <c:v>480.51</c:v>
                </c:pt>
                <c:pt idx="29">
                  <c:v>493.69200000000001</c:v>
                </c:pt>
                <c:pt idx="30">
                  <c:v>506.86200000000002</c:v>
                </c:pt>
                <c:pt idx="31">
                  <c:v>520.03200000000004</c:v>
                </c:pt>
                <c:pt idx="32">
                  <c:v>531.45699999999999</c:v>
                </c:pt>
                <c:pt idx="33">
                  <c:v>544.65099999999995</c:v>
                </c:pt>
                <c:pt idx="34">
                  <c:v>557.00699999999995</c:v>
                </c:pt>
                <c:pt idx="35">
                  <c:v>573.85199999999998</c:v>
                </c:pt>
                <c:pt idx="36">
                  <c:v>595.03300000000002</c:v>
                </c:pt>
                <c:pt idx="37">
                  <c:v>620.48199999999997</c:v>
                </c:pt>
                <c:pt idx="38">
                  <c:v>629.25800000000004</c:v>
                </c:pt>
                <c:pt idx="39">
                  <c:v>653.79399999999998</c:v>
                </c:pt>
                <c:pt idx="40">
                  <c:v>680.05799999999999</c:v>
                </c:pt>
                <c:pt idx="41">
                  <c:v>705.447</c:v>
                </c:pt>
                <c:pt idx="42">
                  <c:v>729.96</c:v>
                </c:pt>
                <c:pt idx="43">
                  <c:v>754.47299999999996</c:v>
                </c:pt>
                <c:pt idx="44">
                  <c:v>779.82500000000005</c:v>
                </c:pt>
                <c:pt idx="45">
                  <c:v>806.01199999999994</c:v>
                </c:pt>
                <c:pt idx="46">
                  <c:v>830.43</c:v>
                </c:pt>
                <c:pt idx="47">
                  <c:v>854.81200000000001</c:v>
                </c:pt>
                <c:pt idx="48">
                  <c:v>882.66300000000001</c:v>
                </c:pt>
                <c:pt idx="49">
                  <c:v>899.19200000000001</c:v>
                </c:pt>
                <c:pt idx="50">
                  <c:v>907.91700000000003</c:v>
                </c:pt>
                <c:pt idx="51">
                  <c:v>915.80700000000002</c:v>
                </c:pt>
                <c:pt idx="52">
                  <c:v>924.58299999999997</c:v>
                </c:pt>
                <c:pt idx="53">
                  <c:v>943.02200000000005</c:v>
                </c:pt>
                <c:pt idx="54">
                  <c:v>967.77</c:v>
                </c:pt>
                <c:pt idx="55">
                  <c:v>992.66200000000003</c:v>
                </c:pt>
                <c:pt idx="56">
                  <c:v>1018.52</c:v>
                </c:pt>
                <c:pt idx="57">
                  <c:v>1044.46</c:v>
                </c:pt>
                <c:pt idx="58">
                  <c:v>1070.46</c:v>
                </c:pt>
                <c:pt idx="59">
                  <c:v>1096.57</c:v>
                </c:pt>
                <c:pt idx="60">
                  <c:v>1122.79</c:v>
                </c:pt>
                <c:pt idx="61">
                  <c:v>1148.22</c:v>
                </c:pt>
                <c:pt idx="62">
                  <c:v>1165.55</c:v>
                </c:pt>
                <c:pt idx="63">
                  <c:v>1179.26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03-48F5-AB06-AAFFE513F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solidFill>
                  <a:srgbClr val="0000FF"/>
                </a:solidFill>
              </a:ln>
              <a:effectLst/>
            </c:spPr>
          </c:marker>
          <c:xVal>
            <c:numRef>
              <c:f>Survey!$M$10:$M$15</c:f>
              <c:numCache>
                <c:formatCode>#,##0.00</c:formatCode>
                <c:ptCount val="6"/>
                <c:pt idx="0">
                  <c:v>0</c:v>
                </c:pt>
                <c:pt idx="1">
                  <c:v>249.93600000000001</c:v>
                </c:pt>
                <c:pt idx="2">
                  <c:v>499.87200000000001</c:v>
                </c:pt>
                <c:pt idx="3">
                  <c:v>750.11279999999999</c:v>
                </c:pt>
                <c:pt idx="4">
                  <c:v>950.0616</c:v>
                </c:pt>
                <c:pt idx="5">
                  <c:v>1097.8896</c:v>
                </c:pt>
              </c:numCache>
            </c:numRef>
          </c:xVal>
          <c:yVal>
            <c:numRef>
              <c:f>Survey!$N$10:$N$15</c:f>
              <c:numCache>
                <c:formatCode>#,##0.00</c:formatCode>
                <c:ptCount val="6"/>
                <c:pt idx="0">
                  <c:v>7.078286882425914</c:v>
                </c:pt>
                <c:pt idx="1">
                  <c:v>250.18860358503076</c:v>
                </c:pt>
                <c:pt idx="2">
                  <c:v>474.24971691357666</c:v>
                </c:pt>
                <c:pt idx="3">
                  <c:v>698.58407550227923</c:v>
                </c:pt>
                <c:pt idx="4">
                  <c:v>877.83296616511598</c:v>
                </c:pt>
                <c:pt idx="5">
                  <c:v>1010.3569173411462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03-48F5-AB06-AAFFE513F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042159"/>
        <c:axId val="1318042991"/>
      </c:scatterChart>
      <c:valAx>
        <c:axId val="1318042159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 b="1"/>
                  <a:t>MD,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18042991"/>
        <c:crosses val="autoZero"/>
        <c:crossBetween val="midCat"/>
      </c:valAx>
      <c:valAx>
        <c:axId val="1318042991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 b="1"/>
                  <a:t>TVD,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180421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/>
              <a:t>GE Analysis</a:t>
            </a:r>
          </a:p>
        </c:rich>
      </c:tx>
      <c:layout>
        <c:manualLayout>
          <c:xMode val="edge"/>
          <c:yMode val="edge"/>
          <c:x val="7.2267389340560069E-3"/>
          <c:y val="1.8126888217522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414821613555973"/>
          <c:y val="0.11972666038104458"/>
          <c:w val="0.77477201852835875"/>
          <c:h val="0.85654086928454332"/>
        </c:manualLayout>
      </c:layout>
      <c:scatterChart>
        <c:scatterStyle val="lineMarker"/>
        <c:varyColors val="0"/>
        <c:ser>
          <c:idx val="1"/>
          <c:order val="0"/>
          <c:tx>
            <c:v>GE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FF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'GE Analysis'!$F$10:$F$25</c:f>
              <c:numCache>
                <c:formatCode>#,##0.00</c:formatCode>
                <c:ptCount val="16"/>
                <c:pt idx="0">
                  <c:v>699.66650000000004</c:v>
                </c:pt>
                <c:pt idx="1">
                  <c:v>712.322</c:v>
                </c:pt>
                <c:pt idx="2">
                  <c:v>724.4896</c:v>
                </c:pt>
                <c:pt idx="3">
                  <c:v>736.07029999999997</c:v>
                </c:pt>
                <c:pt idx="4">
                  <c:v>745.14639999999997</c:v>
                </c:pt>
                <c:pt idx="5">
                  <c:v>805.49339999999995</c:v>
                </c:pt>
              </c:numCache>
            </c:numRef>
          </c:xVal>
          <c:yVal>
            <c:numRef>
              <c:f>'GE Analysis'!$D$10:$D$25</c:f>
              <c:numCache>
                <c:formatCode>#,##0.0</c:formatCode>
                <c:ptCount val="16"/>
                <c:pt idx="0">
                  <c:v>7.078286882425914</c:v>
                </c:pt>
                <c:pt idx="1">
                  <c:v>250.18860358503076</c:v>
                </c:pt>
                <c:pt idx="2">
                  <c:v>474.24971691357666</c:v>
                </c:pt>
                <c:pt idx="3">
                  <c:v>698.58407550227923</c:v>
                </c:pt>
                <c:pt idx="4">
                  <c:v>877.83296616511598</c:v>
                </c:pt>
                <c:pt idx="5">
                  <c:v>1010.3569173411462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BA-45A9-884A-4872CD92B730}"/>
            </c:ext>
          </c:extLst>
        </c:ser>
        <c:ser>
          <c:idx val="0"/>
          <c:order val="1"/>
          <c:tx>
            <c:v>Gradient 1</c:v>
          </c:tx>
          <c:spPr>
            <a:ln w="38100" cap="rnd">
              <a:solidFill>
                <a:srgbClr val="00FF00"/>
              </a:solidFill>
              <a:prstDash val="sysDash"/>
              <a:round/>
            </a:ln>
            <a:effectLst/>
          </c:spPr>
          <c:marker>
            <c:symbol val="square"/>
            <c:size val="7"/>
            <c:spPr>
              <a:solidFill>
                <a:srgbClr val="00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'GE Analysis'!$AA$3:$AA$4</c:f>
              <c:numCache>
                <c:formatCode>General</c:formatCode>
                <c:ptCount val="2"/>
                <c:pt idx="0">
                  <c:v>702.67000000000007</c:v>
                </c:pt>
                <c:pt idx="1">
                  <c:v>752.44999999999993</c:v>
                </c:pt>
              </c:numCache>
            </c:numRef>
          </c:xVal>
          <c:yVal>
            <c:numRef>
              <c:f>'GE Analysis'!$Z$3:$Z$4</c:f>
              <c:numCache>
                <c:formatCode>General</c:formatCode>
                <c:ptCount val="2"/>
                <c:pt idx="0">
                  <c:v>61.272000000000006</c:v>
                </c:pt>
                <c:pt idx="1">
                  <c:v>977.77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3DB-4E7A-A43E-329650C19ABC}"/>
            </c:ext>
          </c:extLst>
        </c:ser>
        <c:ser>
          <c:idx val="2"/>
          <c:order val="2"/>
          <c:tx>
            <c:v>Gradient 2</c:v>
          </c:tx>
          <c:spPr>
            <a:ln w="381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square"/>
            <c:size val="7"/>
            <c:spPr>
              <a:solidFill>
                <a:srgbClr val="0000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'GE Analysis'!$AA$7:$AA$8</c:f>
              <c:numCache>
                <c:formatCode>General</c:formatCode>
                <c:ptCount val="2"/>
                <c:pt idx="0">
                  <c:v>723.43000000000006</c:v>
                </c:pt>
                <c:pt idx="1">
                  <c:v>822.73</c:v>
                </c:pt>
              </c:numCache>
            </c:numRef>
          </c:xVal>
          <c:yVal>
            <c:numRef>
              <c:f>'GE Analysis'!$Z$7:$Z$8</c:f>
              <c:numCache>
                <c:formatCode>General</c:formatCode>
                <c:ptCount val="2"/>
                <c:pt idx="0">
                  <c:v>829.63</c:v>
                </c:pt>
                <c:pt idx="1">
                  <c:v>1049.7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3DB-4E7A-A43E-329650C19ABC}"/>
            </c:ext>
          </c:extLst>
        </c:ser>
        <c:ser>
          <c:idx val="3"/>
          <c:order val="3"/>
          <c:tx>
            <c:v>Contact 1</c:v>
          </c:tx>
          <c:spPr>
            <a:ln w="3175" cap="rnd">
              <a:solidFill>
                <a:srgbClr val="000000"/>
              </a:solidFill>
              <a:prstDash val="lgDash"/>
              <a:round/>
            </a:ln>
            <a:effectLst/>
          </c:spPr>
          <c:marker>
            <c:symbol val="square"/>
            <c:size val="4"/>
            <c:spPr>
              <a:solidFill>
                <a:srgbClr val="0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dLbl>
              <c:idx val="0"/>
              <c:spPr>
                <a:solidFill>
                  <a:srgbClr val="FFC000"/>
                </a:solidFill>
                <a:ln w="9525" cap="flat" cmpd="sng" algn="ctr">
                  <a:solidFill>
                    <a:sysClr val="windowText" lastClr="000000">
                      <a:lumMod val="10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3DB-4E7A-A43E-329650C19ABC}"/>
                </c:ext>
              </c:extLst>
            </c:dLbl>
            <c:dLbl>
              <c:idx val="1"/>
              <c:spPr>
                <a:solidFill>
                  <a:srgbClr val="FFC000"/>
                </a:solidFill>
                <a:ln w="9525" cap="flat" cmpd="sng" algn="ctr">
                  <a:solidFill>
                    <a:sysClr val="windowText" lastClr="000000">
                      <a:lumMod val="10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3DB-4E7A-A43E-329650C19A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Hide_Contacts!$AL$15:$AL$16</c:f>
              <c:numCache>
                <c:formatCode>General</c:formatCode>
                <c:ptCount val="2"/>
                <c:pt idx="0" formatCode="0.00;\-0.00;&quot;--&quot;">
                  <c:v>0</c:v>
                </c:pt>
                <c:pt idx="1">
                  <c:v>850</c:v>
                </c:pt>
              </c:numCache>
            </c:numRef>
          </c:xVal>
          <c:yVal>
            <c:numRef>
              <c:f>Hide_Contacts!$AK$15:$AK$16</c:f>
              <c:numCache>
                <c:formatCode>0.0\ "m.";\-0.00;"--"</c:formatCode>
                <c:ptCount val="2"/>
                <c:pt idx="0">
                  <c:v>882.47319836043187</c:v>
                </c:pt>
                <c:pt idx="1">
                  <c:v>882.47319836043187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3DB-4E7A-A43E-329650C19ABC}"/>
            </c:ext>
          </c:extLst>
        </c:ser>
        <c:ser>
          <c:idx val="4"/>
          <c:order val="4"/>
          <c:tx>
            <c:v>Contact_1_P</c:v>
          </c:tx>
          <c:spPr>
            <a:ln w="3175" cap="rnd">
              <a:solidFill>
                <a:srgbClr val="000000"/>
              </a:solidFill>
              <a:prstDash val="lgDash"/>
              <a:round/>
            </a:ln>
            <a:effectLst/>
          </c:spPr>
          <c:marker>
            <c:symbol val="square"/>
            <c:size val="4"/>
            <c:spPr>
              <a:solidFill>
                <a:srgbClr val="0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dLbl>
              <c:idx val="0"/>
              <c:spPr>
                <a:solidFill>
                  <a:srgbClr val="FFC000"/>
                </a:solidFill>
                <a:ln w="9525" cap="flat" cmpd="sng" algn="ctr">
                  <a:solidFill>
                    <a:sysClr val="windowText" lastClr="000000">
                      <a:lumMod val="10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3DB-4E7A-A43E-329650C19A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Hide_Contacts!$AL$19:$AL$20</c:f>
              <c:numCache>
                <c:formatCode>0.0\ " psi";\-0.00;"--"</c:formatCode>
                <c:ptCount val="2"/>
                <c:pt idx="0">
                  <c:v>747.27391146994557</c:v>
                </c:pt>
                <c:pt idx="1">
                  <c:v>747.27391146994557</c:v>
                </c:pt>
              </c:numCache>
            </c:numRef>
          </c:xVal>
          <c:yVal>
            <c:numRef>
              <c:f>Hide_Contacts!$AK$19:$AK$20</c:f>
              <c:numCache>
                <c:formatCode>0.00;\-0.00;"--"</c:formatCode>
                <c:ptCount val="2"/>
                <c:pt idx="0">
                  <c:v>0</c:v>
                </c:pt>
                <c:pt idx="1">
                  <c:v>882.47319836043187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3DB-4E7A-A43E-329650C19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045487"/>
        <c:axId val="1318042575"/>
      </c:scatterChart>
      <c:valAx>
        <c:axId val="1318045487"/>
        <c:scaling>
          <c:orientation val="minMax"/>
          <c:max val="850"/>
          <c:min val="650"/>
        </c:scaling>
        <c:delete val="0"/>
        <c:axPos val="t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 b="1">
                    <a:solidFill>
                      <a:schemeClr val="tx1"/>
                    </a:solidFill>
                  </a:rPr>
                  <a:t>Presión, psi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18042575"/>
        <c:crosses val="autoZero"/>
        <c:crossBetween val="midCat"/>
      </c:valAx>
      <c:valAx>
        <c:axId val="1318042575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 b="1">
                    <a:solidFill>
                      <a:schemeClr val="tx1"/>
                    </a:solidFill>
                  </a:rPr>
                  <a:t>TVD,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.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18045487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17</xdr:col>
      <xdr:colOff>0</xdr:colOff>
      <xdr:row>42</xdr:row>
      <xdr:rowOff>0</xdr:rowOff>
    </xdr:to>
    <xdr:graphicFrame macro="">
      <xdr:nvGraphicFramePr>
        <xdr:cNvPr id="2" name="Data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</xdr:row>
      <xdr:rowOff>0</xdr:rowOff>
    </xdr:from>
    <xdr:to>
      <xdr:col>23</xdr:col>
      <xdr:colOff>0</xdr:colOff>
      <xdr:row>42</xdr:row>
      <xdr:rowOff>0</xdr:rowOff>
    </xdr:to>
    <xdr:graphicFrame macro="">
      <xdr:nvGraphicFramePr>
        <xdr:cNvPr id="6" name="Data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1</xdr:row>
      <xdr:rowOff>0</xdr:rowOff>
    </xdr:from>
    <xdr:to>
      <xdr:col>29</xdr:col>
      <xdr:colOff>0</xdr:colOff>
      <xdr:row>42</xdr:row>
      <xdr:rowOff>0</xdr:rowOff>
    </xdr:to>
    <xdr:graphicFrame macro="">
      <xdr:nvGraphicFramePr>
        <xdr:cNvPr id="8" name="Diferencia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21</xdr:col>
      <xdr:colOff>0</xdr:colOff>
      <xdr:row>45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18</xdr:col>
      <xdr:colOff>0</xdr:colOff>
      <xdr:row>42</xdr:row>
      <xdr:rowOff>0</xdr:rowOff>
    </xdr:to>
    <xdr:graphicFrame macro="">
      <xdr:nvGraphicFramePr>
        <xdr:cNvPr id="2" name="Press_TVD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7">
    <pageSetUpPr autoPageBreaks="0"/>
  </sheetPr>
  <dimension ref="A1:BT500"/>
  <sheetViews>
    <sheetView showGridLines="0" zoomScaleNormal="100" workbookViewId="0">
      <selection activeCell="R35" sqref="R35"/>
    </sheetView>
  </sheetViews>
  <sheetFormatPr defaultRowHeight="12" x14ac:dyDescent="0.2"/>
  <cols>
    <col min="1" max="1" width="22" customWidth="1"/>
    <col min="2" max="2" width="5.1640625" style="1" customWidth="1"/>
    <col min="3" max="3" width="1.33203125" customWidth="1"/>
    <col min="4" max="4" width="19.33203125" customWidth="1"/>
    <col min="5" max="5" width="3.6640625" customWidth="1"/>
    <col min="6" max="6" width="16.6640625" customWidth="1"/>
    <col min="7" max="7" width="18.33203125" customWidth="1"/>
    <col min="8" max="9" width="1.1640625" customWidth="1"/>
    <col min="10" max="10" width="20.5" customWidth="1"/>
    <col min="11" max="11" width="3.6640625" customWidth="1"/>
    <col min="12" max="13" width="13.6640625" customWidth="1"/>
    <col min="14" max="14" width="1.1640625" customWidth="1"/>
    <col min="15" max="15" width="14.6640625" style="41" customWidth="1"/>
    <col min="16" max="16" width="11.1640625" customWidth="1"/>
    <col min="17" max="24" width="12.33203125" customWidth="1"/>
    <col min="25" max="25" width="17.33203125" customWidth="1"/>
    <col min="26" max="26" width="12.33203125" customWidth="1"/>
    <col min="100" max="101" width="13.83203125" customWidth="1"/>
  </cols>
  <sheetData>
    <row r="1" spans="1:72" x14ac:dyDescent="0.2">
      <c r="A1" t="s">
        <v>96</v>
      </c>
      <c r="B1" s="1">
        <v>1</v>
      </c>
      <c r="D1" s="2" t="s">
        <v>0</v>
      </c>
      <c r="E1" s="3"/>
      <c r="F1" s="3"/>
      <c r="G1" s="4"/>
      <c r="J1" s="2" t="s">
        <v>1</v>
      </c>
      <c r="K1" s="3"/>
      <c r="L1" s="3"/>
      <c r="M1" s="4"/>
      <c r="O1"/>
    </row>
    <row r="2" spans="1:72" x14ac:dyDescent="0.2">
      <c r="D2" s="5" t="s">
        <v>2</v>
      </c>
      <c r="E2" s="6" t="s">
        <v>3</v>
      </c>
      <c r="F2" s="7">
        <v>25569</v>
      </c>
      <c r="G2" s="8"/>
      <c r="J2" s="9" t="s">
        <v>4</v>
      </c>
      <c r="K2" s="6" t="s">
        <v>3</v>
      </c>
      <c r="L2" s="6" t="s">
        <v>42</v>
      </c>
      <c r="M2" s="8"/>
      <c r="O2"/>
    </row>
    <row r="3" spans="1:72" x14ac:dyDescent="0.2">
      <c r="D3" s="10" t="s">
        <v>6</v>
      </c>
      <c r="E3" s="11" t="s">
        <v>3</v>
      </c>
      <c r="F3" s="12">
        <v>44926</v>
      </c>
      <c r="G3" s="13"/>
      <c r="J3" s="14" t="s">
        <v>7</v>
      </c>
      <c r="K3" t="s">
        <v>3</v>
      </c>
      <c r="L3" t="s">
        <v>97</v>
      </c>
      <c r="M3" s="15"/>
      <c r="O3"/>
    </row>
    <row r="4" spans="1:72" x14ac:dyDescent="0.2">
      <c r="J4" s="14" t="s">
        <v>8</v>
      </c>
      <c r="K4" t="s">
        <v>3</v>
      </c>
      <c r="L4" t="s">
        <v>99</v>
      </c>
      <c r="M4" s="15"/>
      <c r="O4"/>
      <c r="BS4" s="17"/>
    </row>
    <row r="5" spans="1:72" x14ac:dyDescent="0.2">
      <c r="J5" s="14" t="s">
        <v>9</v>
      </c>
      <c r="K5" t="s">
        <v>3</v>
      </c>
      <c r="L5" t="s">
        <v>98</v>
      </c>
      <c r="M5" s="15"/>
      <c r="O5"/>
      <c r="BS5" s="17"/>
    </row>
    <row r="6" spans="1:72" x14ac:dyDescent="0.2">
      <c r="D6" s="18" t="s">
        <v>10</v>
      </c>
      <c r="E6" s="6" t="s">
        <v>3</v>
      </c>
      <c r="F6" s="19">
        <f>SUM(E10:E500)</f>
        <v>3</v>
      </c>
      <c r="G6" s="20"/>
      <c r="J6" s="14" t="s">
        <v>11</v>
      </c>
      <c r="K6" t="s">
        <v>3</v>
      </c>
      <c r="L6" t="s">
        <v>12</v>
      </c>
      <c r="M6" s="15"/>
      <c r="O6"/>
      <c r="BS6" s="17"/>
    </row>
    <row r="7" spans="1:72" x14ac:dyDescent="0.2">
      <c r="D7" s="21" t="s">
        <v>13</v>
      </c>
      <c r="E7" s="22" t="s">
        <v>3</v>
      </c>
      <c r="F7" s="23">
        <f>COUNT(E10:E500)-F6</f>
        <v>1</v>
      </c>
      <c r="G7" s="24"/>
      <c r="J7" s="25" t="s">
        <v>14</v>
      </c>
      <c r="K7" s="11" t="s">
        <v>3</v>
      </c>
      <c r="L7" s="11" t="s">
        <v>15</v>
      </c>
      <c r="M7" s="13"/>
      <c r="O7"/>
      <c r="BS7" s="17"/>
    </row>
    <row r="8" spans="1:72" x14ac:dyDescent="0.2">
      <c r="O8"/>
      <c r="BS8" s="17"/>
    </row>
    <row r="9" spans="1:72" x14ac:dyDescent="0.2">
      <c r="A9" s="66" t="s">
        <v>16</v>
      </c>
      <c r="B9" s="26"/>
      <c r="D9" s="2" t="s">
        <v>9</v>
      </c>
      <c r="E9" s="3"/>
      <c r="F9" s="27" t="s">
        <v>8</v>
      </c>
      <c r="G9" s="4" t="s">
        <v>7</v>
      </c>
      <c r="J9" s="2" t="s">
        <v>17</v>
      </c>
      <c r="K9" s="3"/>
      <c r="L9" s="3"/>
      <c r="M9" s="4"/>
      <c r="O9"/>
      <c r="BS9" s="17"/>
    </row>
    <row r="10" spans="1:72" x14ac:dyDescent="0.2">
      <c r="A10" s="28" t="s">
        <v>18</v>
      </c>
      <c r="B10" s="29">
        <v>0</v>
      </c>
      <c r="D10" s="30" t="s">
        <v>131</v>
      </c>
      <c r="E10" s="31">
        <v>1</v>
      </c>
      <c r="F10" s="32" t="s">
        <v>132</v>
      </c>
      <c r="G10" s="33" t="s">
        <v>97</v>
      </c>
      <c r="H10" s="34" t="s">
        <v>12</v>
      </c>
      <c r="I10" s="34" t="s">
        <v>15</v>
      </c>
      <c r="J10" s="9" t="s">
        <v>19</v>
      </c>
      <c r="K10" s="6" t="s">
        <v>3</v>
      </c>
      <c r="L10" s="19" t="s">
        <v>99</v>
      </c>
      <c r="M10" s="8"/>
      <c r="O10"/>
      <c r="AE10" s="17"/>
      <c r="BS10" s="17"/>
      <c r="BT10" s="17"/>
    </row>
    <row r="11" spans="1:72" x14ac:dyDescent="0.2">
      <c r="A11" s="35" t="s">
        <v>20</v>
      </c>
      <c r="B11" s="36">
        <v>0</v>
      </c>
      <c r="D11" s="37" t="s">
        <v>133</v>
      </c>
      <c r="E11" s="38">
        <v>0</v>
      </c>
      <c r="F11" s="39" t="s">
        <v>134</v>
      </c>
      <c r="G11" s="40" t="s">
        <v>97</v>
      </c>
      <c r="H11" s="34" t="s">
        <v>135</v>
      </c>
      <c r="I11" s="34" t="s">
        <v>136</v>
      </c>
      <c r="J11" s="14" t="s">
        <v>4</v>
      </c>
      <c r="K11" t="s">
        <v>3</v>
      </c>
      <c r="L11" s="41" t="s">
        <v>100</v>
      </c>
      <c r="M11" s="15"/>
      <c r="O11"/>
      <c r="AE11" s="17"/>
      <c r="BS11" s="17"/>
      <c r="BT11" s="17"/>
    </row>
    <row r="12" spans="1:72" x14ac:dyDescent="0.2">
      <c r="A12" s="28" t="s">
        <v>21</v>
      </c>
      <c r="B12" s="29">
        <v>0</v>
      </c>
      <c r="D12" s="37" t="s">
        <v>137</v>
      </c>
      <c r="E12" s="38">
        <v>1</v>
      </c>
      <c r="F12" s="39" t="s">
        <v>138</v>
      </c>
      <c r="G12" s="40" t="s">
        <v>97</v>
      </c>
      <c r="H12" s="34" t="s">
        <v>12</v>
      </c>
      <c r="I12" s="34" t="s">
        <v>15</v>
      </c>
      <c r="J12" s="14" t="s">
        <v>22</v>
      </c>
      <c r="K12" t="s">
        <v>3</v>
      </c>
      <c r="L12" s="41" t="s">
        <v>23</v>
      </c>
      <c r="M12" s="15"/>
      <c r="O12"/>
      <c r="AE12" s="17"/>
      <c r="BS12" s="17"/>
      <c r="BT12" s="17"/>
    </row>
    <row r="13" spans="1:72" x14ac:dyDescent="0.2">
      <c r="A13" s="35" t="s">
        <v>24</v>
      </c>
      <c r="B13" s="36">
        <v>0</v>
      </c>
      <c r="D13" s="37" t="s">
        <v>98</v>
      </c>
      <c r="E13" s="38">
        <v>1</v>
      </c>
      <c r="F13" s="39" t="s">
        <v>99</v>
      </c>
      <c r="G13" s="40" t="s">
        <v>97</v>
      </c>
      <c r="H13" s="34" t="s">
        <v>12</v>
      </c>
      <c r="I13" s="34" t="s">
        <v>15</v>
      </c>
      <c r="J13" s="14" t="s">
        <v>25</v>
      </c>
      <c r="K13" t="s">
        <v>3</v>
      </c>
      <c r="L13" s="41" t="s">
        <v>26</v>
      </c>
      <c r="M13" s="15"/>
      <c r="O13"/>
      <c r="AE13" s="17"/>
      <c r="BS13" s="17"/>
      <c r="BT13" s="17"/>
    </row>
    <row r="14" spans="1:72" x14ac:dyDescent="0.2">
      <c r="A14" s="28" t="s">
        <v>27</v>
      </c>
      <c r="B14" s="29">
        <v>0</v>
      </c>
      <c r="D14" s="37"/>
      <c r="E14" s="38"/>
      <c r="F14" s="39"/>
      <c r="G14" s="40"/>
      <c r="H14" s="34"/>
      <c r="I14" s="34"/>
      <c r="J14" s="14" t="s">
        <v>28</v>
      </c>
      <c r="K14" t="s">
        <v>3</v>
      </c>
      <c r="L14" s="41" t="s">
        <v>101</v>
      </c>
      <c r="M14" s="15"/>
      <c r="O14"/>
      <c r="AE14" s="17"/>
      <c r="BS14" s="17"/>
      <c r="BT14" s="17"/>
    </row>
    <row r="15" spans="1:72" x14ac:dyDescent="0.2">
      <c r="A15" s="35" t="s">
        <v>29</v>
      </c>
      <c r="B15" s="36">
        <v>0</v>
      </c>
      <c r="D15" s="37"/>
      <c r="E15" s="38"/>
      <c r="F15" s="39"/>
      <c r="G15" s="40"/>
      <c r="H15" s="34"/>
      <c r="I15" s="34"/>
      <c r="J15" s="14" t="s">
        <v>30</v>
      </c>
      <c r="K15" t="s">
        <v>3</v>
      </c>
      <c r="L15" s="42">
        <v>489329.9</v>
      </c>
      <c r="M15" s="15" t="s">
        <v>31</v>
      </c>
      <c r="O15"/>
      <c r="AE15" s="17"/>
      <c r="BS15" s="17"/>
      <c r="BT15" s="17"/>
    </row>
    <row r="16" spans="1:72" x14ac:dyDescent="0.2">
      <c r="A16" s="28" t="s">
        <v>32</v>
      </c>
      <c r="B16" s="29">
        <v>0</v>
      </c>
      <c r="D16" s="37"/>
      <c r="E16" s="38"/>
      <c r="F16" s="39"/>
      <c r="G16" s="40"/>
      <c r="H16" s="34"/>
      <c r="I16" s="34"/>
      <c r="J16" s="14" t="s">
        <v>33</v>
      </c>
      <c r="K16" t="s">
        <v>3</v>
      </c>
      <c r="L16" s="42">
        <v>7980387.9000000004</v>
      </c>
      <c r="M16" s="15" t="s">
        <v>31</v>
      </c>
      <c r="O16"/>
      <c r="AE16" s="17"/>
      <c r="BS16" s="17"/>
      <c r="BT16" s="17"/>
    </row>
    <row r="17" spans="1:72" x14ac:dyDescent="0.2">
      <c r="A17" s="35" t="s">
        <v>34</v>
      </c>
      <c r="B17" s="36">
        <v>0</v>
      </c>
      <c r="D17" s="37"/>
      <c r="E17" s="38"/>
      <c r="F17" s="39"/>
      <c r="G17" s="40"/>
      <c r="H17" s="34"/>
      <c r="I17" s="34"/>
      <c r="J17" s="14" t="s">
        <v>35</v>
      </c>
      <c r="K17" t="s">
        <v>3</v>
      </c>
      <c r="L17" s="42">
        <v>444.5</v>
      </c>
      <c r="M17" s="15" t="s">
        <v>31</v>
      </c>
      <c r="O17"/>
      <c r="AE17" s="17"/>
      <c r="BT17" s="17"/>
    </row>
    <row r="18" spans="1:72" x14ac:dyDescent="0.2">
      <c r="A18" s="28" t="s">
        <v>36</v>
      </c>
      <c r="B18" s="29">
        <v>0</v>
      </c>
      <c r="D18" s="37"/>
      <c r="E18" s="38"/>
      <c r="F18" s="39"/>
      <c r="G18" s="40"/>
      <c r="H18" s="34"/>
      <c r="I18" s="34"/>
      <c r="J18" s="14" t="s">
        <v>37</v>
      </c>
      <c r="K18" t="s">
        <v>3</v>
      </c>
      <c r="L18" s="42">
        <v>455.12</v>
      </c>
      <c r="M18" s="15" t="s">
        <v>31</v>
      </c>
      <c r="O18"/>
      <c r="AE18" s="17"/>
      <c r="BT18" s="17"/>
    </row>
    <row r="19" spans="1:72" x14ac:dyDescent="0.2">
      <c r="A19" s="35" t="s">
        <v>38</v>
      </c>
      <c r="B19" s="36">
        <v>0</v>
      </c>
      <c r="D19" s="37"/>
      <c r="E19" s="38"/>
      <c r="F19" s="39"/>
      <c r="G19" s="40"/>
      <c r="H19" s="34"/>
      <c r="I19" s="34"/>
      <c r="J19" s="14" t="s">
        <v>39</v>
      </c>
      <c r="K19" t="s">
        <v>3</v>
      </c>
      <c r="L19" s="42">
        <v>4338</v>
      </c>
      <c r="M19" s="15" t="s">
        <v>31</v>
      </c>
      <c r="O19"/>
      <c r="AE19" s="17"/>
      <c r="BT19" s="17"/>
    </row>
    <row r="20" spans="1:72" x14ac:dyDescent="0.2">
      <c r="A20" s="28" t="s">
        <v>40</v>
      </c>
      <c r="B20" s="29">
        <v>0</v>
      </c>
      <c r="D20" s="37"/>
      <c r="E20" s="38"/>
      <c r="F20" s="39"/>
      <c r="G20" s="40"/>
      <c r="H20" s="34"/>
      <c r="I20" s="34"/>
      <c r="J20" s="14" t="s">
        <v>41</v>
      </c>
      <c r="K20" t="s">
        <v>3</v>
      </c>
      <c r="L20" s="42">
        <v>4298.51</v>
      </c>
      <c r="M20" s="15" t="s">
        <v>31</v>
      </c>
      <c r="O20"/>
      <c r="AE20" s="17"/>
      <c r="BT20" s="17"/>
    </row>
    <row r="21" spans="1:72" x14ac:dyDescent="0.2">
      <c r="A21" s="65" t="s">
        <v>42</v>
      </c>
      <c r="B21" s="36">
        <v>1</v>
      </c>
      <c r="D21" s="37"/>
      <c r="E21" s="38"/>
      <c r="F21" s="39"/>
      <c r="G21" s="40"/>
      <c r="H21" s="34"/>
      <c r="I21" s="34"/>
      <c r="J21" s="14" t="s">
        <v>43</v>
      </c>
      <c r="K21" t="s">
        <v>3</v>
      </c>
      <c r="L21" s="42">
        <v>-3843.31</v>
      </c>
      <c r="M21" s="15" t="s">
        <v>31</v>
      </c>
      <c r="O21"/>
      <c r="AE21" s="17"/>
      <c r="BT21" s="17"/>
    </row>
    <row r="22" spans="1:72" x14ac:dyDescent="0.2">
      <c r="A22" s="28" t="s">
        <v>44</v>
      </c>
      <c r="B22" s="29">
        <v>0</v>
      </c>
      <c r="D22" s="37"/>
      <c r="E22" s="38"/>
      <c r="F22" s="39"/>
      <c r="G22" s="40"/>
      <c r="H22" s="34"/>
      <c r="I22" s="34"/>
      <c r="J22" s="14" t="s">
        <v>45</v>
      </c>
      <c r="K22" t="s">
        <v>3</v>
      </c>
      <c r="L22" s="41" t="s">
        <v>103</v>
      </c>
      <c r="M22" s="15"/>
      <c r="O22"/>
      <c r="AE22" s="17"/>
      <c r="BT22" s="17"/>
    </row>
    <row r="23" spans="1:72" x14ac:dyDescent="0.2">
      <c r="A23" s="35" t="s">
        <v>46</v>
      </c>
      <c r="B23" s="36">
        <v>0</v>
      </c>
      <c r="D23" s="37"/>
      <c r="E23" s="38"/>
      <c r="F23" s="39"/>
      <c r="G23" s="40"/>
      <c r="H23" s="34"/>
      <c r="I23" s="34"/>
      <c r="J23" s="14" t="s">
        <v>47</v>
      </c>
      <c r="K23" t="s">
        <v>3</v>
      </c>
      <c r="L23" s="43" t="s">
        <v>104</v>
      </c>
      <c r="M23" s="15"/>
      <c r="O23"/>
      <c r="AE23" s="17"/>
      <c r="BT23" s="17"/>
    </row>
    <row r="24" spans="1:72" x14ac:dyDescent="0.2">
      <c r="A24" s="28" t="s">
        <v>48</v>
      </c>
      <c r="B24" s="29">
        <v>0</v>
      </c>
      <c r="D24" s="37"/>
      <c r="E24" s="38"/>
      <c r="F24" s="39"/>
      <c r="G24" s="40"/>
      <c r="H24" s="34"/>
      <c r="I24" s="34"/>
      <c r="J24" s="14" t="s">
        <v>49</v>
      </c>
      <c r="K24" t="s">
        <v>3</v>
      </c>
      <c r="L24" s="43" t="s">
        <v>105</v>
      </c>
      <c r="M24" s="15"/>
      <c r="O24"/>
      <c r="AE24" s="17"/>
      <c r="BT24" s="17"/>
    </row>
    <row r="25" spans="1:72" x14ac:dyDescent="0.2">
      <c r="A25" s="35" t="s">
        <v>50</v>
      </c>
      <c r="B25" s="36">
        <v>0</v>
      </c>
      <c r="D25" s="37"/>
      <c r="E25" s="38"/>
      <c r="F25" s="39"/>
      <c r="G25" s="40"/>
      <c r="H25" s="34"/>
      <c r="I25" s="34"/>
      <c r="J25" s="14" t="s">
        <v>51</v>
      </c>
      <c r="K25" t="s">
        <v>3</v>
      </c>
      <c r="L25" s="43" t="s">
        <v>105</v>
      </c>
      <c r="M25" s="15"/>
      <c r="O25"/>
      <c r="AE25" s="17"/>
      <c r="BT25" s="17"/>
    </row>
    <row r="26" spans="1:72" x14ac:dyDescent="0.2">
      <c r="A26" s="28" t="s">
        <v>52</v>
      </c>
      <c r="B26" s="29">
        <v>0</v>
      </c>
      <c r="D26" s="37"/>
      <c r="E26" s="38"/>
      <c r="F26" s="39"/>
      <c r="G26" s="40"/>
      <c r="H26" s="34"/>
      <c r="I26" s="34"/>
      <c r="J26" s="14" t="s">
        <v>53</v>
      </c>
      <c r="K26" t="s">
        <v>3</v>
      </c>
      <c r="L26" s="43" t="s">
        <v>106</v>
      </c>
      <c r="M26" s="15"/>
      <c r="O26"/>
      <c r="AE26" s="17"/>
      <c r="BT26" s="17"/>
    </row>
    <row r="27" spans="1:72" x14ac:dyDescent="0.2">
      <c r="A27" s="35" t="s">
        <v>54</v>
      </c>
      <c r="B27" s="36">
        <v>0</v>
      </c>
      <c r="D27" s="37"/>
      <c r="E27" s="38"/>
      <c r="F27" s="39"/>
      <c r="G27" s="40"/>
      <c r="H27" s="34"/>
      <c r="I27" s="34"/>
      <c r="J27" s="14" t="s">
        <v>55</v>
      </c>
      <c r="K27" t="s">
        <v>3</v>
      </c>
      <c r="L27" s="16">
        <v>0</v>
      </c>
      <c r="M27" s="15"/>
      <c r="O27"/>
      <c r="AE27" s="17"/>
      <c r="BT27" s="17"/>
    </row>
    <row r="28" spans="1:72" x14ac:dyDescent="0.2">
      <c r="A28" s="28" t="s">
        <v>5</v>
      </c>
      <c r="B28" s="29">
        <v>0</v>
      </c>
      <c r="D28" s="37"/>
      <c r="E28" s="38"/>
      <c r="F28" s="39"/>
      <c r="G28" s="40"/>
      <c r="H28" s="34"/>
      <c r="I28" s="34"/>
      <c r="J28" s="25" t="s">
        <v>56</v>
      </c>
      <c r="K28" s="11" t="s">
        <v>3</v>
      </c>
      <c r="L28" s="44">
        <v>14.103999999999999</v>
      </c>
      <c r="M28" s="13" t="s">
        <v>57</v>
      </c>
      <c r="O28"/>
      <c r="AE28" s="17"/>
      <c r="BT28" s="17"/>
    </row>
    <row r="29" spans="1:72" x14ac:dyDescent="0.2">
      <c r="A29" s="35" t="s">
        <v>58</v>
      </c>
      <c r="B29" s="36">
        <v>0</v>
      </c>
      <c r="D29" s="37"/>
      <c r="E29" s="38"/>
      <c r="F29" s="39"/>
      <c r="G29" s="40"/>
      <c r="H29" s="34"/>
      <c r="I29" s="34"/>
      <c r="O29"/>
      <c r="AE29" s="17"/>
      <c r="BT29" s="17"/>
    </row>
    <row r="30" spans="1:72" x14ac:dyDescent="0.2">
      <c r="A30" s="28" t="s">
        <v>59</v>
      </c>
      <c r="B30" s="29">
        <v>0</v>
      </c>
      <c r="D30" s="37"/>
      <c r="E30" s="38"/>
      <c r="F30" s="39"/>
      <c r="G30" s="40"/>
      <c r="H30" s="34"/>
      <c r="I30" s="34"/>
      <c r="O30"/>
      <c r="AE30" s="17"/>
      <c r="BT30" s="17"/>
    </row>
    <row r="31" spans="1:72" x14ac:dyDescent="0.2">
      <c r="A31" s="35" t="s">
        <v>60</v>
      </c>
      <c r="B31" s="36">
        <v>0</v>
      </c>
      <c r="D31" s="37"/>
      <c r="E31" s="38"/>
      <c r="F31" s="39"/>
      <c r="G31" s="40"/>
      <c r="H31" s="34"/>
      <c r="I31" s="34"/>
      <c r="J31" s="2" t="s">
        <v>61</v>
      </c>
      <c r="K31" s="3"/>
      <c r="L31" s="3"/>
      <c r="M31" s="4"/>
      <c r="O31"/>
      <c r="AE31" s="17"/>
      <c r="BT31" s="17"/>
    </row>
    <row r="32" spans="1:72" x14ac:dyDescent="0.2">
      <c r="A32" s="28" t="s">
        <v>62</v>
      </c>
      <c r="B32" s="29">
        <v>0</v>
      </c>
      <c r="D32" s="37"/>
      <c r="E32" s="38"/>
      <c r="F32" s="39"/>
      <c r="G32" s="40"/>
      <c r="H32" s="34"/>
      <c r="I32" s="34"/>
      <c r="J32" s="9" t="s">
        <v>63</v>
      </c>
      <c r="K32" s="6" t="s">
        <v>3</v>
      </c>
      <c r="L32" s="19" t="s">
        <v>98</v>
      </c>
      <c r="M32" s="45"/>
      <c r="O32"/>
      <c r="AE32" s="17"/>
      <c r="BT32" s="17"/>
    </row>
    <row r="33" spans="1:72" x14ac:dyDescent="0.2">
      <c r="A33" s="35" t="s">
        <v>64</v>
      </c>
      <c r="B33" s="36">
        <v>0</v>
      </c>
      <c r="D33" s="37"/>
      <c r="E33" s="38"/>
      <c r="F33" s="39"/>
      <c r="G33" s="40"/>
      <c r="H33" s="34"/>
      <c r="I33" s="34"/>
      <c r="J33" s="14" t="s">
        <v>65</v>
      </c>
      <c r="K33" t="s">
        <v>3</v>
      </c>
      <c r="L33" s="41" t="s">
        <v>97</v>
      </c>
      <c r="M33" s="46"/>
      <c r="O33"/>
      <c r="AE33" s="17"/>
      <c r="BT33" s="17"/>
    </row>
    <row r="34" spans="1:72" x14ac:dyDescent="0.2">
      <c r="A34" s="28" t="s">
        <v>66</v>
      </c>
      <c r="B34" s="29">
        <v>0</v>
      </c>
      <c r="D34" s="37"/>
      <c r="E34" s="38"/>
      <c r="F34" s="39"/>
      <c r="G34" s="40"/>
      <c r="H34" s="34"/>
      <c r="I34" s="34"/>
      <c r="J34" s="14" t="s">
        <v>67</v>
      </c>
      <c r="K34" t="s">
        <v>3</v>
      </c>
      <c r="L34" s="41" t="s">
        <v>102</v>
      </c>
      <c r="M34" s="46"/>
      <c r="O34"/>
      <c r="AE34" s="17"/>
      <c r="BT34" s="17"/>
    </row>
    <row r="35" spans="1:72" x14ac:dyDescent="0.2">
      <c r="A35" s="35" t="s">
        <v>68</v>
      </c>
      <c r="B35" s="36">
        <v>0</v>
      </c>
      <c r="D35" s="37"/>
      <c r="E35" s="38"/>
      <c r="F35" s="39"/>
      <c r="G35" s="40"/>
      <c r="H35" s="34"/>
      <c r="I35" s="34"/>
      <c r="J35" s="14" t="s">
        <v>69</v>
      </c>
      <c r="K35" t="s">
        <v>3</v>
      </c>
      <c r="L35" s="41" t="s">
        <v>70</v>
      </c>
      <c r="M35" s="46"/>
      <c r="O35"/>
      <c r="AE35" s="17"/>
      <c r="BT35" s="17"/>
    </row>
    <row r="36" spans="1:72" x14ac:dyDescent="0.2">
      <c r="A36" s="28" t="s">
        <v>71</v>
      </c>
      <c r="B36" s="29">
        <v>0</v>
      </c>
      <c r="D36" s="37"/>
      <c r="E36" s="38"/>
      <c r="F36" s="39"/>
      <c r="G36" s="40"/>
      <c r="H36" s="34"/>
      <c r="I36" s="34"/>
      <c r="J36" s="14" t="s">
        <v>72</v>
      </c>
      <c r="K36" t="s">
        <v>3</v>
      </c>
      <c r="L36" s="42">
        <v>489623.22</v>
      </c>
      <c r="M36" s="46" t="s">
        <v>31</v>
      </c>
      <c r="O36"/>
      <c r="AE36" s="17"/>
      <c r="BT36" s="17"/>
    </row>
    <row r="37" spans="1:72" x14ac:dyDescent="0.2">
      <c r="A37" s="35" t="s">
        <v>73</v>
      </c>
      <c r="B37" s="36">
        <v>0</v>
      </c>
      <c r="D37" s="37"/>
      <c r="E37" s="38"/>
      <c r="F37" s="39"/>
      <c r="G37" s="40"/>
      <c r="H37" s="34"/>
      <c r="I37" s="34"/>
      <c r="J37" s="14" t="s">
        <v>74</v>
      </c>
      <c r="K37" t="s">
        <v>3</v>
      </c>
      <c r="L37" s="42">
        <v>7980408.8200000003</v>
      </c>
      <c r="M37" s="46" t="s">
        <v>31</v>
      </c>
      <c r="O37"/>
      <c r="AE37" s="17"/>
      <c r="BT37" s="17"/>
    </row>
    <row r="38" spans="1:72" x14ac:dyDescent="0.2">
      <c r="A38" s="28" t="s">
        <v>75</v>
      </c>
      <c r="B38" s="29">
        <v>0</v>
      </c>
      <c r="D38" s="37"/>
      <c r="E38" s="38"/>
      <c r="F38" s="39"/>
      <c r="G38" s="40"/>
      <c r="H38" s="34"/>
      <c r="I38" s="34"/>
      <c r="J38" s="14" t="s">
        <v>76</v>
      </c>
      <c r="K38" t="s">
        <v>3</v>
      </c>
      <c r="L38" s="42">
        <v>4292.8999999999996</v>
      </c>
      <c r="M38" s="46" t="s">
        <v>31</v>
      </c>
      <c r="O38"/>
      <c r="AE38" s="17"/>
      <c r="BT38" s="17"/>
    </row>
    <row r="39" spans="1:72" x14ac:dyDescent="0.2">
      <c r="A39" s="35" t="s">
        <v>77</v>
      </c>
      <c r="B39" s="36">
        <v>0</v>
      </c>
      <c r="D39" s="37"/>
      <c r="E39" s="38"/>
      <c r="F39" s="39"/>
      <c r="G39" s="40"/>
      <c r="H39" s="34"/>
      <c r="I39" s="34"/>
      <c r="J39" s="14" t="s">
        <v>78</v>
      </c>
      <c r="K39" t="s">
        <v>3</v>
      </c>
      <c r="L39" s="42">
        <v>4218.1000000000004</v>
      </c>
      <c r="M39" s="46" t="s">
        <v>31</v>
      </c>
      <c r="O39"/>
      <c r="AE39" s="17"/>
      <c r="BT39" s="17"/>
    </row>
    <row r="40" spans="1:72" x14ac:dyDescent="0.2">
      <c r="A40" s="28" t="s">
        <v>79</v>
      </c>
      <c r="B40" s="29">
        <v>0</v>
      </c>
      <c r="D40" s="37"/>
      <c r="E40" s="38"/>
      <c r="F40" s="39"/>
      <c r="G40" s="40"/>
      <c r="H40" s="34"/>
      <c r="I40" s="34"/>
      <c r="J40" s="14" t="s">
        <v>80</v>
      </c>
      <c r="K40" t="s">
        <v>3</v>
      </c>
      <c r="L40" s="47">
        <v>2.75</v>
      </c>
      <c r="M40" s="46" t="s">
        <v>81</v>
      </c>
      <c r="O40"/>
      <c r="AE40" s="17"/>
      <c r="BT40" s="17"/>
    </row>
    <row r="41" spans="1:72" x14ac:dyDescent="0.2">
      <c r="A41" s="35" t="s">
        <v>82</v>
      </c>
      <c r="B41" s="36">
        <v>0</v>
      </c>
      <c r="D41" s="37"/>
      <c r="E41" s="38"/>
      <c r="F41" s="39"/>
      <c r="G41" s="40"/>
      <c r="H41" s="34"/>
      <c r="I41" s="34"/>
      <c r="J41" s="14" t="s">
        <v>83</v>
      </c>
      <c r="K41" t="s">
        <v>3</v>
      </c>
      <c r="L41" t="s">
        <v>107</v>
      </c>
      <c r="M41" s="46"/>
      <c r="O41"/>
      <c r="AE41" s="17"/>
      <c r="BT41" s="17"/>
    </row>
    <row r="42" spans="1:72" x14ac:dyDescent="0.2">
      <c r="A42" s="28" t="s">
        <v>84</v>
      </c>
      <c r="B42" s="29">
        <v>0</v>
      </c>
      <c r="D42" s="37"/>
      <c r="E42" s="38"/>
      <c r="F42" s="39"/>
      <c r="G42" s="40"/>
      <c r="H42" s="34"/>
      <c r="I42" s="34"/>
      <c r="J42" s="14" t="s">
        <v>85</v>
      </c>
      <c r="K42" t="s">
        <v>3</v>
      </c>
      <c r="L42" t="s">
        <v>86</v>
      </c>
      <c r="M42" s="46"/>
      <c r="O42"/>
      <c r="AE42" s="17"/>
      <c r="BT42" s="17"/>
    </row>
    <row r="43" spans="1:72" x14ac:dyDescent="0.2">
      <c r="A43" s="35" t="s">
        <v>87</v>
      </c>
      <c r="B43" s="36">
        <v>0</v>
      </c>
      <c r="D43" s="37"/>
      <c r="E43" s="38"/>
      <c r="F43" s="39"/>
      <c r="G43" s="40"/>
      <c r="H43" s="34"/>
      <c r="I43" s="34"/>
      <c r="J43" s="2" t="s">
        <v>88</v>
      </c>
      <c r="K43" s="3"/>
      <c r="L43" s="48" t="s">
        <v>89</v>
      </c>
      <c r="M43" s="49" t="s">
        <v>90</v>
      </c>
      <c r="O43"/>
      <c r="AE43" s="17"/>
      <c r="BT43" s="17"/>
    </row>
    <row r="44" spans="1:72" x14ac:dyDescent="0.2">
      <c r="A44" s="28" t="s">
        <v>91</v>
      </c>
      <c r="B44" s="29">
        <v>0</v>
      </c>
      <c r="D44" s="37"/>
      <c r="E44" s="38"/>
      <c r="F44" s="39"/>
      <c r="G44" s="40"/>
      <c r="H44" s="34"/>
      <c r="I44" s="34"/>
      <c r="J44" s="50"/>
      <c r="K44" s="6" t="s">
        <v>3</v>
      </c>
      <c r="L44" s="51"/>
      <c r="M44" s="52"/>
      <c r="O44"/>
      <c r="AE44" s="17"/>
      <c r="BT44" s="17"/>
    </row>
    <row r="45" spans="1:72" x14ac:dyDescent="0.2">
      <c r="A45" s="35" t="s">
        <v>92</v>
      </c>
      <c r="B45" s="36">
        <v>0</v>
      </c>
      <c r="D45" s="37"/>
      <c r="E45" s="38"/>
      <c r="F45" s="39"/>
      <c r="G45" s="40"/>
      <c r="H45" s="34"/>
      <c r="I45" s="34"/>
      <c r="J45" s="53"/>
      <c r="K45" t="s">
        <v>3</v>
      </c>
      <c r="L45" s="54"/>
      <c r="M45" s="55"/>
      <c r="O45"/>
      <c r="AE45" s="17"/>
      <c r="BT45" s="17"/>
    </row>
    <row r="46" spans="1:72" x14ac:dyDescent="0.2">
      <c r="A46" s="28" t="s">
        <v>93</v>
      </c>
      <c r="B46" s="29">
        <v>0</v>
      </c>
      <c r="D46" s="37"/>
      <c r="E46" s="38"/>
      <c r="F46" s="39"/>
      <c r="G46" s="40"/>
      <c r="H46" s="34"/>
      <c r="I46" s="34"/>
      <c r="J46" s="53"/>
      <c r="K46" t="s">
        <v>3</v>
      </c>
      <c r="L46" s="54"/>
      <c r="M46" s="55"/>
      <c r="O46"/>
      <c r="AE46" s="17"/>
      <c r="BT46" s="17"/>
    </row>
    <row r="47" spans="1:72" x14ac:dyDescent="0.2">
      <c r="A47" s="35" t="s">
        <v>94</v>
      </c>
      <c r="B47" s="36">
        <v>0</v>
      </c>
      <c r="D47" s="37"/>
      <c r="E47" s="38"/>
      <c r="F47" s="39"/>
      <c r="G47" s="40"/>
      <c r="H47" s="34"/>
      <c r="I47" s="34"/>
      <c r="J47" s="53"/>
      <c r="K47" t="s">
        <v>3</v>
      </c>
      <c r="L47" s="54"/>
      <c r="M47" s="55"/>
      <c r="AE47" s="17"/>
      <c r="BT47" s="17"/>
    </row>
    <row r="48" spans="1:72" x14ac:dyDescent="0.2">
      <c r="A48" s="28" t="s">
        <v>95</v>
      </c>
      <c r="B48" s="29">
        <v>0</v>
      </c>
      <c r="D48" s="37"/>
      <c r="E48" s="38"/>
      <c r="F48" s="39"/>
      <c r="G48" s="40"/>
      <c r="H48" s="34"/>
      <c r="I48" s="34"/>
      <c r="J48" s="56"/>
      <c r="K48" s="11" t="s">
        <v>3</v>
      </c>
      <c r="L48" s="57"/>
      <c r="M48" s="58"/>
      <c r="AE48" s="17"/>
      <c r="BT48" s="17"/>
    </row>
    <row r="49" spans="1:13" x14ac:dyDescent="0.2">
      <c r="A49" s="35"/>
      <c r="B49" s="36"/>
      <c r="D49" s="37"/>
      <c r="E49" s="38"/>
      <c r="F49" s="39"/>
      <c r="G49" s="40"/>
      <c r="H49" s="34"/>
      <c r="I49" s="34"/>
      <c r="L49" s="47"/>
      <c r="M49" s="47"/>
    </row>
    <row r="50" spans="1:13" x14ac:dyDescent="0.2">
      <c r="D50" s="37"/>
      <c r="E50" s="38"/>
      <c r="F50" s="39"/>
      <c r="G50" s="40"/>
      <c r="H50" s="34"/>
      <c r="I50" s="34"/>
      <c r="L50" s="47"/>
      <c r="M50" s="47"/>
    </row>
    <row r="51" spans="1:13" x14ac:dyDescent="0.2">
      <c r="A51" s="59"/>
      <c r="B51" s="29"/>
      <c r="D51" s="37"/>
      <c r="E51" s="38"/>
      <c r="F51" s="39"/>
      <c r="G51" s="40"/>
      <c r="H51" s="34"/>
      <c r="I51" s="34"/>
      <c r="L51" s="47"/>
      <c r="M51" s="47"/>
    </row>
    <row r="52" spans="1:13" x14ac:dyDescent="0.2">
      <c r="A52" s="59"/>
      <c r="B52" s="29"/>
      <c r="D52" s="37"/>
      <c r="E52" s="38"/>
      <c r="F52" s="39"/>
      <c r="G52" s="40"/>
      <c r="H52" s="34"/>
      <c r="I52" s="34"/>
      <c r="L52" s="47"/>
      <c r="M52" s="47"/>
    </row>
    <row r="53" spans="1:13" x14ac:dyDescent="0.2">
      <c r="A53" s="59"/>
      <c r="B53" s="29"/>
      <c r="D53" s="37"/>
      <c r="E53" s="38"/>
      <c r="F53" s="39"/>
      <c r="G53" s="40"/>
      <c r="H53" s="60"/>
      <c r="I53" s="60"/>
      <c r="L53" s="47"/>
      <c r="M53" s="47"/>
    </row>
    <row r="54" spans="1:13" x14ac:dyDescent="0.2">
      <c r="A54" s="59"/>
      <c r="B54" s="29"/>
      <c r="D54" s="37"/>
      <c r="E54" s="38"/>
      <c r="F54" s="39"/>
      <c r="G54" s="40"/>
      <c r="H54" s="60"/>
      <c r="I54" s="60"/>
    </row>
    <row r="55" spans="1:13" x14ac:dyDescent="0.2">
      <c r="A55" s="59"/>
      <c r="B55" s="29"/>
      <c r="D55" s="37"/>
      <c r="E55" s="38"/>
      <c r="F55" s="38"/>
      <c r="G55" s="40"/>
      <c r="H55" s="60"/>
      <c r="I55" s="60"/>
    </row>
    <row r="56" spans="1:13" x14ac:dyDescent="0.2">
      <c r="A56" s="59"/>
      <c r="B56" s="29"/>
      <c r="D56" s="37"/>
      <c r="E56" s="38"/>
      <c r="F56" s="38"/>
      <c r="G56" s="40"/>
      <c r="H56" s="60"/>
      <c r="I56" s="60"/>
    </row>
    <row r="57" spans="1:13" x14ac:dyDescent="0.2">
      <c r="A57" s="59"/>
      <c r="B57" s="29"/>
      <c r="D57" s="37"/>
      <c r="E57" s="38"/>
      <c r="F57" s="38"/>
      <c r="G57" s="40"/>
      <c r="H57" s="60"/>
      <c r="I57" s="60"/>
    </row>
    <row r="58" spans="1:13" x14ac:dyDescent="0.2">
      <c r="D58" s="37"/>
      <c r="E58" s="38"/>
      <c r="F58" s="38"/>
      <c r="G58" s="40"/>
      <c r="H58" s="60"/>
      <c r="I58" s="60"/>
    </row>
    <row r="59" spans="1:13" x14ac:dyDescent="0.2">
      <c r="D59" s="37"/>
      <c r="E59" s="38"/>
      <c r="F59" s="38"/>
      <c r="G59" s="40"/>
      <c r="H59" s="60"/>
      <c r="I59" s="60"/>
    </row>
    <row r="60" spans="1:13" x14ac:dyDescent="0.2">
      <c r="A60" s="41"/>
      <c r="D60" s="37"/>
      <c r="E60" s="38"/>
      <c r="F60" s="38"/>
      <c r="G60" s="40"/>
      <c r="H60" s="60"/>
      <c r="I60" s="60"/>
    </row>
    <row r="61" spans="1:13" x14ac:dyDescent="0.2">
      <c r="A61" s="34"/>
      <c r="B61" s="61"/>
      <c r="D61" s="37"/>
      <c r="E61" s="38"/>
      <c r="F61" s="38"/>
      <c r="G61" s="40"/>
      <c r="H61" s="60"/>
      <c r="I61" s="60"/>
    </row>
    <row r="62" spans="1:13" x14ac:dyDescent="0.2">
      <c r="A62" s="34"/>
      <c r="B62" s="61"/>
      <c r="D62" s="37"/>
      <c r="E62" s="38"/>
      <c r="F62" s="38"/>
      <c r="G62" s="40"/>
      <c r="H62" s="60"/>
      <c r="I62" s="60"/>
    </row>
    <row r="63" spans="1:13" x14ac:dyDescent="0.2">
      <c r="A63" s="34"/>
      <c r="B63" s="61"/>
      <c r="D63" s="37"/>
      <c r="E63" s="38"/>
      <c r="F63" s="38"/>
      <c r="G63" s="40"/>
      <c r="H63" s="60"/>
      <c r="I63" s="60"/>
    </row>
    <row r="64" spans="1:13" x14ac:dyDescent="0.2">
      <c r="A64" s="34"/>
      <c r="B64" s="61"/>
      <c r="D64" s="37"/>
      <c r="E64" s="38"/>
      <c r="F64" s="38"/>
      <c r="G64" s="40"/>
      <c r="H64" s="60"/>
      <c r="I64" s="60"/>
    </row>
    <row r="65" spans="1:9" x14ac:dyDescent="0.2">
      <c r="A65" s="34"/>
      <c r="B65" s="61"/>
      <c r="D65" s="37"/>
      <c r="E65" s="38"/>
      <c r="F65" s="38"/>
      <c r="G65" s="40"/>
      <c r="H65" s="60"/>
      <c r="I65" s="60"/>
    </row>
    <row r="66" spans="1:9" x14ac:dyDescent="0.2">
      <c r="A66" s="34"/>
      <c r="B66" s="61"/>
      <c r="D66" s="37"/>
      <c r="E66" s="38"/>
      <c r="F66" s="38"/>
      <c r="G66" s="40"/>
      <c r="H66" s="60"/>
      <c r="I66" s="60"/>
    </row>
    <row r="67" spans="1:9" x14ac:dyDescent="0.2">
      <c r="A67" s="34"/>
      <c r="B67" s="61"/>
      <c r="D67" s="37"/>
      <c r="E67" s="38"/>
      <c r="F67" s="38"/>
      <c r="G67" s="40"/>
      <c r="H67" s="60"/>
      <c r="I67" s="60"/>
    </row>
    <row r="68" spans="1:9" x14ac:dyDescent="0.2">
      <c r="A68" s="34"/>
      <c r="B68" s="61"/>
      <c r="D68" s="37"/>
      <c r="E68" s="38"/>
      <c r="F68" s="38"/>
      <c r="G68" s="40"/>
      <c r="H68" s="60"/>
      <c r="I68" s="60"/>
    </row>
    <row r="69" spans="1:9" x14ac:dyDescent="0.2">
      <c r="A69" s="34"/>
      <c r="B69" s="61"/>
      <c r="D69" s="37"/>
      <c r="E69" s="38"/>
      <c r="F69" s="38"/>
      <c r="G69" s="40"/>
      <c r="H69" s="60"/>
      <c r="I69" s="60"/>
    </row>
    <row r="70" spans="1:9" x14ac:dyDescent="0.2">
      <c r="A70" s="34"/>
      <c r="B70" s="61"/>
      <c r="D70" s="37"/>
      <c r="E70" s="38"/>
      <c r="F70" s="38"/>
      <c r="G70" s="40"/>
      <c r="H70" s="60"/>
      <c r="I70" s="60"/>
    </row>
    <row r="71" spans="1:9" x14ac:dyDescent="0.2">
      <c r="A71" s="34"/>
      <c r="B71" s="61"/>
      <c r="D71" s="37"/>
      <c r="E71" s="38"/>
      <c r="F71" s="38"/>
      <c r="G71" s="40"/>
      <c r="H71" s="60"/>
      <c r="I71" s="60"/>
    </row>
    <row r="72" spans="1:9" x14ac:dyDescent="0.2">
      <c r="A72" s="34"/>
      <c r="B72" s="61"/>
      <c r="D72" s="37"/>
      <c r="E72" s="38"/>
      <c r="F72" s="38"/>
      <c r="G72" s="40"/>
      <c r="H72" s="60"/>
      <c r="I72" s="60"/>
    </row>
    <row r="73" spans="1:9" x14ac:dyDescent="0.2">
      <c r="A73" s="34"/>
      <c r="B73" s="61"/>
      <c r="D73" s="37"/>
      <c r="E73" s="38"/>
      <c r="F73" s="38"/>
      <c r="G73" s="40"/>
      <c r="H73" s="60"/>
      <c r="I73" s="60"/>
    </row>
    <row r="74" spans="1:9" x14ac:dyDescent="0.2">
      <c r="A74" s="34"/>
      <c r="B74" s="61"/>
      <c r="D74" s="37"/>
      <c r="E74" s="38"/>
      <c r="F74" s="38"/>
      <c r="G74" s="40"/>
      <c r="H74" s="60"/>
      <c r="I74" s="60"/>
    </row>
    <row r="75" spans="1:9" x14ac:dyDescent="0.2">
      <c r="A75" s="34"/>
      <c r="B75" s="61"/>
      <c r="D75" s="37"/>
      <c r="E75" s="38"/>
      <c r="F75" s="38"/>
      <c r="G75" s="40"/>
      <c r="H75" s="60"/>
      <c r="I75" s="60"/>
    </row>
    <row r="76" spans="1:9" x14ac:dyDescent="0.2">
      <c r="A76" s="34"/>
      <c r="B76" s="61"/>
      <c r="D76" s="37"/>
      <c r="E76" s="38"/>
      <c r="F76" s="38"/>
      <c r="G76" s="40"/>
      <c r="H76" s="60"/>
      <c r="I76" s="60"/>
    </row>
    <row r="77" spans="1:9" x14ac:dyDescent="0.2">
      <c r="A77" s="34"/>
      <c r="B77" s="61"/>
      <c r="D77" s="37"/>
      <c r="E77" s="38"/>
      <c r="F77" s="38"/>
      <c r="G77" s="40"/>
      <c r="H77" s="60"/>
      <c r="I77" s="60"/>
    </row>
    <row r="78" spans="1:9" x14ac:dyDescent="0.2">
      <c r="A78" s="34"/>
      <c r="B78" s="61"/>
      <c r="D78" s="37"/>
      <c r="E78" s="38"/>
      <c r="F78" s="38"/>
      <c r="G78" s="40"/>
      <c r="H78" s="60"/>
      <c r="I78" s="60"/>
    </row>
    <row r="79" spans="1:9" x14ac:dyDescent="0.2">
      <c r="A79" s="34"/>
      <c r="B79" s="61"/>
      <c r="D79" s="37"/>
      <c r="E79" s="38"/>
      <c r="F79" s="38"/>
      <c r="G79" s="40"/>
      <c r="H79" s="60"/>
      <c r="I79" s="60"/>
    </row>
    <row r="80" spans="1:9" x14ac:dyDescent="0.2">
      <c r="A80" s="34"/>
      <c r="B80" s="61"/>
      <c r="D80" s="37"/>
      <c r="E80" s="38"/>
      <c r="F80" s="38"/>
      <c r="G80" s="40"/>
      <c r="H80" s="60"/>
      <c r="I80" s="60"/>
    </row>
    <row r="81" spans="1:9" x14ac:dyDescent="0.2">
      <c r="A81" s="34"/>
      <c r="B81" s="61"/>
      <c r="D81" s="37"/>
      <c r="E81" s="38"/>
      <c r="F81" s="38"/>
      <c r="G81" s="40"/>
      <c r="H81" s="60"/>
      <c r="I81" s="60"/>
    </row>
    <row r="82" spans="1:9" x14ac:dyDescent="0.2">
      <c r="A82" s="34"/>
      <c r="B82" s="61"/>
      <c r="D82" s="37"/>
      <c r="E82" s="38"/>
      <c r="F82" s="38"/>
      <c r="G82" s="40"/>
      <c r="H82" s="60"/>
      <c r="I82" s="60"/>
    </row>
    <row r="83" spans="1:9" x14ac:dyDescent="0.2">
      <c r="A83" s="34"/>
      <c r="B83" s="61"/>
      <c r="D83" s="37"/>
      <c r="E83" s="38"/>
      <c r="F83" s="38"/>
      <c r="G83" s="40"/>
      <c r="H83" s="60"/>
      <c r="I83" s="60"/>
    </row>
    <row r="84" spans="1:9" x14ac:dyDescent="0.2">
      <c r="A84" s="34"/>
      <c r="B84" s="61"/>
      <c r="D84" s="37"/>
      <c r="E84" s="38"/>
      <c r="F84" s="38"/>
      <c r="G84" s="40"/>
      <c r="H84" s="60"/>
      <c r="I84" s="60"/>
    </row>
    <row r="85" spans="1:9" x14ac:dyDescent="0.2">
      <c r="A85" s="34"/>
      <c r="B85" s="61"/>
      <c r="D85" s="37"/>
      <c r="E85" s="38"/>
      <c r="F85" s="38"/>
      <c r="G85" s="40"/>
      <c r="H85" s="60"/>
      <c r="I85" s="60"/>
    </row>
    <row r="86" spans="1:9" x14ac:dyDescent="0.2">
      <c r="A86" s="34"/>
      <c r="B86" s="61"/>
      <c r="D86" s="37"/>
      <c r="E86" s="38"/>
      <c r="F86" s="38"/>
      <c r="G86" s="40"/>
      <c r="H86" s="60"/>
      <c r="I86" s="60"/>
    </row>
    <row r="87" spans="1:9" x14ac:dyDescent="0.2">
      <c r="A87" s="34"/>
      <c r="B87" s="61"/>
      <c r="D87" s="37"/>
      <c r="E87" s="38"/>
      <c r="F87" s="38"/>
      <c r="G87" s="40"/>
      <c r="H87" s="60"/>
      <c r="I87" s="60"/>
    </row>
    <row r="88" spans="1:9" x14ac:dyDescent="0.2">
      <c r="A88" s="34"/>
      <c r="B88" s="61"/>
      <c r="D88" s="37"/>
      <c r="E88" s="38"/>
      <c r="F88" s="38"/>
      <c r="G88" s="40"/>
      <c r="H88" s="60"/>
      <c r="I88" s="60"/>
    </row>
    <row r="89" spans="1:9" x14ac:dyDescent="0.2">
      <c r="A89" s="34"/>
      <c r="B89" s="61"/>
      <c r="D89" s="37"/>
      <c r="E89" s="38"/>
      <c r="F89" s="38"/>
      <c r="G89" s="40"/>
      <c r="H89" s="60"/>
      <c r="I89" s="60"/>
    </row>
    <row r="90" spans="1:9" x14ac:dyDescent="0.2">
      <c r="A90" s="34"/>
      <c r="B90" s="61"/>
      <c r="D90" s="37"/>
      <c r="E90" s="38"/>
      <c r="F90" s="38"/>
      <c r="G90" s="40"/>
      <c r="H90" s="60"/>
      <c r="I90" s="60"/>
    </row>
    <row r="91" spans="1:9" x14ac:dyDescent="0.2">
      <c r="A91" s="34"/>
      <c r="B91" s="61"/>
      <c r="D91" s="37"/>
      <c r="E91" s="38"/>
      <c r="F91" s="38"/>
      <c r="G91" s="40"/>
      <c r="H91" s="60"/>
      <c r="I91" s="60"/>
    </row>
    <row r="92" spans="1:9" x14ac:dyDescent="0.2">
      <c r="A92" s="34"/>
      <c r="B92" s="61"/>
      <c r="D92" s="37"/>
      <c r="E92" s="38"/>
      <c r="F92" s="38"/>
      <c r="G92" s="40"/>
      <c r="H92" s="60"/>
      <c r="I92" s="60"/>
    </row>
    <row r="93" spans="1:9" x14ac:dyDescent="0.2">
      <c r="A93" s="34"/>
      <c r="B93" s="61"/>
      <c r="D93" s="37"/>
      <c r="E93" s="38"/>
      <c r="F93" s="38"/>
      <c r="G93" s="40"/>
      <c r="H93" s="60"/>
      <c r="I93" s="60"/>
    </row>
    <row r="94" spans="1:9" x14ac:dyDescent="0.2">
      <c r="A94" s="34"/>
      <c r="B94" s="61"/>
      <c r="D94" s="37"/>
      <c r="E94" s="38"/>
      <c r="F94" s="38"/>
      <c r="G94" s="40"/>
      <c r="H94" s="60"/>
      <c r="I94" s="60"/>
    </row>
    <row r="95" spans="1:9" x14ac:dyDescent="0.2">
      <c r="A95" s="34"/>
      <c r="B95" s="61"/>
      <c r="D95" s="37"/>
      <c r="E95" s="38"/>
      <c r="F95" s="38"/>
      <c r="G95" s="40"/>
      <c r="H95" s="60"/>
      <c r="I95" s="60"/>
    </row>
    <row r="96" spans="1:9" x14ac:dyDescent="0.2">
      <c r="A96" s="34"/>
      <c r="B96" s="61"/>
      <c r="D96" s="37"/>
      <c r="E96" s="38"/>
      <c r="F96" s="38"/>
      <c r="G96" s="40"/>
      <c r="H96" s="60"/>
      <c r="I96" s="60"/>
    </row>
    <row r="97" spans="1:9" x14ac:dyDescent="0.2">
      <c r="A97" s="34"/>
      <c r="B97" s="61"/>
      <c r="D97" s="37"/>
      <c r="E97" s="38"/>
      <c r="F97" s="38"/>
      <c r="G97" s="40"/>
      <c r="H97" s="60"/>
      <c r="I97" s="60"/>
    </row>
    <row r="98" spans="1:9" x14ac:dyDescent="0.2">
      <c r="A98" s="34"/>
      <c r="B98" s="61"/>
      <c r="D98" s="37"/>
      <c r="E98" s="38"/>
      <c r="F98" s="38"/>
      <c r="G98" s="40"/>
    </row>
    <row r="99" spans="1:9" x14ac:dyDescent="0.2">
      <c r="A99" s="34"/>
      <c r="B99" s="61"/>
      <c r="D99" s="37"/>
      <c r="E99" s="38"/>
      <c r="F99" s="38"/>
      <c r="G99" s="40"/>
    </row>
    <row r="100" spans="1:9" x14ac:dyDescent="0.2">
      <c r="A100" s="34"/>
      <c r="B100" s="61"/>
      <c r="D100" s="37"/>
      <c r="E100" s="38"/>
      <c r="F100" s="38"/>
      <c r="G100" s="40"/>
    </row>
    <row r="101" spans="1:9" x14ac:dyDescent="0.2">
      <c r="A101" s="34"/>
      <c r="B101" s="61"/>
      <c r="D101" s="37"/>
      <c r="E101" s="38"/>
      <c r="F101" s="38"/>
      <c r="G101" s="40"/>
    </row>
    <row r="102" spans="1:9" x14ac:dyDescent="0.2">
      <c r="A102" s="34"/>
      <c r="B102" s="61"/>
      <c r="D102" s="37"/>
      <c r="E102" s="38"/>
      <c r="F102" s="38"/>
      <c r="G102" s="40"/>
    </row>
    <row r="103" spans="1:9" x14ac:dyDescent="0.2">
      <c r="A103" s="34"/>
      <c r="B103" s="61"/>
      <c r="D103" s="37"/>
      <c r="E103" s="38"/>
      <c r="F103" s="38"/>
      <c r="G103" s="40"/>
    </row>
    <row r="104" spans="1:9" x14ac:dyDescent="0.2">
      <c r="A104" s="34"/>
      <c r="B104" s="61"/>
      <c r="D104" s="37"/>
      <c r="E104" s="38"/>
      <c r="F104" s="38"/>
      <c r="G104" s="40"/>
    </row>
    <row r="105" spans="1:9" x14ac:dyDescent="0.2">
      <c r="A105" s="34"/>
      <c r="B105" s="61"/>
      <c r="D105" s="37"/>
      <c r="E105" s="38"/>
      <c r="F105" s="38"/>
      <c r="G105" s="40"/>
    </row>
    <row r="106" spans="1:9" x14ac:dyDescent="0.2">
      <c r="A106" s="34"/>
      <c r="B106" s="61"/>
      <c r="D106" s="37"/>
      <c r="E106" s="38"/>
      <c r="F106" s="38"/>
      <c r="G106" s="40"/>
    </row>
    <row r="107" spans="1:9" x14ac:dyDescent="0.2">
      <c r="A107" s="34"/>
      <c r="B107" s="61"/>
      <c r="D107" s="37"/>
      <c r="E107" s="38"/>
      <c r="F107" s="38"/>
      <c r="G107" s="40"/>
    </row>
    <row r="108" spans="1:9" x14ac:dyDescent="0.2">
      <c r="A108" s="34"/>
      <c r="B108" s="61"/>
      <c r="D108" s="37"/>
      <c r="E108" s="38"/>
      <c r="F108" s="38"/>
      <c r="G108" s="40"/>
    </row>
    <row r="109" spans="1:9" x14ac:dyDescent="0.2">
      <c r="A109" s="34"/>
      <c r="B109" s="61"/>
      <c r="D109" s="37"/>
      <c r="E109" s="38"/>
      <c r="F109" s="38"/>
      <c r="G109" s="40"/>
    </row>
    <row r="110" spans="1:9" x14ac:dyDescent="0.2">
      <c r="A110" s="34"/>
      <c r="B110" s="61"/>
      <c r="D110" s="37"/>
      <c r="E110" s="38"/>
      <c r="F110" s="38"/>
      <c r="G110" s="40"/>
    </row>
    <row r="111" spans="1:9" x14ac:dyDescent="0.2">
      <c r="A111" s="34"/>
      <c r="B111" s="61"/>
      <c r="D111" s="37"/>
      <c r="E111" s="38"/>
      <c r="F111" s="38"/>
      <c r="G111" s="40"/>
    </row>
    <row r="112" spans="1:9" x14ac:dyDescent="0.2">
      <c r="A112" s="34"/>
      <c r="B112" s="61"/>
      <c r="D112" s="37"/>
      <c r="E112" s="38"/>
      <c r="F112" s="38"/>
      <c r="G112" s="40"/>
    </row>
    <row r="113" spans="1:7" x14ac:dyDescent="0.2">
      <c r="A113" s="34"/>
      <c r="B113" s="61"/>
      <c r="D113" s="37"/>
      <c r="E113" s="38"/>
      <c r="F113" s="38"/>
      <c r="G113" s="40"/>
    </row>
    <row r="114" spans="1:7" x14ac:dyDescent="0.2">
      <c r="A114" s="34"/>
      <c r="B114" s="61"/>
      <c r="D114" s="37"/>
      <c r="E114" s="38"/>
      <c r="F114" s="38"/>
      <c r="G114" s="40"/>
    </row>
    <row r="115" spans="1:7" x14ac:dyDescent="0.2">
      <c r="A115" s="34"/>
      <c r="B115" s="61"/>
      <c r="D115" s="37"/>
      <c r="E115" s="38"/>
      <c r="F115" s="38"/>
      <c r="G115" s="40"/>
    </row>
    <row r="116" spans="1:7" x14ac:dyDescent="0.2">
      <c r="A116" s="34"/>
      <c r="B116" s="61"/>
      <c r="D116" s="37"/>
      <c r="E116" s="38"/>
      <c r="F116" s="38"/>
      <c r="G116" s="40"/>
    </row>
    <row r="117" spans="1:7" x14ac:dyDescent="0.2">
      <c r="A117" s="34"/>
      <c r="B117" s="61"/>
      <c r="D117" s="37"/>
      <c r="E117" s="38"/>
      <c r="F117" s="38"/>
      <c r="G117" s="40"/>
    </row>
    <row r="118" spans="1:7" x14ac:dyDescent="0.2">
      <c r="A118" s="34"/>
      <c r="B118" s="61"/>
      <c r="D118" s="37"/>
      <c r="E118" s="38"/>
      <c r="F118" s="38"/>
      <c r="G118" s="40"/>
    </row>
    <row r="119" spans="1:7" x14ac:dyDescent="0.2">
      <c r="A119" s="34"/>
      <c r="B119" s="61"/>
      <c r="D119" s="37"/>
      <c r="E119" s="38"/>
      <c r="F119" s="38"/>
      <c r="G119" s="40"/>
    </row>
    <row r="120" spans="1:7" x14ac:dyDescent="0.2">
      <c r="A120" s="34"/>
      <c r="B120" s="61"/>
      <c r="D120" s="37"/>
      <c r="E120" s="38"/>
      <c r="F120" s="38"/>
      <c r="G120" s="40"/>
    </row>
    <row r="121" spans="1:7" x14ac:dyDescent="0.2">
      <c r="A121" s="34"/>
      <c r="B121" s="61"/>
      <c r="D121" s="37"/>
      <c r="E121" s="38"/>
      <c r="F121" s="38"/>
      <c r="G121" s="40"/>
    </row>
    <row r="122" spans="1:7" x14ac:dyDescent="0.2">
      <c r="A122" s="34"/>
      <c r="B122" s="61"/>
      <c r="D122" s="37"/>
      <c r="E122" s="38"/>
      <c r="F122" s="38"/>
      <c r="G122" s="40"/>
    </row>
    <row r="123" spans="1:7" x14ac:dyDescent="0.2">
      <c r="A123" s="34"/>
      <c r="B123" s="61"/>
      <c r="D123" s="37"/>
      <c r="E123" s="38"/>
      <c r="F123" s="38"/>
      <c r="G123" s="40"/>
    </row>
    <row r="124" spans="1:7" x14ac:dyDescent="0.2">
      <c r="A124" s="34"/>
      <c r="B124" s="61"/>
      <c r="D124" s="37"/>
      <c r="E124" s="38"/>
      <c r="F124" s="38"/>
      <c r="G124" s="40"/>
    </row>
    <row r="125" spans="1:7" x14ac:dyDescent="0.2">
      <c r="A125" s="34"/>
      <c r="B125" s="61"/>
      <c r="D125" s="37"/>
      <c r="E125" s="38"/>
      <c r="F125" s="38"/>
      <c r="G125" s="40"/>
    </row>
    <row r="126" spans="1:7" x14ac:dyDescent="0.2">
      <c r="A126" s="34"/>
      <c r="B126" s="61"/>
      <c r="D126" s="37"/>
      <c r="E126" s="38"/>
      <c r="F126" s="38"/>
      <c r="G126" s="40"/>
    </row>
    <row r="127" spans="1:7" x14ac:dyDescent="0.2">
      <c r="A127" s="34"/>
      <c r="B127" s="61"/>
      <c r="D127" s="37"/>
      <c r="E127" s="38"/>
      <c r="F127" s="38"/>
      <c r="G127" s="40"/>
    </row>
    <row r="128" spans="1:7" x14ac:dyDescent="0.2">
      <c r="A128" s="34"/>
      <c r="B128" s="61"/>
      <c r="D128" s="37"/>
      <c r="E128" s="38"/>
      <c r="F128" s="38"/>
      <c r="G128" s="40"/>
    </row>
    <row r="129" spans="1:7" x14ac:dyDescent="0.2">
      <c r="A129" s="34"/>
      <c r="B129" s="61"/>
      <c r="D129" s="37"/>
      <c r="E129" s="38"/>
      <c r="F129" s="38"/>
      <c r="G129" s="40"/>
    </row>
    <row r="130" spans="1:7" x14ac:dyDescent="0.2">
      <c r="A130" s="34"/>
      <c r="B130" s="61"/>
      <c r="D130" s="37"/>
      <c r="E130" s="38"/>
      <c r="F130" s="38"/>
      <c r="G130" s="40"/>
    </row>
    <row r="131" spans="1:7" x14ac:dyDescent="0.2">
      <c r="A131" s="34"/>
      <c r="B131" s="61"/>
      <c r="D131" s="37"/>
      <c r="E131" s="38"/>
      <c r="F131" s="38"/>
      <c r="G131" s="40"/>
    </row>
    <row r="132" spans="1:7" x14ac:dyDescent="0.2">
      <c r="A132" s="34"/>
      <c r="B132" s="61"/>
      <c r="D132" s="37"/>
      <c r="E132" s="38"/>
      <c r="F132" s="38"/>
      <c r="G132" s="40"/>
    </row>
    <row r="133" spans="1:7" x14ac:dyDescent="0.2">
      <c r="A133" s="34"/>
      <c r="B133" s="61"/>
      <c r="D133" s="37"/>
      <c r="E133" s="38"/>
      <c r="F133" s="38"/>
      <c r="G133" s="40"/>
    </row>
    <row r="134" spans="1:7" x14ac:dyDescent="0.2">
      <c r="A134" s="34"/>
      <c r="B134" s="61"/>
      <c r="D134" s="37"/>
      <c r="E134" s="38"/>
      <c r="F134" s="38"/>
      <c r="G134" s="40"/>
    </row>
    <row r="135" spans="1:7" x14ac:dyDescent="0.2">
      <c r="A135" s="34"/>
      <c r="B135" s="61"/>
      <c r="D135" s="37"/>
      <c r="E135" s="38"/>
      <c r="F135" s="38"/>
      <c r="G135" s="40"/>
    </row>
    <row r="136" spans="1:7" x14ac:dyDescent="0.2">
      <c r="A136" s="34"/>
      <c r="B136" s="61"/>
      <c r="D136" s="37"/>
      <c r="E136" s="38"/>
      <c r="F136" s="38"/>
      <c r="G136" s="40"/>
    </row>
    <row r="137" spans="1:7" x14ac:dyDescent="0.2">
      <c r="A137" s="34"/>
      <c r="B137" s="61"/>
      <c r="D137" s="37"/>
      <c r="E137" s="38"/>
      <c r="F137" s="38"/>
      <c r="G137" s="40"/>
    </row>
    <row r="138" spans="1:7" x14ac:dyDescent="0.2">
      <c r="A138" s="34"/>
      <c r="B138" s="61"/>
      <c r="D138" s="37"/>
      <c r="E138" s="38"/>
      <c r="F138" s="38"/>
      <c r="G138" s="40"/>
    </row>
    <row r="139" spans="1:7" x14ac:dyDescent="0.2">
      <c r="A139" s="34"/>
      <c r="B139" s="61"/>
      <c r="D139" s="37"/>
      <c r="E139" s="38"/>
      <c r="F139" s="38"/>
      <c r="G139" s="40"/>
    </row>
    <row r="140" spans="1:7" x14ac:dyDescent="0.2">
      <c r="A140" s="34"/>
      <c r="B140" s="61"/>
      <c r="D140" s="37"/>
      <c r="E140" s="38"/>
      <c r="F140" s="38"/>
      <c r="G140" s="40"/>
    </row>
    <row r="141" spans="1:7" x14ac:dyDescent="0.2">
      <c r="A141" s="34"/>
      <c r="B141" s="61"/>
      <c r="D141" s="37"/>
      <c r="E141" s="38"/>
      <c r="F141" s="38"/>
      <c r="G141" s="40"/>
    </row>
    <row r="142" spans="1:7" x14ac:dyDescent="0.2">
      <c r="A142" s="34"/>
      <c r="B142" s="61"/>
      <c r="D142" s="37"/>
      <c r="E142" s="38"/>
      <c r="F142" s="38"/>
      <c r="G142" s="40"/>
    </row>
    <row r="143" spans="1:7" x14ac:dyDescent="0.2">
      <c r="A143" s="34"/>
      <c r="B143" s="61"/>
      <c r="D143" s="37"/>
      <c r="E143" s="38"/>
      <c r="F143" s="38"/>
      <c r="G143" s="40"/>
    </row>
    <row r="144" spans="1:7" x14ac:dyDescent="0.2">
      <c r="A144" s="34"/>
      <c r="B144" s="61"/>
      <c r="D144" s="37"/>
      <c r="E144" s="38"/>
      <c r="F144" s="38"/>
      <c r="G144" s="40"/>
    </row>
    <row r="145" spans="1:7" x14ac:dyDescent="0.2">
      <c r="A145" s="34"/>
      <c r="B145" s="61"/>
      <c r="D145" s="37"/>
      <c r="E145" s="38"/>
      <c r="F145" s="38"/>
      <c r="G145" s="40"/>
    </row>
    <row r="146" spans="1:7" x14ac:dyDescent="0.2">
      <c r="A146" s="34"/>
      <c r="B146" s="61"/>
      <c r="D146" s="37"/>
      <c r="E146" s="38"/>
      <c r="F146" s="38"/>
      <c r="G146" s="40"/>
    </row>
    <row r="147" spans="1:7" x14ac:dyDescent="0.2">
      <c r="A147" s="34"/>
      <c r="B147" s="61"/>
      <c r="D147" s="37"/>
      <c r="E147" s="38"/>
      <c r="F147" s="38"/>
      <c r="G147" s="40"/>
    </row>
    <row r="148" spans="1:7" x14ac:dyDescent="0.2">
      <c r="A148" s="34"/>
      <c r="B148" s="61"/>
      <c r="D148" s="37"/>
      <c r="E148" s="38"/>
      <c r="F148" s="38"/>
      <c r="G148" s="40"/>
    </row>
    <row r="149" spans="1:7" x14ac:dyDescent="0.2">
      <c r="A149" s="34"/>
      <c r="B149" s="61"/>
      <c r="D149" s="37"/>
      <c r="E149" s="38"/>
      <c r="F149" s="38"/>
      <c r="G149" s="40"/>
    </row>
    <row r="150" spans="1:7" x14ac:dyDescent="0.2">
      <c r="A150" s="34"/>
      <c r="B150" s="61"/>
      <c r="D150" s="37"/>
      <c r="E150" s="38"/>
      <c r="F150" s="38"/>
      <c r="G150" s="40"/>
    </row>
    <row r="151" spans="1:7" x14ac:dyDescent="0.2">
      <c r="A151" s="34"/>
      <c r="B151" s="61"/>
      <c r="D151" s="37"/>
      <c r="E151" s="38"/>
      <c r="F151" s="38"/>
      <c r="G151" s="40"/>
    </row>
    <row r="152" spans="1:7" x14ac:dyDescent="0.2">
      <c r="A152" s="34"/>
      <c r="B152" s="61"/>
      <c r="D152" s="37"/>
      <c r="E152" s="38"/>
      <c r="F152" s="38"/>
      <c r="G152" s="40"/>
    </row>
    <row r="153" spans="1:7" x14ac:dyDescent="0.2">
      <c r="A153" s="34"/>
      <c r="B153" s="61"/>
      <c r="D153" s="37"/>
      <c r="E153" s="38"/>
      <c r="F153" s="38"/>
      <c r="G153" s="40"/>
    </row>
    <row r="154" spans="1:7" x14ac:dyDescent="0.2">
      <c r="A154" s="34"/>
      <c r="B154" s="61"/>
      <c r="D154" s="37"/>
      <c r="E154" s="38"/>
      <c r="F154" s="38"/>
      <c r="G154" s="40"/>
    </row>
    <row r="155" spans="1:7" x14ac:dyDescent="0.2">
      <c r="A155" s="34"/>
      <c r="B155" s="61"/>
      <c r="D155" s="37"/>
      <c r="E155" s="38"/>
      <c r="F155" s="38"/>
      <c r="G155" s="40"/>
    </row>
    <row r="156" spans="1:7" x14ac:dyDescent="0.2">
      <c r="A156" s="34"/>
      <c r="B156" s="61"/>
      <c r="D156" s="37"/>
      <c r="E156" s="38"/>
      <c r="F156" s="38"/>
      <c r="G156" s="40"/>
    </row>
    <row r="157" spans="1:7" x14ac:dyDescent="0.2">
      <c r="A157" s="34"/>
      <c r="B157" s="61"/>
      <c r="D157" s="37"/>
      <c r="E157" s="38"/>
      <c r="F157" s="38"/>
      <c r="G157" s="40"/>
    </row>
    <row r="158" spans="1:7" x14ac:dyDescent="0.2">
      <c r="A158" s="34"/>
      <c r="B158" s="61"/>
      <c r="D158" s="37"/>
      <c r="E158" s="38"/>
      <c r="F158" s="38"/>
      <c r="G158" s="40"/>
    </row>
    <row r="159" spans="1:7" x14ac:dyDescent="0.2">
      <c r="A159" s="34"/>
      <c r="B159" s="61"/>
      <c r="D159" s="37"/>
      <c r="E159" s="38"/>
      <c r="F159" s="38"/>
      <c r="G159" s="40"/>
    </row>
    <row r="160" spans="1:7" x14ac:dyDescent="0.2">
      <c r="A160" s="34"/>
      <c r="B160" s="61"/>
      <c r="D160" s="37"/>
      <c r="E160" s="38"/>
      <c r="F160" s="38"/>
      <c r="G160" s="40"/>
    </row>
    <row r="161" spans="1:7" x14ac:dyDescent="0.2">
      <c r="A161" s="34"/>
      <c r="B161" s="61"/>
      <c r="D161" s="37"/>
      <c r="E161" s="38"/>
      <c r="F161" s="38"/>
      <c r="G161" s="40"/>
    </row>
    <row r="162" spans="1:7" x14ac:dyDescent="0.2">
      <c r="A162" s="34"/>
      <c r="B162" s="61"/>
      <c r="D162" s="37"/>
      <c r="E162" s="38"/>
      <c r="F162" s="38"/>
      <c r="G162" s="40"/>
    </row>
    <row r="163" spans="1:7" x14ac:dyDescent="0.2">
      <c r="A163" s="34"/>
      <c r="B163" s="61"/>
      <c r="D163" s="37"/>
      <c r="E163" s="38"/>
      <c r="F163" s="38"/>
      <c r="G163" s="40"/>
    </row>
    <row r="164" spans="1:7" x14ac:dyDescent="0.2">
      <c r="A164" s="34"/>
      <c r="B164" s="61"/>
      <c r="D164" s="37"/>
      <c r="E164" s="38"/>
      <c r="F164" s="38"/>
      <c r="G164" s="40"/>
    </row>
    <row r="165" spans="1:7" x14ac:dyDescent="0.2">
      <c r="A165" s="34"/>
      <c r="B165" s="61"/>
      <c r="D165" s="37"/>
      <c r="E165" s="38"/>
      <c r="F165" s="38"/>
      <c r="G165" s="40"/>
    </row>
    <row r="166" spans="1:7" x14ac:dyDescent="0.2">
      <c r="A166" s="34"/>
      <c r="B166" s="61"/>
      <c r="D166" s="37"/>
      <c r="E166" s="38"/>
      <c r="F166" s="38"/>
      <c r="G166" s="40"/>
    </row>
    <row r="167" spans="1:7" x14ac:dyDescent="0.2">
      <c r="A167" s="34"/>
      <c r="B167" s="61"/>
      <c r="D167" s="37"/>
      <c r="E167" s="38"/>
      <c r="F167" s="38"/>
      <c r="G167" s="40"/>
    </row>
    <row r="168" spans="1:7" x14ac:dyDescent="0.2">
      <c r="A168" s="34"/>
      <c r="B168" s="61"/>
      <c r="D168" s="37"/>
      <c r="E168" s="38"/>
      <c r="F168" s="38"/>
      <c r="G168" s="40"/>
    </row>
    <row r="169" spans="1:7" x14ac:dyDescent="0.2">
      <c r="A169" s="34"/>
      <c r="B169" s="61"/>
      <c r="D169" s="37"/>
      <c r="E169" s="38"/>
      <c r="F169" s="38"/>
      <c r="G169" s="40"/>
    </row>
    <row r="170" spans="1:7" x14ac:dyDescent="0.2">
      <c r="A170" s="34"/>
      <c r="B170" s="61"/>
      <c r="D170" s="37"/>
      <c r="E170" s="38"/>
      <c r="F170" s="38"/>
      <c r="G170" s="40"/>
    </row>
    <row r="171" spans="1:7" x14ac:dyDescent="0.2">
      <c r="A171" s="34"/>
      <c r="B171" s="61"/>
      <c r="D171" s="62"/>
      <c r="E171" s="63"/>
      <c r="F171" s="63"/>
      <c r="G171" s="64"/>
    </row>
    <row r="172" spans="1:7" x14ac:dyDescent="0.2">
      <c r="A172" s="34"/>
      <c r="B172" s="61"/>
      <c r="D172" s="38"/>
      <c r="E172" s="38"/>
      <c r="F172" s="38"/>
      <c r="G172" s="38"/>
    </row>
    <row r="173" spans="1:7" x14ac:dyDescent="0.2">
      <c r="A173" s="34"/>
      <c r="B173" s="61"/>
      <c r="D173" s="38"/>
      <c r="E173" s="38"/>
      <c r="F173" s="38"/>
      <c r="G173" s="38"/>
    </row>
    <row r="174" spans="1:7" x14ac:dyDescent="0.2">
      <c r="A174" s="34"/>
      <c r="B174" s="61"/>
      <c r="D174" s="38"/>
      <c r="E174" s="38"/>
      <c r="F174" s="38"/>
      <c r="G174" s="38"/>
    </row>
    <row r="175" spans="1:7" x14ac:dyDescent="0.2">
      <c r="A175" s="34"/>
      <c r="B175" s="61"/>
      <c r="D175" s="38"/>
      <c r="E175" s="38"/>
      <c r="F175" s="38"/>
      <c r="G175" s="38"/>
    </row>
    <row r="176" spans="1:7" x14ac:dyDescent="0.2">
      <c r="A176" s="34"/>
      <c r="B176" s="61"/>
      <c r="D176" s="38"/>
      <c r="E176" s="38"/>
      <c r="F176" s="38"/>
      <c r="G176" s="38"/>
    </row>
    <row r="177" spans="1:7" x14ac:dyDescent="0.2">
      <c r="A177" s="34"/>
      <c r="B177" s="61"/>
      <c r="D177" s="38"/>
      <c r="E177" s="38"/>
      <c r="F177" s="38"/>
      <c r="G177" s="38"/>
    </row>
    <row r="178" spans="1:7" x14ac:dyDescent="0.2">
      <c r="A178" s="34"/>
      <c r="B178" s="61"/>
      <c r="D178" s="38"/>
      <c r="E178" s="38"/>
      <c r="F178" s="38"/>
      <c r="G178" s="38"/>
    </row>
    <row r="179" spans="1:7" x14ac:dyDescent="0.2">
      <c r="A179" s="34"/>
      <c r="B179" s="61"/>
      <c r="D179" s="38"/>
      <c r="E179" s="38"/>
      <c r="F179" s="38"/>
      <c r="G179" s="38"/>
    </row>
    <row r="180" spans="1:7" x14ac:dyDescent="0.2">
      <c r="A180" s="34"/>
      <c r="B180" s="61"/>
      <c r="D180" s="38"/>
      <c r="E180" s="38"/>
      <c r="F180" s="38"/>
      <c r="G180" s="38"/>
    </row>
    <row r="181" spans="1:7" x14ac:dyDescent="0.2">
      <c r="A181" s="34"/>
      <c r="B181" s="61"/>
      <c r="D181" s="38"/>
      <c r="E181" s="38"/>
      <c r="F181" s="38"/>
      <c r="G181" s="38"/>
    </row>
    <row r="182" spans="1:7" x14ac:dyDescent="0.2">
      <c r="A182" s="34"/>
      <c r="B182" s="61"/>
      <c r="D182" s="38"/>
      <c r="E182" s="38"/>
      <c r="F182" s="38"/>
      <c r="G182" s="38"/>
    </row>
    <row r="183" spans="1:7" x14ac:dyDescent="0.2">
      <c r="A183" s="34"/>
      <c r="B183" s="61"/>
      <c r="D183" s="38"/>
      <c r="E183" s="38"/>
      <c r="F183" s="38"/>
      <c r="G183" s="38"/>
    </row>
    <row r="184" spans="1:7" x14ac:dyDescent="0.2">
      <c r="A184" s="34"/>
      <c r="B184" s="61"/>
      <c r="D184" s="38"/>
      <c r="E184" s="38"/>
      <c r="F184" s="38"/>
      <c r="G184" s="38"/>
    </row>
    <row r="185" spans="1:7" x14ac:dyDescent="0.2">
      <c r="A185" s="34"/>
      <c r="B185" s="61"/>
      <c r="D185" s="38"/>
      <c r="E185" s="38"/>
      <c r="F185" s="38"/>
      <c r="G185" s="38"/>
    </row>
    <row r="186" spans="1:7" x14ac:dyDescent="0.2">
      <c r="A186" s="34"/>
      <c r="B186" s="61"/>
      <c r="D186" s="38"/>
      <c r="E186" s="38"/>
      <c r="F186" s="38"/>
      <c r="G186" s="38"/>
    </row>
    <row r="187" spans="1:7" x14ac:dyDescent="0.2">
      <c r="A187" s="34"/>
      <c r="B187" s="61"/>
      <c r="D187" s="38"/>
      <c r="E187" s="38"/>
      <c r="F187" s="38"/>
      <c r="G187" s="38"/>
    </row>
    <row r="188" spans="1:7" x14ac:dyDescent="0.2">
      <c r="A188" s="34"/>
      <c r="B188" s="61"/>
      <c r="D188" s="38"/>
      <c r="E188" s="38"/>
      <c r="F188" s="38"/>
      <c r="G188" s="38"/>
    </row>
    <row r="189" spans="1:7" x14ac:dyDescent="0.2">
      <c r="A189" s="34"/>
      <c r="B189" s="61"/>
      <c r="D189" s="38"/>
      <c r="E189" s="38"/>
      <c r="F189" s="38"/>
      <c r="G189" s="38"/>
    </row>
    <row r="190" spans="1:7" x14ac:dyDescent="0.2">
      <c r="A190" s="34"/>
      <c r="B190" s="61"/>
      <c r="D190" s="38"/>
      <c r="E190" s="38"/>
      <c r="F190" s="38"/>
      <c r="G190" s="38"/>
    </row>
    <row r="191" spans="1:7" x14ac:dyDescent="0.2">
      <c r="A191" s="34"/>
      <c r="B191" s="61"/>
      <c r="D191" s="38"/>
      <c r="E191" s="38"/>
      <c r="F191" s="38"/>
      <c r="G191" s="38"/>
    </row>
    <row r="192" spans="1:7" x14ac:dyDescent="0.2">
      <c r="A192" s="34"/>
      <c r="B192" s="61"/>
      <c r="D192" s="38"/>
      <c r="E192" s="38"/>
      <c r="F192" s="38"/>
      <c r="G192" s="38"/>
    </row>
    <row r="193" spans="1:7" x14ac:dyDescent="0.2">
      <c r="A193" s="34"/>
      <c r="B193" s="61"/>
      <c r="D193" s="38"/>
      <c r="E193" s="38"/>
      <c r="F193" s="38"/>
      <c r="G193" s="38"/>
    </row>
    <row r="194" spans="1:7" x14ac:dyDescent="0.2">
      <c r="A194" s="34"/>
      <c r="B194" s="61"/>
      <c r="D194" s="38"/>
      <c r="E194" s="38"/>
      <c r="F194" s="38"/>
      <c r="G194" s="38"/>
    </row>
    <row r="195" spans="1:7" x14ac:dyDescent="0.2">
      <c r="A195" s="34"/>
      <c r="B195" s="61"/>
      <c r="D195" s="38"/>
      <c r="E195" s="38"/>
      <c r="F195" s="38"/>
      <c r="G195" s="38"/>
    </row>
    <row r="196" spans="1:7" x14ac:dyDescent="0.2">
      <c r="A196" s="34"/>
      <c r="B196" s="61"/>
      <c r="D196" s="38"/>
      <c r="E196" s="38"/>
      <c r="F196" s="38"/>
      <c r="G196" s="38"/>
    </row>
    <row r="197" spans="1:7" x14ac:dyDescent="0.2">
      <c r="A197" s="34"/>
      <c r="B197" s="61"/>
      <c r="D197" s="38"/>
      <c r="E197" s="38"/>
      <c r="F197" s="38"/>
      <c r="G197" s="38"/>
    </row>
    <row r="198" spans="1:7" x14ac:dyDescent="0.2">
      <c r="A198" s="34"/>
      <c r="B198" s="61"/>
      <c r="D198" s="38"/>
      <c r="E198" s="38"/>
      <c r="F198" s="38"/>
      <c r="G198" s="38"/>
    </row>
    <row r="199" spans="1:7" x14ac:dyDescent="0.2">
      <c r="A199" s="34"/>
      <c r="B199" s="61"/>
      <c r="D199" s="38"/>
      <c r="E199" s="38"/>
      <c r="F199" s="38"/>
      <c r="G199" s="38"/>
    </row>
    <row r="200" spans="1:7" x14ac:dyDescent="0.2">
      <c r="A200" s="34"/>
      <c r="B200" s="61"/>
      <c r="D200" s="38"/>
      <c r="E200" s="38"/>
      <c r="F200" s="38"/>
      <c r="G200" s="38"/>
    </row>
    <row r="201" spans="1:7" x14ac:dyDescent="0.2">
      <c r="A201" s="34"/>
      <c r="B201" s="61"/>
      <c r="D201" s="38"/>
      <c r="E201" s="38"/>
      <c r="F201" s="38"/>
      <c r="G201" s="38"/>
    </row>
    <row r="202" spans="1:7" x14ac:dyDescent="0.2">
      <c r="A202" s="34"/>
      <c r="B202" s="61"/>
      <c r="D202" s="38"/>
      <c r="E202" s="38"/>
      <c r="F202" s="38"/>
      <c r="G202" s="38"/>
    </row>
    <row r="203" spans="1:7" x14ac:dyDescent="0.2">
      <c r="A203" s="34"/>
      <c r="B203" s="61"/>
      <c r="D203" s="38"/>
      <c r="E203" s="38"/>
      <c r="F203" s="38"/>
      <c r="G203" s="38"/>
    </row>
    <row r="204" spans="1:7" x14ac:dyDescent="0.2">
      <c r="A204" s="34"/>
      <c r="B204" s="61"/>
      <c r="D204" s="38"/>
      <c r="E204" s="38"/>
      <c r="F204" s="38"/>
      <c r="G204" s="38"/>
    </row>
    <row r="205" spans="1:7" x14ac:dyDescent="0.2">
      <c r="A205" s="34"/>
      <c r="B205" s="61"/>
      <c r="D205" s="38"/>
      <c r="E205" s="38"/>
      <c r="F205" s="38"/>
      <c r="G205" s="38"/>
    </row>
    <row r="206" spans="1:7" x14ac:dyDescent="0.2">
      <c r="A206" s="34"/>
      <c r="B206" s="61"/>
      <c r="D206" s="38"/>
      <c r="E206" s="38"/>
      <c r="F206" s="38"/>
      <c r="G206" s="38"/>
    </row>
    <row r="207" spans="1:7" x14ac:dyDescent="0.2">
      <c r="A207" s="34"/>
      <c r="B207" s="61"/>
      <c r="D207" s="38"/>
      <c r="E207" s="38"/>
      <c r="F207" s="38"/>
      <c r="G207" s="38"/>
    </row>
    <row r="208" spans="1:7" x14ac:dyDescent="0.2">
      <c r="A208" s="34"/>
      <c r="B208" s="61"/>
      <c r="D208" s="38"/>
      <c r="E208" s="38"/>
      <c r="F208" s="38"/>
      <c r="G208" s="38"/>
    </row>
    <row r="209" spans="1:7" x14ac:dyDescent="0.2">
      <c r="A209" s="34"/>
      <c r="B209" s="61"/>
      <c r="D209" s="38"/>
      <c r="E209" s="38"/>
      <c r="F209" s="38"/>
      <c r="G209" s="38"/>
    </row>
    <row r="210" spans="1:7" x14ac:dyDescent="0.2">
      <c r="A210" s="34"/>
      <c r="B210" s="61"/>
      <c r="D210" s="38"/>
      <c r="E210" s="38"/>
      <c r="F210" s="38"/>
      <c r="G210" s="38"/>
    </row>
    <row r="211" spans="1:7" x14ac:dyDescent="0.2">
      <c r="A211" s="34"/>
      <c r="B211" s="61"/>
      <c r="D211" s="38"/>
      <c r="E211" s="38"/>
      <c r="F211" s="38"/>
      <c r="G211" s="38"/>
    </row>
    <row r="212" spans="1:7" x14ac:dyDescent="0.2">
      <c r="A212" s="34"/>
      <c r="B212" s="61"/>
      <c r="D212" s="38"/>
      <c r="E212" s="38"/>
      <c r="F212" s="38"/>
      <c r="G212" s="38"/>
    </row>
    <row r="213" spans="1:7" x14ac:dyDescent="0.2">
      <c r="A213" s="34"/>
      <c r="B213" s="61"/>
      <c r="D213" s="38"/>
      <c r="E213" s="38"/>
      <c r="F213" s="38"/>
      <c r="G213" s="38"/>
    </row>
    <row r="214" spans="1:7" x14ac:dyDescent="0.2">
      <c r="A214" s="34"/>
      <c r="B214" s="61"/>
      <c r="D214" s="38"/>
      <c r="E214" s="38"/>
      <c r="F214" s="38"/>
      <c r="G214" s="38"/>
    </row>
    <row r="215" spans="1:7" x14ac:dyDescent="0.2">
      <c r="A215" s="34"/>
      <c r="B215" s="61"/>
      <c r="D215" s="38"/>
      <c r="E215" s="38"/>
      <c r="F215" s="38"/>
      <c r="G215" s="38"/>
    </row>
    <row r="216" spans="1:7" x14ac:dyDescent="0.2">
      <c r="A216" s="34"/>
      <c r="B216" s="61"/>
      <c r="D216" s="38"/>
      <c r="E216" s="38"/>
      <c r="F216" s="38"/>
      <c r="G216" s="38"/>
    </row>
    <row r="217" spans="1:7" x14ac:dyDescent="0.2">
      <c r="A217" s="34"/>
      <c r="B217" s="61"/>
      <c r="D217" s="38"/>
      <c r="E217" s="38"/>
      <c r="F217" s="38"/>
      <c r="G217" s="38"/>
    </row>
    <row r="218" spans="1:7" x14ac:dyDescent="0.2">
      <c r="A218" s="34"/>
      <c r="B218" s="61"/>
      <c r="D218" s="38"/>
      <c r="E218" s="38"/>
      <c r="F218" s="38"/>
      <c r="G218" s="38"/>
    </row>
    <row r="219" spans="1:7" x14ac:dyDescent="0.2">
      <c r="A219" s="34"/>
      <c r="B219" s="61"/>
      <c r="D219" s="38"/>
      <c r="E219" s="38"/>
      <c r="F219" s="38"/>
      <c r="G219" s="38"/>
    </row>
    <row r="220" spans="1:7" x14ac:dyDescent="0.2">
      <c r="A220" s="34"/>
      <c r="B220" s="61"/>
      <c r="D220" s="38"/>
      <c r="E220" s="38"/>
      <c r="F220" s="38"/>
      <c r="G220" s="38"/>
    </row>
    <row r="221" spans="1:7" x14ac:dyDescent="0.2">
      <c r="A221" s="34"/>
      <c r="B221" s="61"/>
      <c r="D221" s="38"/>
      <c r="E221" s="38"/>
      <c r="F221" s="38"/>
      <c r="G221" s="38"/>
    </row>
    <row r="222" spans="1:7" x14ac:dyDescent="0.2">
      <c r="A222" s="34"/>
      <c r="B222" s="61"/>
      <c r="D222" s="38"/>
      <c r="E222" s="38"/>
      <c r="F222" s="38"/>
      <c r="G222" s="38"/>
    </row>
    <row r="223" spans="1:7" x14ac:dyDescent="0.2">
      <c r="A223" s="34"/>
      <c r="B223" s="61"/>
      <c r="D223" s="38"/>
      <c r="E223" s="38"/>
      <c r="F223" s="38"/>
      <c r="G223" s="38"/>
    </row>
    <row r="224" spans="1:7" x14ac:dyDescent="0.2">
      <c r="A224" s="34"/>
      <c r="B224" s="61"/>
      <c r="D224" s="38"/>
      <c r="E224" s="38"/>
      <c r="F224" s="38"/>
      <c r="G224" s="38"/>
    </row>
    <row r="225" spans="1:7" x14ac:dyDescent="0.2">
      <c r="A225" s="34"/>
      <c r="B225" s="61"/>
      <c r="D225" s="38"/>
      <c r="E225" s="38"/>
      <c r="F225" s="38"/>
      <c r="G225" s="38"/>
    </row>
    <row r="226" spans="1:7" x14ac:dyDescent="0.2">
      <c r="A226" s="34"/>
      <c r="B226" s="61"/>
      <c r="D226" s="38"/>
      <c r="E226" s="38"/>
      <c r="F226" s="38"/>
      <c r="G226" s="38"/>
    </row>
    <row r="227" spans="1:7" x14ac:dyDescent="0.2">
      <c r="A227" s="34"/>
      <c r="B227" s="61"/>
      <c r="D227" s="38"/>
      <c r="E227" s="38"/>
      <c r="F227" s="38"/>
      <c r="G227" s="38"/>
    </row>
    <row r="228" spans="1:7" x14ac:dyDescent="0.2">
      <c r="A228" s="34"/>
      <c r="B228" s="61"/>
      <c r="D228" s="38"/>
      <c r="E228" s="38"/>
      <c r="F228" s="38"/>
      <c r="G228" s="38"/>
    </row>
    <row r="229" spans="1:7" x14ac:dyDescent="0.2">
      <c r="A229" s="34"/>
      <c r="B229" s="61"/>
      <c r="D229" s="38"/>
      <c r="E229" s="38"/>
      <c r="F229" s="38"/>
      <c r="G229" s="38"/>
    </row>
    <row r="230" spans="1:7" x14ac:dyDescent="0.2">
      <c r="A230" s="34"/>
      <c r="B230" s="61"/>
      <c r="D230" s="38"/>
      <c r="E230" s="38"/>
      <c r="F230" s="38"/>
      <c r="G230" s="38"/>
    </row>
    <row r="231" spans="1:7" x14ac:dyDescent="0.2">
      <c r="A231" s="34"/>
      <c r="B231" s="61"/>
      <c r="D231" s="38"/>
      <c r="E231" s="38"/>
      <c r="F231" s="38"/>
      <c r="G231" s="38"/>
    </row>
    <row r="232" spans="1:7" x14ac:dyDescent="0.2">
      <c r="A232" s="34"/>
      <c r="B232" s="61"/>
      <c r="D232" s="38"/>
      <c r="E232" s="38"/>
      <c r="F232" s="38"/>
      <c r="G232" s="38"/>
    </row>
    <row r="233" spans="1:7" x14ac:dyDescent="0.2">
      <c r="A233" s="34"/>
      <c r="B233" s="61"/>
      <c r="D233" s="38"/>
      <c r="E233" s="38"/>
      <c r="F233" s="38"/>
      <c r="G233" s="38"/>
    </row>
    <row r="234" spans="1:7" x14ac:dyDescent="0.2">
      <c r="A234" s="34"/>
      <c r="B234" s="61"/>
      <c r="D234" s="38"/>
      <c r="E234" s="38"/>
      <c r="F234" s="38"/>
      <c r="G234" s="38"/>
    </row>
    <row r="235" spans="1:7" x14ac:dyDescent="0.2">
      <c r="A235" s="34"/>
      <c r="B235" s="61"/>
      <c r="D235" s="38"/>
      <c r="E235" s="38"/>
      <c r="F235" s="38"/>
      <c r="G235" s="38"/>
    </row>
    <row r="236" spans="1:7" x14ac:dyDescent="0.2">
      <c r="A236" s="34"/>
      <c r="B236" s="61"/>
      <c r="D236" s="38"/>
      <c r="E236" s="38"/>
      <c r="F236" s="38"/>
      <c r="G236" s="38"/>
    </row>
    <row r="237" spans="1:7" x14ac:dyDescent="0.2">
      <c r="D237" s="38"/>
      <c r="E237" s="38"/>
      <c r="F237" s="38"/>
      <c r="G237" s="38"/>
    </row>
    <row r="238" spans="1:7" x14ac:dyDescent="0.2">
      <c r="D238" s="38"/>
      <c r="E238" s="38"/>
      <c r="F238" s="38"/>
      <c r="G238" s="38"/>
    </row>
    <row r="239" spans="1:7" x14ac:dyDescent="0.2">
      <c r="D239" s="38"/>
      <c r="E239" s="38"/>
      <c r="F239" s="38"/>
      <c r="G239" s="38"/>
    </row>
    <row r="240" spans="1:7" x14ac:dyDescent="0.2">
      <c r="D240" s="38"/>
      <c r="E240" s="38"/>
      <c r="F240" s="38"/>
      <c r="G240" s="38"/>
    </row>
    <row r="241" spans="4:7" x14ac:dyDescent="0.2">
      <c r="D241" s="38"/>
      <c r="E241" s="38"/>
      <c r="F241" s="38"/>
      <c r="G241" s="38"/>
    </row>
    <row r="242" spans="4:7" x14ac:dyDescent="0.2">
      <c r="D242" s="38"/>
      <c r="E242" s="38"/>
      <c r="F242" s="38"/>
      <c r="G242" s="38"/>
    </row>
    <row r="243" spans="4:7" x14ac:dyDescent="0.2">
      <c r="D243" s="38"/>
      <c r="E243" s="38"/>
      <c r="F243" s="38"/>
      <c r="G243" s="38"/>
    </row>
    <row r="244" spans="4:7" x14ac:dyDescent="0.2">
      <c r="D244" s="38"/>
      <c r="E244" s="38"/>
      <c r="F244" s="38"/>
      <c r="G244" s="38"/>
    </row>
    <row r="245" spans="4:7" x14ac:dyDescent="0.2">
      <c r="D245" s="38"/>
      <c r="E245" s="38"/>
      <c r="F245" s="38"/>
      <c r="G245" s="38"/>
    </row>
    <row r="246" spans="4:7" x14ac:dyDescent="0.2">
      <c r="D246" s="38"/>
      <c r="E246" s="38"/>
      <c r="F246" s="38"/>
      <c r="G246" s="38"/>
    </row>
    <row r="247" spans="4:7" x14ac:dyDescent="0.2">
      <c r="D247" s="38"/>
      <c r="E247" s="38"/>
      <c r="F247" s="38"/>
      <c r="G247" s="38"/>
    </row>
    <row r="248" spans="4:7" x14ac:dyDescent="0.2">
      <c r="D248" s="38"/>
      <c r="E248" s="38"/>
      <c r="F248" s="38"/>
      <c r="G248" s="38"/>
    </row>
    <row r="249" spans="4:7" x14ac:dyDescent="0.2">
      <c r="D249" s="38"/>
      <c r="E249" s="38"/>
      <c r="F249" s="38"/>
      <c r="G249" s="38"/>
    </row>
    <row r="250" spans="4:7" x14ac:dyDescent="0.2">
      <c r="D250" s="38"/>
      <c r="E250" s="38"/>
      <c r="F250" s="38"/>
      <c r="G250" s="38"/>
    </row>
    <row r="251" spans="4:7" x14ac:dyDescent="0.2">
      <c r="D251" s="38"/>
      <c r="E251" s="38"/>
      <c r="F251" s="38"/>
      <c r="G251" s="38"/>
    </row>
    <row r="252" spans="4:7" x14ac:dyDescent="0.2">
      <c r="D252" s="38"/>
      <c r="E252" s="38"/>
      <c r="F252" s="38"/>
      <c r="G252" s="38"/>
    </row>
    <row r="253" spans="4:7" x14ac:dyDescent="0.2">
      <c r="D253" s="38"/>
      <c r="E253" s="38"/>
      <c r="F253" s="38"/>
      <c r="G253" s="38"/>
    </row>
    <row r="254" spans="4:7" x14ac:dyDescent="0.2">
      <c r="D254" s="38"/>
      <c r="E254" s="38"/>
      <c r="F254" s="38"/>
      <c r="G254" s="38"/>
    </row>
    <row r="255" spans="4:7" x14ac:dyDescent="0.2">
      <c r="D255" s="38"/>
      <c r="E255" s="38"/>
      <c r="F255" s="38"/>
      <c r="G255" s="38"/>
    </row>
    <row r="256" spans="4:7" x14ac:dyDescent="0.2">
      <c r="D256" s="38"/>
      <c r="E256" s="38"/>
      <c r="F256" s="38"/>
      <c r="G256" s="38"/>
    </row>
    <row r="257" spans="4:7" x14ac:dyDescent="0.2">
      <c r="D257" s="38"/>
      <c r="E257" s="38"/>
      <c r="F257" s="38"/>
      <c r="G257" s="38"/>
    </row>
    <row r="258" spans="4:7" x14ac:dyDescent="0.2">
      <c r="D258" s="38"/>
      <c r="E258" s="38"/>
      <c r="F258" s="38"/>
      <c r="G258" s="38"/>
    </row>
    <row r="259" spans="4:7" x14ac:dyDescent="0.2">
      <c r="D259" s="38"/>
      <c r="E259" s="38"/>
      <c r="F259" s="38"/>
      <c r="G259" s="38"/>
    </row>
    <row r="260" spans="4:7" x14ac:dyDescent="0.2">
      <c r="D260" s="38"/>
      <c r="E260" s="38"/>
      <c r="F260" s="38"/>
      <c r="G260" s="38"/>
    </row>
    <row r="261" spans="4:7" x14ac:dyDescent="0.2">
      <c r="D261" s="38"/>
      <c r="E261" s="38"/>
      <c r="F261" s="38"/>
      <c r="G261" s="38"/>
    </row>
    <row r="262" spans="4:7" x14ac:dyDescent="0.2">
      <c r="D262" s="38"/>
      <c r="E262" s="38"/>
      <c r="F262" s="38"/>
      <c r="G262" s="38"/>
    </row>
    <row r="263" spans="4:7" x14ac:dyDescent="0.2">
      <c r="D263" s="38"/>
      <c r="E263" s="38"/>
      <c r="F263" s="38"/>
      <c r="G263" s="38"/>
    </row>
    <row r="264" spans="4:7" x14ac:dyDescent="0.2">
      <c r="D264" s="38"/>
      <c r="E264" s="38"/>
      <c r="F264" s="38"/>
      <c r="G264" s="38"/>
    </row>
    <row r="265" spans="4:7" x14ac:dyDescent="0.2">
      <c r="D265" s="38"/>
      <c r="E265" s="38"/>
      <c r="F265" s="38"/>
      <c r="G265" s="38"/>
    </row>
    <row r="266" spans="4:7" x14ac:dyDescent="0.2">
      <c r="D266" s="38"/>
      <c r="E266" s="38"/>
      <c r="F266" s="38"/>
      <c r="G266" s="38"/>
    </row>
    <row r="267" spans="4:7" x14ac:dyDescent="0.2">
      <c r="D267" s="38"/>
      <c r="E267" s="38"/>
      <c r="F267" s="38"/>
      <c r="G267" s="38"/>
    </row>
    <row r="268" spans="4:7" x14ac:dyDescent="0.2">
      <c r="D268" s="38"/>
      <c r="E268" s="38"/>
      <c r="F268" s="38"/>
      <c r="G268" s="38"/>
    </row>
    <row r="269" spans="4:7" x14ac:dyDescent="0.2">
      <c r="D269" s="38"/>
      <c r="E269" s="38"/>
      <c r="F269" s="38"/>
      <c r="G269" s="38"/>
    </row>
    <row r="270" spans="4:7" x14ac:dyDescent="0.2">
      <c r="D270" s="38"/>
      <c r="E270" s="38"/>
      <c r="F270" s="38"/>
      <c r="G270" s="38"/>
    </row>
    <row r="271" spans="4:7" x14ac:dyDescent="0.2">
      <c r="D271" s="38"/>
      <c r="E271" s="38"/>
      <c r="F271" s="38"/>
      <c r="G271" s="38"/>
    </row>
    <row r="272" spans="4:7" x14ac:dyDescent="0.2">
      <c r="D272" s="38"/>
      <c r="E272" s="38"/>
      <c r="F272" s="38"/>
      <c r="G272" s="38"/>
    </row>
    <row r="273" spans="4:7" x14ac:dyDescent="0.2">
      <c r="D273" s="38"/>
      <c r="E273" s="38"/>
      <c r="F273" s="38"/>
      <c r="G273" s="38"/>
    </row>
    <row r="274" spans="4:7" x14ac:dyDescent="0.2">
      <c r="D274" s="38"/>
      <c r="E274" s="38"/>
      <c r="F274" s="38"/>
      <c r="G274" s="38"/>
    </row>
    <row r="275" spans="4:7" x14ac:dyDescent="0.2">
      <c r="D275" s="38"/>
      <c r="E275" s="38"/>
      <c r="F275" s="38"/>
      <c r="G275" s="38"/>
    </row>
    <row r="276" spans="4:7" x14ac:dyDescent="0.2">
      <c r="D276" s="38"/>
      <c r="E276" s="38"/>
      <c r="F276" s="38"/>
      <c r="G276" s="38"/>
    </row>
    <row r="277" spans="4:7" x14ac:dyDescent="0.2">
      <c r="D277" s="38"/>
      <c r="E277" s="38"/>
      <c r="F277" s="38"/>
      <c r="G277" s="38"/>
    </row>
    <row r="278" spans="4:7" x14ac:dyDescent="0.2">
      <c r="D278" s="38"/>
      <c r="E278" s="38"/>
      <c r="F278" s="38"/>
      <c r="G278" s="38"/>
    </row>
    <row r="279" spans="4:7" x14ac:dyDescent="0.2">
      <c r="D279" s="38"/>
      <c r="E279" s="38"/>
      <c r="F279" s="38"/>
      <c r="G279" s="38"/>
    </row>
    <row r="280" spans="4:7" x14ac:dyDescent="0.2">
      <c r="D280" s="38"/>
      <c r="E280" s="38"/>
      <c r="F280" s="38"/>
      <c r="G280" s="38"/>
    </row>
    <row r="281" spans="4:7" x14ac:dyDescent="0.2">
      <c r="D281" s="38"/>
      <c r="E281" s="38"/>
      <c r="F281" s="38"/>
      <c r="G281" s="38"/>
    </row>
    <row r="282" spans="4:7" x14ac:dyDescent="0.2">
      <c r="D282" s="38"/>
      <c r="E282" s="38"/>
      <c r="F282" s="38"/>
      <c r="G282" s="38"/>
    </row>
    <row r="283" spans="4:7" x14ac:dyDescent="0.2">
      <c r="D283" s="38"/>
      <c r="E283" s="38"/>
      <c r="F283" s="38"/>
      <c r="G283" s="38"/>
    </row>
    <row r="284" spans="4:7" x14ac:dyDescent="0.2">
      <c r="D284" s="38"/>
      <c r="E284" s="38"/>
      <c r="F284" s="38"/>
      <c r="G284" s="38"/>
    </row>
    <row r="285" spans="4:7" x14ac:dyDescent="0.2">
      <c r="D285" s="38"/>
      <c r="E285" s="38"/>
      <c r="F285" s="38"/>
      <c r="G285" s="38"/>
    </row>
    <row r="286" spans="4:7" x14ac:dyDescent="0.2">
      <c r="D286" s="38"/>
      <c r="E286" s="38"/>
      <c r="F286" s="38"/>
      <c r="G286" s="38"/>
    </row>
    <row r="287" spans="4:7" x14ac:dyDescent="0.2">
      <c r="D287" s="38"/>
      <c r="E287" s="38"/>
      <c r="F287" s="38"/>
      <c r="G287" s="38"/>
    </row>
    <row r="288" spans="4:7" x14ac:dyDescent="0.2">
      <c r="D288" s="38"/>
      <c r="E288" s="38"/>
      <c r="F288" s="38"/>
      <c r="G288" s="38"/>
    </row>
    <row r="289" spans="4:7" x14ac:dyDescent="0.2">
      <c r="D289" s="38"/>
      <c r="E289" s="38"/>
      <c r="F289" s="38"/>
      <c r="G289" s="38"/>
    </row>
    <row r="290" spans="4:7" x14ac:dyDescent="0.2">
      <c r="D290" s="38"/>
      <c r="E290" s="38"/>
      <c r="F290" s="38"/>
      <c r="G290" s="38"/>
    </row>
    <row r="291" spans="4:7" x14ac:dyDescent="0.2">
      <c r="D291" s="38"/>
      <c r="E291" s="38"/>
      <c r="F291" s="38"/>
      <c r="G291" s="38"/>
    </row>
    <row r="292" spans="4:7" x14ac:dyDescent="0.2">
      <c r="D292" s="38"/>
      <c r="E292" s="38"/>
      <c r="F292" s="38"/>
      <c r="G292" s="38"/>
    </row>
    <row r="293" spans="4:7" x14ac:dyDescent="0.2">
      <c r="D293" s="38"/>
      <c r="E293" s="38"/>
      <c r="F293" s="38"/>
      <c r="G293" s="38"/>
    </row>
    <row r="294" spans="4:7" x14ac:dyDescent="0.2">
      <c r="D294" s="38"/>
      <c r="E294" s="38"/>
      <c r="F294" s="38"/>
      <c r="G294" s="38"/>
    </row>
    <row r="295" spans="4:7" x14ac:dyDescent="0.2">
      <c r="D295" s="38"/>
      <c r="E295" s="38"/>
      <c r="F295" s="38"/>
      <c r="G295" s="38"/>
    </row>
    <row r="296" spans="4:7" x14ac:dyDescent="0.2">
      <c r="D296" s="38"/>
      <c r="E296" s="38"/>
      <c r="F296" s="38"/>
      <c r="G296" s="38"/>
    </row>
    <row r="297" spans="4:7" x14ac:dyDescent="0.2">
      <c r="D297" s="38"/>
      <c r="E297" s="38"/>
      <c r="F297" s="38"/>
      <c r="G297" s="38"/>
    </row>
    <row r="298" spans="4:7" x14ac:dyDescent="0.2">
      <c r="D298" s="38"/>
      <c r="E298" s="38"/>
      <c r="F298" s="38"/>
      <c r="G298" s="38"/>
    </row>
    <row r="299" spans="4:7" x14ac:dyDescent="0.2">
      <c r="D299" s="38"/>
      <c r="E299" s="38"/>
      <c r="F299" s="38"/>
      <c r="G299" s="38"/>
    </row>
    <row r="300" spans="4:7" x14ac:dyDescent="0.2">
      <c r="D300" s="38"/>
      <c r="E300" s="38"/>
      <c r="F300" s="38"/>
      <c r="G300" s="38"/>
    </row>
    <row r="301" spans="4:7" x14ac:dyDescent="0.2">
      <c r="D301" s="38"/>
      <c r="E301" s="38"/>
      <c r="F301" s="38"/>
      <c r="G301" s="38"/>
    </row>
    <row r="302" spans="4:7" x14ac:dyDescent="0.2">
      <c r="D302" s="38"/>
      <c r="E302" s="38"/>
      <c r="F302" s="38"/>
      <c r="G302" s="38"/>
    </row>
    <row r="303" spans="4:7" x14ac:dyDescent="0.2">
      <c r="D303" s="38"/>
      <c r="E303" s="38"/>
      <c r="F303" s="38"/>
      <c r="G303" s="38"/>
    </row>
    <row r="304" spans="4:7" x14ac:dyDescent="0.2">
      <c r="D304" s="38"/>
      <c r="E304" s="38"/>
      <c r="F304" s="38"/>
      <c r="G304" s="38"/>
    </row>
    <row r="305" spans="4:7" x14ac:dyDescent="0.2">
      <c r="D305" s="38"/>
      <c r="E305" s="38"/>
      <c r="F305" s="38"/>
      <c r="G305" s="38"/>
    </row>
    <row r="306" spans="4:7" x14ac:dyDescent="0.2">
      <c r="D306" s="38"/>
      <c r="E306" s="38"/>
      <c r="F306" s="38"/>
      <c r="G306" s="38"/>
    </row>
    <row r="307" spans="4:7" x14ac:dyDescent="0.2">
      <c r="D307" s="38"/>
      <c r="E307" s="38"/>
      <c r="F307" s="38"/>
      <c r="G307" s="38"/>
    </row>
    <row r="308" spans="4:7" x14ac:dyDescent="0.2">
      <c r="D308" s="38"/>
      <c r="E308" s="38"/>
      <c r="F308" s="38"/>
      <c r="G308" s="38"/>
    </row>
    <row r="309" spans="4:7" x14ac:dyDescent="0.2">
      <c r="D309" s="38"/>
      <c r="E309" s="38"/>
      <c r="F309" s="38"/>
      <c r="G309" s="38"/>
    </row>
    <row r="310" spans="4:7" x14ac:dyDescent="0.2">
      <c r="D310" s="38"/>
      <c r="E310" s="38"/>
      <c r="F310" s="38"/>
      <c r="G310" s="38"/>
    </row>
    <row r="311" spans="4:7" x14ac:dyDescent="0.2">
      <c r="D311" s="38"/>
      <c r="E311" s="38"/>
      <c r="F311" s="38"/>
      <c r="G311" s="38"/>
    </row>
    <row r="312" spans="4:7" x14ac:dyDescent="0.2">
      <c r="D312" s="38"/>
      <c r="E312" s="38"/>
      <c r="F312" s="38"/>
      <c r="G312" s="38"/>
    </row>
    <row r="313" spans="4:7" x14ac:dyDescent="0.2">
      <c r="D313" s="38"/>
      <c r="E313" s="38"/>
      <c r="F313" s="38"/>
      <c r="G313" s="38"/>
    </row>
    <row r="314" spans="4:7" x14ac:dyDescent="0.2">
      <c r="D314" s="38"/>
      <c r="E314" s="38"/>
      <c r="F314" s="38"/>
      <c r="G314" s="38"/>
    </row>
    <row r="315" spans="4:7" x14ac:dyDescent="0.2">
      <c r="D315" s="38"/>
      <c r="E315" s="38"/>
      <c r="F315" s="38"/>
      <c r="G315" s="38"/>
    </row>
    <row r="316" spans="4:7" x14ac:dyDescent="0.2">
      <c r="D316" s="38"/>
      <c r="E316" s="38"/>
      <c r="F316" s="38"/>
      <c r="G316" s="38"/>
    </row>
    <row r="317" spans="4:7" x14ac:dyDescent="0.2">
      <c r="D317" s="38"/>
      <c r="E317" s="38"/>
      <c r="F317" s="38"/>
      <c r="G317" s="38"/>
    </row>
    <row r="318" spans="4:7" x14ac:dyDescent="0.2">
      <c r="D318" s="38"/>
      <c r="E318" s="38"/>
      <c r="F318" s="38"/>
      <c r="G318" s="38"/>
    </row>
    <row r="319" spans="4:7" x14ac:dyDescent="0.2">
      <c r="D319" s="38"/>
      <c r="E319" s="38"/>
      <c r="F319" s="38"/>
      <c r="G319" s="38"/>
    </row>
    <row r="320" spans="4:7" x14ac:dyDescent="0.2">
      <c r="D320" s="38"/>
      <c r="E320" s="38"/>
      <c r="F320" s="38"/>
      <c r="G320" s="38"/>
    </row>
    <row r="321" spans="4:7" x14ac:dyDescent="0.2">
      <c r="D321" s="38"/>
      <c r="E321" s="38"/>
      <c r="F321" s="38"/>
      <c r="G321" s="38"/>
    </row>
    <row r="322" spans="4:7" x14ac:dyDescent="0.2">
      <c r="D322" s="38"/>
      <c r="E322" s="38"/>
      <c r="F322" s="38"/>
      <c r="G322" s="38"/>
    </row>
    <row r="323" spans="4:7" x14ac:dyDescent="0.2">
      <c r="D323" s="38"/>
      <c r="E323" s="38"/>
      <c r="F323" s="38"/>
      <c r="G323" s="38"/>
    </row>
    <row r="324" spans="4:7" x14ac:dyDescent="0.2">
      <c r="D324" s="38"/>
      <c r="E324" s="38"/>
      <c r="F324" s="38"/>
      <c r="G324" s="38"/>
    </row>
    <row r="325" spans="4:7" x14ac:dyDescent="0.2">
      <c r="D325" s="38"/>
      <c r="E325" s="38"/>
      <c r="F325" s="38"/>
      <c r="G325" s="38"/>
    </row>
    <row r="326" spans="4:7" x14ac:dyDescent="0.2">
      <c r="D326" s="38"/>
      <c r="E326" s="38"/>
      <c r="F326" s="38"/>
      <c r="G326" s="38"/>
    </row>
    <row r="327" spans="4:7" x14ac:dyDescent="0.2">
      <c r="D327" s="38"/>
      <c r="E327" s="38"/>
      <c r="F327" s="38"/>
      <c r="G327" s="38"/>
    </row>
    <row r="328" spans="4:7" x14ac:dyDescent="0.2">
      <c r="D328" s="38"/>
      <c r="E328" s="38"/>
      <c r="F328" s="38"/>
      <c r="G328" s="38"/>
    </row>
    <row r="329" spans="4:7" x14ac:dyDescent="0.2">
      <c r="D329" s="38"/>
      <c r="E329" s="38"/>
      <c r="F329" s="38"/>
      <c r="G329" s="38"/>
    </row>
    <row r="330" spans="4:7" x14ac:dyDescent="0.2">
      <c r="D330" s="38"/>
      <c r="E330" s="38"/>
      <c r="F330" s="38"/>
      <c r="G330" s="38"/>
    </row>
    <row r="331" spans="4:7" x14ac:dyDescent="0.2">
      <c r="D331" s="38"/>
      <c r="E331" s="38"/>
      <c r="F331" s="38"/>
      <c r="G331" s="38"/>
    </row>
    <row r="332" spans="4:7" x14ac:dyDescent="0.2">
      <c r="D332" s="38"/>
      <c r="E332" s="38"/>
      <c r="F332" s="38"/>
      <c r="G332" s="38"/>
    </row>
    <row r="333" spans="4:7" x14ac:dyDescent="0.2">
      <c r="D333" s="38"/>
      <c r="E333" s="38"/>
      <c r="F333" s="38"/>
      <c r="G333" s="38"/>
    </row>
    <row r="334" spans="4:7" x14ac:dyDescent="0.2">
      <c r="D334" s="38"/>
      <c r="E334" s="38"/>
      <c r="F334" s="38"/>
      <c r="G334" s="38"/>
    </row>
    <row r="335" spans="4:7" x14ac:dyDescent="0.2">
      <c r="D335" s="38"/>
      <c r="E335" s="38"/>
      <c r="F335" s="38"/>
      <c r="G335" s="38"/>
    </row>
    <row r="336" spans="4:7" x14ac:dyDescent="0.2">
      <c r="D336" s="38"/>
      <c r="E336" s="38"/>
      <c r="F336" s="38"/>
      <c r="G336" s="38"/>
    </row>
    <row r="337" spans="4:7" x14ac:dyDescent="0.2">
      <c r="D337" s="38"/>
      <c r="E337" s="38"/>
      <c r="F337" s="38"/>
      <c r="G337" s="38"/>
    </row>
    <row r="338" spans="4:7" x14ac:dyDescent="0.2">
      <c r="D338" s="38"/>
      <c r="E338" s="38"/>
      <c r="F338" s="38"/>
      <c r="G338" s="38"/>
    </row>
    <row r="339" spans="4:7" x14ac:dyDescent="0.2">
      <c r="D339" s="38"/>
      <c r="E339" s="38"/>
      <c r="F339" s="38"/>
      <c r="G339" s="38"/>
    </row>
    <row r="340" spans="4:7" x14ac:dyDescent="0.2">
      <c r="D340" s="38"/>
      <c r="E340" s="38"/>
      <c r="F340" s="38"/>
      <c r="G340" s="38"/>
    </row>
    <row r="341" spans="4:7" x14ac:dyDescent="0.2">
      <c r="D341" s="38"/>
      <c r="E341" s="38"/>
      <c r="F341" s="38"/>
      <c r="G341" s="38"/>
    </row>
    <row r="342" spans="4:7" x14ac:dyDescent="0.2">
      <c r="D342" s="38"/>
      <c r="E342" s="38"/>
      <c r="F342" s="38"/>
      <c r="G342" s="38"/>
    </row>
    <row r="343" spans="4:7" x14ac:dyDescent="0.2">
      <c r="D343" s="38"/>
      <c r="E343" s="38"/>
      <c r="F343" s="38"/>
      <c r="G343" s="38"/>
    </row>
    <row r="344" spans="4:7" x14ac:dyDescent="0.2">
      <c r="D344" s="38"/>
      <c r="E344" s="38"/>
      <c r="F344" s="38"/>
      <c r="G344" s="38"/>
    </row>
    <row r="345" spans="4:7" x14ac:dyDescent="0.2">
      <c r="D345" s="38"/>
      <c r="E345" s="38"/>
      <c r="F345" s="38"/>
      <c r="G345" s="38"/>
    </row>
    <row r="346" spans="4:7" x14ac:dyDescent="0.2">
      <c r="D346" s="38"/>
      <c r="E346" s="38"/>
      <c r="F346" s="38"/>
      <c r="G346" s="38"/>
    </row>
    <row r="347" spans="4:7" x14ac:dyDescent="0.2">
      <c r="D347" s="38"/>
      <c r="E347" s="38"/>
      <c r="F347" s="38"/>
      <c r="G347" s="38"/>
    </row>
    <row r="348" spans="4:7" x14ac:dyDescent="0.2">
      <c r="D348" s="38"/>
      <c r="E348" s="38"/>
      <c r="F348" s="38"/>
      <c r="G348" s="38"/>
    </row>
    <row r="349" spans="4:7" x14ac:dyDescent="0.2">
      <c r="D349" s="38"/>
      <c r="E349" s="38"/>
      <c r="F349" s="38"/>
      <c r="G349" s="38"/>
    </row>
    <row r="350" spans="4:7" x14ac:dyDescent="0.2">
      <c r="D350" s="38"/>
      <c r="E350" s="38"/>
      <c r="F350" s="38"/>
      <c r="G350" s="38"/>
    </row>
    <row r="351" spans="4:7" x14ac:dyDescent="0.2">
      <c r="D351" s="38"/>
      <c r="E351" s="38"/>
      <c r="F351" s="38"/>
      <c r="G351" s="38"/>
    </row>
    <row r="352" spans="4:7" x14ac:dyDescent="0.2">
      <c r="D352" s="38"/>
      <c r="E352" s="38"/>
      <c r="F352" s="38"/>
      <c r="G352" s="38"/>
    </row>
    <row r="353" spans="4:7" x14ac:dyDescent="0.2">
      <c r="D353" s="38"/>
      <c r="E353" s="38"/>
      <c r="F353" s="38"/>
      <c r="G353" s="38"/>
    </row>
    <row r="354" spans="4:7" x14ac:dyDescent="0.2">
      <c r="D354" s="38"/>
      <c r="E354" s="38"/>
      <c r="F354" s="38"/>
      <c r="G354" s="38"/>
    </row>
    <row r="355" spans="4:7" x14ac:dyDescent="0.2">
      <c r="D355" s="38"/>
      <c r="E355" s="38"/>
      <c r="F355" s="38"/>
      <c r="G355" s="38"/>
    </row>
    <row r="356" spans="4:7" x14ac:dyDescent="0.2">
      <c r="D356" s="38"/>
      <c r="E356" s="38"/>
      <c r="F356" s="38"/>
      <c r="G356" s="38"/>
    </row>
    <row r="357" spans="4:7" x14ac:dyDescent="0.2">
      <c r="D357" s="38"/>
      <c r="E357" s="38"/>
      <c r="F357" s="38"/>
      <c r="G357" s="38"/>
    </row>
    <row r="358" spans="4:7" x14ac:dyDescent="0.2">
      <c r="D358" s="38"/>
      <c r="E358" s="38"/>
      <c r="F358" s="38"/>
      <c r="G358" s="38"/>
    </row>
    <row r="359" spans="4:7" x14ac:dyDescent="0.2">
      <c r="D359" s="38"/>
      <c r="E359" s="38"/>
      <c r="F359" s="38"/>
      <c r="G359" s="38"/>
    </row>
    <row r="360" spans="4:7" x14ac:dyDescent="0.2">
      <c r="D360" s="38"/>
      <c r="E360" s="38"/>
      <c r="F360" s="38"/>
      <c r="G360" s="38"/>
    </row>
    <row r="361" spans="4:7" x14ac:dyDescent="0.2">
      <c r="D361" s="38"/>
      <c r="E361" s="38"/>
      <c r="F361" s="38"/>
      <c r="G361" s="38"/>
    </row>
    <row r="362" spans="4:7" x14ac:dyDescent="0.2">
      <c r="D362" s="38"/>
      <c r="E362" s="38"/>
      <c r="F362" s="38"/>
      <c r="G362" s="38"/>
    </row>
    <row r="363" spans="4:7" x14ac:dyDescent="0.2">
      <c r="D363" s="38"/>
      <c r="E363" s="38"/>
      <c r="F363" s="38"/>
      <c r="G363" s="38"/>
    </row>
    <row r="364" spans="4:7" x14ac:dyDescent="0.2">
      <c r="D364" s="38"/>
      <c r="E364" s="38"/>
      <c r="F364" s="38"/>
      <c r="G364" s="38"/>
    </row>
    <row r="365" spans="4:7" x14ac:dyDescent="0.2">
      <c r="D365" s="38"/>
      <c r="E365" s="38"/>
      <c r="F365" s="38"/>
      <c r="G365" s="38"/>
    </row>
    <row r="366" spans="4:7" x14ac:dyDescent="0.2">
      <c r="D366" s="38"/>
      <c r="E366" s="38"/>
      <c r="F366" s="38"/>
      <c r="G366" s="38"/>
    </row>
    <row r="367" spans="4:7" x14ac:dyDescent="0.2">
      <c r="D367" s="38"/>
      <c r="E367" s="38"/>
      <c r="F367" s="38"/>
      <c r="G367" s="38"/>
    </row>
    <row r="368" spans="4:7" x14ac:dyDescent="0.2">
      <c r="D368" s="38"/>
      <c r="E368" s="38"/>
      <c r="F368" s="38"/>
      <c r="G368" s="38"/>
    </row>
    <row r="369" spans="4:7" x14ac:dyDescent="0.2">
      <c r="D369" s="38"/>
      <c r="E369" s="38"/>
      <c r="F369" s="38"/>
      <c r="G369" s="38"/>
    </row>
    <row r="370" spans="4:7" x14ac:dyDescent="0.2">
      <c r="D370" s="38"/>
      <c r="E370" s="38"/>
      <c r="F370" s="38"/>
      <c r="G370" s="38"/>
    </row>
    <row r="371" spans="4:7" x14ac:dyDescent="0.2">
      <c r="D371" s="38"/>
      <c r="E371" s="38"/>
      <c r="F371" s="38"/>
      <c r="G371" s="38"/>
    </row>
    <row r="372" spans="4:7" x14ac:dyDescent="0.2">
      <c r="D372" s="38"/>
      <c r="E372" s="38"/>
      <c r="F372" s="38"/>
      <c r="G372" s="38"/>
    </row>
    <row r="373" spans="4:7" x14ac:dyDescent="0.2">
      <c r="D373" s="38"/>
      <c r="E373" s="38"/>
      <c r="F373" s="38"/>
      <c r="G373" s="38"/>
    </row>
    <row r="374" spans="4:7" x14ac:dyDescent="0.2">
      <c r="D374" s="38"/>
      <c r="E374" s="38"/>
      <c r="F374" s="38"/>
      <c r="G374" s="38"/>
    </row>
    <row r="375" spans="4:7" x14ac:dyDescent="0.2">
      <c r="D375" s="38"/>
      <c r="E375" s="38"/>
      <c r="F375" s="38"/>
      <c r="G375" s="38"/>
    </row>
    <row r="376" spans="4:7" x14ac:dyDescent="0.2">
      <c r="D376" s="38"/>
      <c r="E376" s="38"/>
      <c r="F376" s="38"/>
      <c r="G376" s="38"/>
    </row>
    <row r="377" spans="4:7" x14ac:dyDescent="0.2">
      <c r="D377" s="38"/>
      <c r="E377" s="38"/>
      <c r="F377" s="38"/>
      <c r="G377" s="38"/>
    </row>
    <row r="378" spans="4:7" x14ac:dyDescent="0.2">
      <c r="D378" s="38"/>
      <c r="E378" s="38"/>
      <c r="F378" s="38"/>
      <c r="G378" s="38"/>
    </row>
    <row r="379" spans="4:7" x14ac:dyDescent="0.2">
      <c r="D379" s="38"/>
      <c r="E379" s="38"/>
      <c r="F379" s="38"/>
      <c r="G379" s="38"/>
    </row>
    <row r="380" spans="4:7" x14ac:dyDescent="0.2">
      <c r="D380" s="38"/>
      <c r="E380" s="38"/>
      <c r="F380" s="38"/>
      <c r="G380" s="38"/>
    </row>
    <row r="381" spans="4:7" x14ac:dyDescent="0.2">
      <c r="D381" s="38"/>
      <c r="E381" s="38"/>
      <c r="F381" s="38"/>
      <c r="G381" s="38"/>
    </row>
    <row r="382" spans="4:7" x14ac:dyDescent="0.2">
      <c r="D382" s="38"/>
      <c r="E382" s="38"/>
      <c r="F382" s="38"/>
      <c r="G382" s="38"/>
    </row>
    <row r="383" spans="4:7" x14ac:dyDescent="0.2">
      <c r="D383" s="38"/>
      <c r="E383" s="38"/>
      <c r="F383" s="38"/>
      <c r="G383" s="38"/>
    </row>
    <row r="384" spans="4:7" x14ac:dyDescent="0.2">
      <c r="D384" s="38"/>
      <c r="E384" s="38"/>
      <c r="F384" s="38"/>
      <c r="G384" s="38"/>
    </row>
    <row r="385" spans="4:7" x14ac:dyDescent="0.2">
      <c r="D385" s="38"/>
      <c r="E385" s="38"/>
      <c r="F385" s="38"/>
      <c r="G385" s="38"/>
    </row>
    <row r="386" spans="4:7" x14ac:dyDescent="0.2">
      <c r="D386" s="38"/>
      <c r="E386" s="38"/>
      <c r="F386" s="38"/>
      <c r="G386" s="38"/>
    </row>
    <row r="387" spans="4:7" x14ac:dyDescent="0.2">
      <c r="D387" s="38"/>
      <c r="E387" s="38"/>
      <c r="F387" s="38"/>
      <c r="G387" s="38"/>
    </row>
    <row r="388" spans="4:7" x14ac:dyDescent="0.2">
      <c r="D388" s="38"/>
      <c r="E388" s="38"/>
      <c r="F388" s="38"/>
      <c r="G388" s="38"/>
    </row>
    <row r="389" spans="4:7" x14ac:dyDescent="0.2">
      <c r="D389" s="38"/>
      <c r="E389" s="38"/>
      <c r="F389" s="38"/>
      <c r="G389" s="38"/>
    </row>
    <row r="390" spans="4:7" x14ac:dyDescent="0.2">
      <c r="D390" s="38"/>
      <c r="E390" s="38"/>
      <c r="F390" s="38"/>
      <c r="G390" s="38"/>
    </row>
    <row r="391" spans="4:7" x14ac:dyDescent="0.2">
      <c r="D391" s="38"/>
      <c r="E391" s="38"/>
      <c r="F391" s="38"/>
      <c r="G391" s="38"/>
    </row>
    <row r="392" spans="4:7" x14ac:dyDescent="0.2">
      <c r="D392" s="38"/>
      <c r="E392" s="38"/>
      <c r="F392" s="38"/>
      <c r="G392" s="38"/>
    </row>
    <row r="393" spans="4:7" x14ac:dyDescent="0.2">
      <c r="D393" s="38"/>
      <c r="E393" s="38"/>
      <c r="F393" s="38"/>
      <c r="G393" s="38"/>
    </row>
    <row r="394" spans="4:7" x14ac:dyDescent="0.2">
      <c r="D394" s="38"/>
      <c r="E394" s="38"/>
      <c r="F394" s="38"/>
      <c r="G394" s="38"/>
    </row>
    <row r="395" spans="4:7" x14ac:dyDescent="0.2">
      <c r="D395" s="38"/>
      <c r="E395" s="38"/>
      <c r="F395" s="38"/>
      <c r="G395" s="38"/>
    </row>
    <row r="396" spans="4:7" x14ac:dyDescent="0.2">
      <c r="D396" s="38"/>
      <c r="E396" s="38"/>
      <c r="F396" s="38"/>
      <c r="G396" s="38"/>
    </row>
    <row r="397" spans="4:7" x14ac:dyDescent="0.2">
      <c r="D397" s="38"/>
      <c r="E397" s="38"/>
      <c r="F397" s="38"/>
      <c r="G397" s="38"/>
    </row>
    <row r="398" spans="4:7" x14ac:dyDescent="0.2">
      <c r="D398" s="38"/>
      <c r="E398" s="38"/>
      <c r="F398" s="38"/>
      <c r="G398" s="38"/>
    </row>
    <row r="399" spans="4:7" x14ac:dyDescent="0.2">
      <c r="D399" s="38"/>
      <c r="E399" s="38"/>
      <c r="F399" s="38"/>
      <c r="G399" s="38"/>
    </row>
    <row r="400" spans="4:7" x14ac:dyDescent="0.2">
      <c r="D400" s="38"/>
      <c r="E400" s="38"/>
      <c r="F400" s="38"/>
      <c r="G400" s="38"/>
    </row>
    <row r="401" spans="4:7" x14ac:dyDescent="0.2">
      <c r="D401" s="38"/>
      <c r="E401" s="38"/>
      <c r="F401" s="38"/>
      <c r="G401" s="38"/>
    </row>
    <row r="402" spans="4:7" x14ac:dyDescent="0.2">
      <c r="D402" s="38"/>
      <c r="E402" s="38"/>
      <c r="F402" s="38"/>
      <c r="G402" s="38"/>
    </row>
    <row r="403" spans="4:7" x14ac:dyDescent="0.2">
      <c r="D403" s="38"/>
      <c r="E403" s="38"/>
      <c r="F403" s="38"/>
      <c r="G403" s="38"/>
    </row>
    <row r="404" spans="4:7" x14ac:dyDescent="0.2">
      <c r="D404" s="38"/>
      <c r="E404" s="38"/>
      <c r="F404" s="38"/>
      <c r="G404" s="38"/>
    </row>
    <row r="405" spans="4:7" x14ac:dyDescent="0.2">
      <c r="D405" s="38"/>
      <c r="E405" s="38"/>
      <c r="F405" s="38"/>
      <c r="G405" s="38"/>
    </row>
    <row r="406" spans="4:7" x14ac:dyDescent="0.2">
      <c r="D406" s="38"/>
      <c r="E406" s="38"/>
      <c r="F406" s="38"/>
      <c r="G406" s="38"/>
    </row>
    <row r="407" spans="4:7" x14ac:dyDescent="0.2">
      <c r="D407" s="38"/>
      <c r="E407" s="38"/>
      <c r="F407" s="38"/>
      <c r="G407" s="38"/>
    </row>
    <row r="408" spans="4:7" x14ac:dyDescent="0.2">
      <c r="D408" s="38"/>
      <c r="E408" s="38"/>
      <c r="F408" s="38"/>
      <c r="G408" s="38"/>
    </row>
    <row r="409" spans="4:7" x14ac:dyDescent="0.2">
      <c r="D409" s="38"/>
      <c r="E409" s="38"/>
      <c r="F409" s="38"/>
      <c r="G409" s="38"/>
    </row>
    <row r="410" spans="4:7" x14ac:dyDescent="0.2">
      <c r="D410" s="38"/>
      <c r="E410" s="38"/>
      <c r="F410" s="38"/>
      <c r="G410" s="38"/>
    </row>
    <row r="411" spans="4:7" x14ac:dyDescent="0.2">
      <c r="D411" s="38"/>
      <c r="E411" s="38"/>
      <c r="F411" s="38"/>
      <c r="G411" s="38"/>
    </row>
    <row r="412" spans="4:7" x14ac:dyDescent="0.2">
      <c r="D412" s="38"/>
      <c r="E412" s="38"/>
      <c r="F412" s="38"/>
      <c r="G412" s="38"/>
    </row>
    <row r="413" spans="4:7" x14ac:dyDescent="0.2">
      <c r="D413" s="38"/>
      <c r="E413" s="38"/>
      <c r="F413" s="38"/>
      <c r="G413" s="38"/>
    </row>
    <row r="414" spans="4:7" x14ac:dyDescent="0.2">
      <c r="D414" s="38"/>
      <c r="E414" s="38"/>
      <c r="F414" s="38"/>
      <c r="G414" s="38"/>
    </row>
    <row r="415" spans="4:7" x14ac:dyDescent="0.2">
      <c r="D415" s="38"/>
      <c r="E415" s="38"/>
      <c r="F415" s="38"/>
      <c r="G415" s="38"/>
    </row>
    <row r="416" spans="4:7" x14ac:dyDescent="0.2">
      <c r="D416" s="38"/>
      <c r="E416" s="38"/>
      <c r="F416" s="38"/>
      <c r="G416" s="38"/>
    </row>
    <row r="417" spans="4:7" x14ac:dyDescent="0.2">
      <c r="D417" s="38"/>
      <c r="E417" s="38"/>
      <c r="F417" s="38"/>
      <c r="G417" s="38"/>
    </row>
    <row r="418" spans="4:7" x14ac:dyDescent="0.2">
      <c r="D418" s="38"/>
      <c r="E418" s="38"/>
      <c r="F418" s="38"/>
      <c r="G418" s="38"/>
    </row>
    <row r="419" spans="4:7" x14ac:dyDescent="0.2">
      <c r="D419" s="38"/>
      <c r="E419" s="38"/>
      <c r="F419" s="38"/>
      <c r="G419" s="38"/>
    </row>
    <row r="420" spans="4:7" x14ac:dyDescent="0.2">
      <c r="D420" s="38"/>
      <c r="E420" s="38"/>
      <c r="F420" s="38"/>
      <c r="G420" s="38"/>
    </row>
    <row r="421" spans="4:7" x14ac:dyDescent="0.2">
      <c r="D421" s="38"/>
      <c r="E421" s="38"/>
      <c r="F421" s="38"/>
      <c r="G421" s="38"/>
    </row>
    <row r="422" spans="4:7" x14ac:dyDescent="0.2">
      <c r="D422" s="38"/>
      <c r="E422" s="38"/>
      <c r="F422" s="38"/>
      <c r="G422" s="38"/>
    </row>
    <row r="423" spans="4:7" x14ac:dyDescent="0.2">
      <c r="D423" s="38"/>
      <c r="E423" s="38"/>
      <c r="F423" s="38"/>
      <c r="G423" s="38"/>
    </row>
    <row r="424" spans="4:7" x14ac:dyDescent="0.2">
      <c r="D424" s="38"/>
      <c r="E424" s="38"/>
      <c r="F424" s="38"/>
      <c r="G424" s="38"/>
    </row>
    <row r="425" spans="4:7" x14ac:dyDescent="0.2">
      <c r="D425" s="38"/>
      <c r="E425" s="38"/>
      <c r="F425" s="38"/>
      <c r="G425" s="38"/>
    </row>
    <row r="426" spans="4:7" x14ac:dyDescent="0.2">
      <c r="D426" s="38"/>
      <c r="E426" s="38"/>
      <c r="F426" s="38"/>
      <c r="G426" s="38"/>
    </row>
    <row r="427" spans="4:7" x14ac:dyDescent="0.2">
      <c r="D427" s="38"/>
      <c r="E427" s="38"/>
      <c r="F427" s="38"/>
      <c r="G427" s="38"/>
    </row>
    <row r="428" spans="4:7" x14ac:dyDescent="0.2">
      <c r="D428" s="38"/>
      <c r="E428" s="38"/>
      <c r="F428" s="38"/>
      <c r="G428" s="38"/>
    </row>
    <row r="429" spans="4:7" x14ac:dyDescent="0.2">
      <c r="D429" s="38"/>
      <c r="E429" s="38"/>
      <c r="F429" s="38"/>
      <c r="G429" s="38"/>
    </row>
    <row r="430" spans="4:7" x14ac:dyDescent="0.2">
      <c r="D430" s="38"/>
      <c r="E430" s="38"/>
      <c r="F430" s="38"/>
      <c r="G430" s="38"/>
    </row>
    <row r="431" spans="4:7" x14ac:dyDescent="0.2">
      <c r="D431" s="38"/>
      <c r="E431" s="38"/>
      <c r="F431" s="38"/>
      <c r="G431" s="38"/>
    </row>
    <row r="432" spans="4:7" x14ac:dyDescent="0.2">
      <c r="D432" s="38"/>
      <c r="E432" s="38"/>
      <c r="F432" s="38"/>
      <c r="G432" s="38"/>
    </row>
    <row r="433" spans="4:7" x14ac:dyDescent="0.2">
      <c r="D433" s="38"/>
      <c r="E433" s="38"/>
      <c r="F433" s="38"/>
      <c r="G433" s="38"/>
    </row>
    <row r="434" spans="4:7" x14ac:dyDescent="0.2">
      <c r="D434" s="38"/>
      <c r="E434" s="38"/>
      <c r="F434" s="38"/>
      <c r="G434" s="38"/>
    </row>
    <row r="435" spans="4:7" x14ac:dyDescent="0.2">
      <c r="D435" s="38"/>
      <c r="E435" s="38"/>
      <c r="F435" s="38"/>
      <c r="G435" s="38"/>
    </row>
    <row r="436" spans="4:7" x14ac:dyDescent="0.2">
      <c r="D436" s="38"/>
      <c r="E436" s="38"/>
      <c r="F436" s="38"/>
      <c r="G436" s="38"/>
    </row>
    <row r="437" spans="4:7" x14ac:dyDescent="0.2">
      <c r="D437" s="38"/>
      <c r="E437" s="38"/>
      <c r="F437" s="38"/>
      <c r="G437" s="38"/>
    </row>
    <row r="438" spans="4:7" x14ac:dyDescent="0.2">
      <c r="D438" s="38"/>
      <c r="E438" s="38"/>
      <c r="F438" s="38"/>
      <c r="G438" s="38"/>
    </row>
    <row r="439" spans="4:7" x14ac:dyDescent="0.2">
      <c r="D439" s="38"/>
      <c r="E439" s="38"/>
      <c r="F439" s="38"/>
      <c r="G439" s="38"/>
    </row>
    <row r="440" spans="4:7" x14ac:dyDescent="0.2">
      <c r="D440" s="38"/>
      <c r="E440" s="38"/>
      <c r="F440" s="38"/>
      <c r="G440" s="38"/>
    </row>
    <row r="441" spans="4:7" x14ac:dyDescent="0.2">
      <c r="D441" s="38"/>
      <c r="E441" s="38"/>
      <c r="F441" s="38"/>
      <c r="G441" s="38"/>
    </row>
    <row r="442" spans="4:7" x14ac:dyDescent="0.2">
      <c r="D442" s="38"/>
      <c r="E442" s="38"/>
      <c r="F442" s="38"/>
      <c r="G442" s="38"/>
    </row>
    <row r="443" spans="4:7" x14ac:dyDescent="0.2">
      <c r="D443" s="38"/>
      <c r="E443" s="38"/>
      <c r="F443" s="38"/>
      <c r="G443" s="38"/>
    </row>
    <row r="444" spans="4:7" x14ac:dyDescent="0.2">
      <c r="D444" s="38"/>
      <c r="E444" s="38"/>
      <c r="F444" s="38"/>
      <c r="G444" s="38"/>
    </row>
    <row r="445" spans="4:7" x14ac:dyDescent="0.2">
      <c r="D445" s="38"/>
      <c r="E445" s="38"/>
      <c r="F445" s="38"/>
      <c r="G445" s="38"/>
    </row>
    <row r="446" spans="4:7" x14ac:dyDescent="0.2">
      <c r="D446" s="38"/>
      <c r="E446" s="38"/>
      <c r="F446" s="38"/>
      <c r="G446" s="38"/>
    </row>
    <row r="447" spans="4:7" x14ac:dyDescent="0.2">
      <c r="D447" s="38"/>
      <c r="E447" s="38"/>
      <c r="F447" s="38"/>
      <c r="G447" s="38"/>
    </row>
    <row r="448" spans="4:7" x14ac:dyDescent="0.2">
      <c r="D448" s="38"/>
      <c r="E448" s="38"/>
      <c r="F448" s="38"/>
      <c r="G448" s="38"/>
    </row>
    <row r="449" spans="4:7" x14ac:dyDescent="0.2">
      <c r="D449" s="38"/>
      <c r="E449" s="38"/>
      <c r="F449" s="38"/>
      <c r="G449" s="38"/>
    </row>
    <row r="450" spans="4:7" x14ac:dyDescent="0.2">
      <c r="D450" s="38"/>
      <c r="E450" s="38"/>
      <c r="F450" s="38"/>
      <c r="G450" s="38"/>
    </row>
    <row r="451" spans="4:7" x14ac:dyDescent="0.2">
      <c r="D451" s="38"/>
      <c r="E451" s="38"/>
      <c r="F451" s="38"/>
      <c r="G451" s="38"/>
    </row>
    <row r="452" spans="4:7" x14ac:dyDescent="0.2">
      <c r="D452" s="38"/>
      <c r="E452" s="38"/>
      <c r="F452" s="38"/>
      <c r="G452" s="38"/>
    </row>
    <row r="453" spans="4:7" x14ac:dyDescent="0.2">
      <c r="D453" s="38"/>
      <c r="E453" s="38"/>
      <c r="F453" s="38"/>
      <c r="G453" s="38"/>
    </row>
    <row r="454" spans="4:7" x14ac:dyDescent="0.2">
      <c r="D454" s="38"/>
      <c r="E454" s="38"/>
      <c r="F454" s="38"/>
      <c r="G454" s="38"/>
    </row>
    <row r="455" spans="4:7" x14ac:dyDescent="0.2">
      <c r="D455" s="38"/>
      <c r="E455" s="38"/>
      <c r="F455" s="38"/>
      <c r="G455" s="38"/>
    </row>
    <row r="456" spans="4:7" x14ac:dyDescent="0.2">
      <c r="D456" s="38"/>
      <c r="E456" s="38"/>
      <c r="F456" s="38"/>
      <c r="G456" s="38"/>
    </row>
    <row r="457" spans="4:7" x14ac:dyDescent="0.2">
      <c r="D457" s="38"/>
      <c r="E457" s="38"/>
      <c r="F457" s="38"/>
      <c r="G457" s="38"/>
    </row>
    <row r="458" spans="4:7" x14ac:dyDescent="0.2">
      <c r="D458" s="38"/>
      <c r="E458" s="38"/>
      <c r="F458" s="38"/>
      <c r="G458" s="38"/>
    </row>
    <row r="459" spans="4:7" x14ac:dyDescent="0.2">
      <c r="D459" s="38"/>
      <c r="E459" s="38"/>
      <c r="F459" s="38"/>
      <c r="G459" s="38"/>
    </row>
    <row r="460" spans="4:7" x14ac:dyDescent="0.2">
      <c r="D460" s="38"/>
      <c r="E460" s="38"/>
      <c r="F460" s="38"/>
      <c r="G460" s="38"/>
    </row>
    <row r="461" spans="4:7" x14ac:dyDescent="0.2">
      <c r="D461" s="38"/>
      <c r="E461" s="38"/>
      <c r="F461" s="38"/>
      <c r="G461" s="38"/>
    </row>
    <row r="462" spans="4:7" x14ac:dyDescent="0.2">
      <c r="D462" s="38"/>
      <c r="E462" s="38"/>
      <c r="F462" s="38"/>
      <c r="G462" s="38"/>
    </row>
    <row r="463" spans="4:7" x14ac:dyDescent="0.2">
      <c r="D463" s="38"/>
      <c r="E463" s="38"/>
      <c r="F463" s="38"/>
      <c r="G463" s="38"/>
    </row>
    <row r="464" spans="4:7" x14ac:dyDescent="0.2">
      <c r="D464" s="38"/>
      <c r="E464" s="38"/>
      <c r="F464" s="38"/>
      <c r="G464" s="38"/>
    </row>
    <row r="465" spans="4:7" x14ac:dyDescent="0.2">
      <c r="D465" s="38"/>
      <c r="E465" s="38"/>
      <c r="F465" s="38"/>
      <c r="G465" s="38"/>
    </row>
    <row r="466" spans="4:7" x14ac:dyDescent="0.2">
      <c r="D466" s="38"/>
      <c r="E466" s="38"/>
      <c r="F466" s="38"/>
      <c r="G466" s="38"/>
    </row>
    <row r="467" spans="4:7" x14ac:dyDescent="0.2">
      <c r="D467" s="38"/>
      <c r="E467" s="38"/>
      <c r="F467" s="38"/>
      <c r="G467" s="38"/>
    </row>
    <row r="468" spans="4:7" x14ac:dyDescent="0.2">
      <c r="D468" s="38"/>
      <c r="E468" s="38"/>
      <c r="F468" s="38"/>
      <c r="G468" s="38"/>
    </row>
    <row r="469" spans="4:7" x14ac:dyDescent="0.2">
      <c r="D469" s="38"/>
      <c r="E469" s="38"/>
      <c r="F469" s="38"/>
      <c r="G469" s="38"/>
    </row>
    <row r="470" spans="4:7" x14ac:dyDescent="0.2">
      <c r="D470" s="38"/>
      <c r="E470" s="38"/>
      <c r="F470" s="38"/>
      <c r="G470" s="38"/>
    </row>
    <row r="471" spans="4:7" x14ac:dyDescent="0.2">
      <c r="D471" s="38"/>
      <c r="E471" s="38"/>
      <c r="F471" s="38"/>
      <c r="G471" s="38"/>
    </row>
    <row r="472" spans="4:7" x14ac:dyDescent="0.2">
      <c r="D472" s="38"/>
      <c r="E472" s="38"/>
      <c r="F472" s="38"/>
      <c r="G472" s="38"/>
    </row>
    <row r="473" spans="4:7" x14ac:dyDescent="0.2">
      <c r="D473" s="38"/>
      <c r="E473" s="38"/>
      <c r="F473" s="38"/>
      <c r="G473" s="38"/>
    </row>
    <row r="474" spans="4:7" x14ac:dyDescent="0.2">
      <c r="D474" s="38"/>
      <c r="E474" s="38"/>
      <c r="F474" s="38"/>
      <c r="G474" s="38"/>
    </row>
    <row r="475" spans="4:7" x14ac:dyDescent="0.2">
      <c r="D475" s="38"/>
      <c r="E475" s="38"/>
      <c r="F475" s="38"/>
      <c r="G475" s="38"/>
    </row>
    <row r="476" spans="4:7" x14ac:dyDescent="0.2">
      <c r="D476" s="38"/>
      <c r="E476" s="38"/>
      <c r="F476" s="38"/>
      <c r="G476" s="38"/>
    </row>
    <row r="477" spans="4:7" x14ac:dyDescent="0.2">
      <c r="D477" s="38"/>
      <c r="E477" s="38"/>
      <c r="F477" s="38"/>
      <c r="G477" s="38"/>
    </row>
    <row r="478" spans="4:7" x14ac:dyDescent="0.2">
      <c r="D478" s="38"/>
      <c r="E478" s="38"/>
      <c r="F478" s="38"/>
      <c r="G478" s="38"/>
    </row>
    <row r="479" spans="4:7" x14ac:dyDescent="0.2">
      <c r="D479" s="38"/>
      <c r="E479" s="38"/>
      <c r="F479" s="38"/>
      <c r="G479" s="38"/>
    </row>
    <row r="480" spans="4:7" x14ac:dyDescent="0.2">
      <c r="D480" s="38"/>
      <c r="E480" s="38"/>
      <c r="F480" s="38"/>
      <c r="G480" s="38"/>
    </row>
    <row r="481" spans="4:7" x14ac:dyDescent="0.2">
      <c r="D481" s="38"/>
      <c r="E481" s="38"/>
      <c r="F481" s="38"/>
      <c r="G481" s="38"/>
    </row>
    <row r="482" spans="4:7" x14ac:dyDescent="0.2">
      <c r="D482" s="38"/>
      <c r="E482" s="38"/>
      <c r="F482" s="38"/>
      <c r="G482" s="38"/>
    </row>
    <row r="483" spans="4:7" x14ac:dyDescent="0.2">
      <c r="D483" s="38"/>
      <c r="E483" s="38"/>
      <c r="F483" s="38"/>
      <c r="G483" s="38"/>
    </row>
    <row r="484" spans="4:7" x14ac:dyDescent="0.2">
      <c r="D484" s="38"/>
      <c r="E484" s="38"/>
      <c r="F484" s="38"/>
      <c r="G484" s="38"/>
    </row>
    <row r="485" spans="4:7" x14ac:dyDescent="0.2">
      <c r="D485" s="38"/>
      <c r="E485" s="38"/>
      <c r="F485" s="38"/>
      <c r="G485" s="38"/>
    </row>
    <row r="486" spans="4:7" x14ac:dyDescent="0.2">
      <c r="D486" s="38"/>
      <c r="E486" s="38"/>
      <c r="F486" s="38"/>
      <c r="G486" s="38"/>
    </row>
    <row r="487" spans="4:7" x14ac:dyDescent="0.2">
      <c r="D487" s="38"/>
      <c r="E487" s="38"/>
      <c r="F487" s="38"/>
      <c r="G487" s="38"/>
    </row>
    <row r="488" spans="4:7" x14ac:dyDescent="0.2">
      <c r="D488" s="38"/>
      <c r="E488" s="38"/>
      <c r="F488" s="38"/>
      <c r="G488" s="38"/>
    </row>
    <row r="489" spans="4:7" x14ac:dyDescent="0.2">
      <c r="D489" s="38"/>
      <c r="E489" s="38"/>
      <c r="F489" s="38"/>
      <c r="G489" s="38"/>
    </row>
    <row r="490" spans="4:7" x14ac:dyDescent="0.2">
      <c r="D490" s="38"/>
      <c r="E490" s="38"/>
      <c r="F490" s="38"/>
      <c r="G490" s="38"/>
    </row>
    <row r="491" spans="4:7" x14ac:dyDescent="0.2">
      <c r="D491" s="38"/>
      <c r="E491" s="38"/>
      <c r="F491" s="38"/>
      <c r="G491" s="38"/>
    </row>
    <row r="492" spans="4:7" x14ac:dyDescent="0.2">
      <c r="D492" s="38"/>
      <c r="E492" s="38"/>
      <c r="F492" s="38"/>
      <c r="G492" s="38"/>
    </row>
    <row r="493" spans="4:7" x14ac:dyDescent="0.2">
      <c r="D493" s="38"/>
      <c r="E493" s="38"/>
      <c r="F493" s="38"/>
      <c r="G493" s="38"/>
    </row>
    <row r="494" spans="4:7" x14ac:dyDescent="0.2">
      <c r="D494" s="38"/>
      <c r="E494" s="38"/>
      <c r="F494" s="38"/>
      <c r="G494" s="38"/>
    </row>
    <row r="495" spans="4:7" x14ac:dyDescent="0.2">
      <c r="D495" s="38"/>
      <c r="E495" s="38"/>
      <c r="F495" s="38"/>
      <c r="G495" s="38"/>
    </row>
    <row r="496" spans="4:7" x14ac:dyDescent="0.2">
      <c r="D496" s="38"/>
      <c r="E496" s="38"/>
      <c r="F496" s="38"/>
      <c r="G496" s="38"/>
    </row>
    <row r="497" spans="4:7" x14ac:dyDescent="0.2">
      <c r="D497" s="38"/>
      <c r="E497" s="38"/>
      <c r="F497" s="38"/>
      <c r="G497" s="38"/>
    </row>
    <row r="498" spans="4:7" x14ac:dyDescent="0.2">
      <c r="D498" s="38"/>
      <c r="E498" s="38"/>
      <c r="F498" s="38"/>
      <c r="G498" s="38"/>
    </row>
    <row r="499" spans="4:7" x14ac:dyDescent="0.2">
      <c r="D499" s="38"/>
      <c r="E499" s="38"/>
      <c r="F499" s="38"/>
      <c r="G499" s="38"/>
    </row>
    <row r="500" spans="4:7" x14ac:dyDescent="0.2">
      <c r="D500" s="38"/>
      <c r="E500" s="38"/>
      <c r="F500" s="38"/>
      <c r="G500" s="38"/>
    </row>
  </sheetData>
  <pageMargins left="0.7" right="0.7" top="0.75" bottom="0.75" header="0.3" footer="0.3"/>
  <pageSetup orientation="portrait" horizontalDpi="3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32AF620-81DA-410D-B4E9-0F6A7587DC22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B10:B50</xm:sqref>
        </x14:conditionalFormatting>
        <x14:conditionalFormatting xmlns:xm="http://schemas.microsoft.com/office/excel/2006/main">
          <x14:cfRule type="iconSet" priority="1" id="{5E2CEB58-9A66-4EAD-A626-BD2CADDCF2A0}">
            <x14:iconSet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Symbols" iconId="1"/>
              <x14:cfIcon iconSet="3Symbols" iconId="1"/>
              <x14:cfIcon iconSet="3Symbols2" iconId="2"/>
            </x14:iconSet>
          </x14:cfRule>
          <xm:sqref>E10:E500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H2153"/>
  <sheetViews>
    <sheetView showGridLines="0" workbookViewId="0">
      <selection activeCell="AF10" sqref="AF10:AG15"/>
    </sheetView>
  </sheetViews>
  <sheetFormatPr defaultRowHeight="12" x14ac:dyDescent="0.2"/>
  <cols>
    <col min="1" max="1" width="8.6640625" customWidth="1"/>
    <col min="5" max="5" width="1.6640625" customWidth="1"/>
    <col min="9" max="9" width="1.6640625" customWidth="1"/>
    <col min="10" max="10" width="13.6640625" style="80" customWidth="1"/>
    <col min="11" max="11" width="1.6640625" customWidth="1"/>
    <col min="30" max="30" width="1.83203125" customWidth="1"/>
    <col min="31" max="31" width="8.6640625" customWidth="1"/>
  </cols>
  <sheetData>
    <row r="1" spans="1:34" x14ac:dyDescent="0.2">
      <c r="B1" s="2" t="s">
        <v>128</v>
      </c>
      <c r="C1" s="3"/>
      <c r="D1" s="4"/>
    </row>
    <row r="2" spans="1:34" x14ac:dyDescent="0.2">
      <c r="B2" s="86" t="s">
        <v>126</v>
      </c>
      <c r="C2" s="6">
        <v>690</v>
      </c>
      <c r="D2" s="20"/>
    </row>
    <row r="3" spans="1:34" x14ac:dyDescent="0.2">
      <c r="B3" s="87" t="s">
        <v>127</v>
      </c>
      <c r="C3" s="22">
        <v>850</v>
      </c>
      <c r="D3" s="24"/>
    </row>
    <row r="5" spans="1:34" ht="15.75" x14ac:dyDescent="0.25">
      <c r="B5" s="228" t="s">
        <v>124</v>
      </c>
      <c r="C5" s="229"/>
      <c r="D5" s="230"/>
      <c r="F5" s="228" t="s">
        <v>125</v>
      </c>
      <c r="G5" s="229"/>
      <c r="H5" s="230"/>
      <c r="J5" s="108" t="s">
        <v>139</v>
      </c>
    </row>
    <row r="6" spans="1:34" x14ac:dyDescent="0.2">
      <c r="A6" s="94" t="s">
        <v>129</v>
      </c>
      <c r="B6" s="95">
        <f>MIN(B10:B10000)</f>
        <v>0</v>
      </c>
      <c r="C6" s="96">
        <f t="shared" ref="C6:D6" si="0">MIN(C10:C10000)</f>
        <v>13.3703</v>
      </c>
      <c r="D6" s="97">
        <f t="shared" si="0"/>
        <v>75.506699999999995</v>
      </c>
      <c r="E6" s="89"/>
      <c r="F6" s="95">
        <f>MIN(F10:F10000)</f>
        <v>0</v>
      </c>
      <c r="G6" s="96">
        <f t="shared" ref="G6:H6" si="1">MIN(G10:G10000)</f>
        <v>13.610099999999999</v>
      </c>
      <c r="H6" s="97">
        <f t="shared" si="1"/>
        <v>73.618499999999997</v>
      </c>
      <c r="I6" s="89"/>
      <c r="J6" s="102">
        <f>AVERAGE(J10:J10000)</f>
        <v>0.55724371788883631</v>
      </c>
    </row>
    <row r="7" spans="1:34" x14ac:dyDescent="0.2">
      <c r="A7" s="98" t="s">
        <v>130</v>
      </c>
      <c r="B7" s="99">
        <f>MAX(B10:B10000)</f>
        <v>2.9763890000000002</v>
      </c>
      <c r="C7" s="100">
        <f t="shared" ref="C7:D7" si="2">MAX(C10:C10000)</f>
        <v>805.59529999999995</v>
      </c>
      <c r="D7" s="101">
        <f t="shared" si="2"/>
        <v>131.0848</v>
      </c>
      <c r="E7" s="89"/>
      <c r="F7" s="99">
        <f>MAX(F10:F10000)</f>
        <v>2.9722219999999999</v>
      </c>
      <c r="G7" s="100">
        <f t="shared" ref="G7:H7" si="3">MAX(G10:G10000)</f>
        <v>805.09140000000002</v>
      </c>
      <c r="H7" s="101">
        <f t="shared" si="3"/>
        <v>130.81979999999999</v>
      </c>
      <c r="I7" s="89"/>
      <c r="J7" s="103">
        <f t="shared" ref="J7" si="4">MAX(J10:J10000)</f>
        <v>112.73129999999998</v>
      </c>
    </row>
    <row r="8" spans="1:34" x14ac:dyDescent="0.2">
      <c r="B8" s="104" t="s">
        <v>118</v>
      </c>
      <c r="C8" s="105" t="s">
        <v>119</v>
      </c>
      <c r="D8" s="106" t="s">
        <v>120</v>
      </c>
      <c r="E8" s="107"/>
      <c r="F8" s="104" t="s">
        <v>118</v>
      </c>
      <c r="G8" s="105" t="s">
        <v>119</v>
      </c>
      <c r="H8" s="106" t="s">
        <v>120</v>
      </c>
      <c r="I8" s="90"/>
      <c r="J8" s="91" t="s">
        <v>119</v>
      </c>
      <c r="AE8" s="145" t="s">
        <v>140</v>
      </c>
      <c r="AF8" s="128" t="s">
        <v>118</v>
      </c>
      <c r="AG8" s="129" t="s">
        <v>119</v>
      </c>
      <c r="AH8" s="130" t="s">
        <v>120</v>
      </c>
    </row>
    <row r="9" spans="1:34" x14ac:dyDescent="0.2">
      <c r="B9" s="123" t="s">
        <v>121</v>
      </c>
      <c r="C9" s="124" t="s">
        <v>122</v>
      </c>
      <c r="D9" s="125" t="s">
        <v>123</v>
      </c>
      <c r="E9" s="107"/>
      <c r="F9" s="123" t="s">
        <v>121</v>
      </c>
      <c r="G9" s="124" t="s">
        <v>122</v>
      </c>
      <c r="H9" s="125" t="s">
        <v>123</v>
      </c>
      <c r="I9" s="126"/>
      <c r="J9" s="127" t="s">
        <v>122</v>
      </c>
      <c r="AE9" s="146" t="s">
        <v>141</v>
      </c>
      <c r="AF9" s="131" t="s">
        <v>121</v>
      </c>
      <c r="AG9" s="132" t="s">
        <v>122</v>
      </c>
      <c r="AH9" s="133" t="s">
        <v>123</v>
      </c>
    </row>
    <row r="10" spans="1:34" x14ac:dyDescent="0.2">
      <c r="B10" s="92">
        <v>0</v>
      </c>
      <c r="C10" s="92">
        <v>13.7906</v>
      </c>
      <c r="D10" s="92">
        <v>76.846999999999994</v>
      </c>
      <c r="E10" s="92"/>
      <c r="F10" s="92">
        <v>0</v>
      </c>
      <c r="G10" s="92">
        <v>13.9651</v>
      </c>
      <c r="H10" s="92">
        <v>77.469499999999996</v>
      </c>
      <c r="I10" s="92"/>
      <c r="J10" s="93">
        <f>+ABS(G10-C10)</f>
        <v>0.1745000000000001</v>
      </c>
      <c r="AE10" s="142">
        <v>1</v>
      </c>
      <c r="AF10" s="115">
        <v>0.32</v>
      </c>
      <c r="AG10" s="118">
        <f>VLOOKUP(AF10,$B$10:$D$2153,2)</f>
        <v>699.66650000000004</v>
      </c>
      <c r="AH10" s="119">
        <f>VLOOKUP(AF10,$B$10:$D$2153,3)</f>
        <v>76.163799999999995</v>
      </c>
    </row>
    <row r="11" spans="1:34" x14ac:dyDescent="0.2">
      <c r="B11" s="92">
        <v>1.389E-3</v>
      </c>
      <c r="C11" s="92">
        <v>13.7896</v>
      </c>
      <c r="D11" s="92">
        <v>76.694500000000005</v>
      </c>
      <c r="E11" s="92"/>
      <c r="F11" s="92">
        <v>1.389E-3</v>
      </c>
      <c r="G11" s="92">
        <v>14.0068</v>
      </c>
      <c r="H11" s="92">
        <v>77.323899999999995</v>
      </c>
      <c r="I11" s="92"/>
      <c r="J11" s="93">
        <f t="shared" ref="J11:J74" si="5">+ABS(G11-C11)</f>
        <v>0.21720000000000006</v>
      </c>
      <c r="AE11" s="143">
        <v>2</v>
      </c>
      <c r="AF11" s="116">
        <v>0.7</v>
      </c>
      <c r="AG11" s="109">
        <f t="shared" ref="AG11:AG15" si="6">VLOOKUP(AF11,$B$10:$D$2153,2)</f>
        <v>712.322</v>
      </c>
      <c r="AH11" s="120">
        <f t="shared" ref="AH11:AH15" si="7">VLOOKUP(AF11,$B$10:$D$2153,3)</f>
        <v>97.678600000000003</v>
      </c>
    </row>
    <row r="12" spans="1:34" x14ac:dyDescent="0.2">
      <c r="B12" s="92">
        <v>2.7780000000000001E-3</v>
      </c>
      <c r="C12" s="92">
        <v>13.7913</v>
      </c>
      <c r="D12" s="92">
        <v>76.676599999999993</v>
      </c>
      <c r="E12" s="92"/>
      <c r="F12" s="92">
        <v>2.7780000000000001E-3</v>
      </c>
      <c r="G12" s="92">
        <v>13.989800000000001</v>
      </c>
      <c r="H12" s="92">
        <v>77.308999999999997</v>
      </c>
      <c r="I12" s="92"/>
      <c r="J12" s="93">
        <f t="shared" si="5"/>
        <v>0.19850000000000101</v>
      </c>
      <c r="AE12" s="143">
        <v>3</v>
      </c>
      <c r="AF12" s="116">
        <v>1</v>
      </c>
      <c r="AG12" s="109">
        <f t="shared" si="6"/>
        <v>724.4896</v>
      </c>
      <c r="AH12" s="120">
        <f t="shared" si="7"/>
        <v>108.4</v>
      </c>
    </row>
    <row r="13" spans="1:34" x14ac:dyDescent="0.2">
      <c r="B13" s="92">
        <v>4.1669999999999997E-3</v>
      </c>
      <c r="C13" s="92">
        <v>13.7873</v>
      </c>
      <c r="D13" s="92">
        <v>76.665300000000002</v>
      </c>
      <c r="E13" s="92"/>
      <c r="F13" s="92">
        <v>4.1669999999999997E-3</v>
      </c>
      <c r="G13" s="92">
        <v>13.967000000000001</v>
      </c>
      <c r="H13" s="92">
        <v>77.307299999999998</v>
      </c>
      <c r="I13" s="92"/>
      <c r="J13" s="93">
        <f t="shared" si="5"/>
        <v>0.17970000000000041</v>
      </c>
      <c r="AE13" s="143">
        <v>4</v>
      </c>
      <c r="AF13" s="116">
        <v>1.4</v>
      </c>
      <c r="AG13" s="109">
        <f t="shared" si="6"/>
        <v>736.07029999999997</v>
      </c>
      <c r="AH13" s="120">
        <f t="shared" si="7"/>
        <v>118.1956</v>
      </c>
    </row>
    <row r="14" spans="1:34" x14ac:dyDescent="0.2">
      <c r="B14" s="92">
        <v>5.5560000000000002E-3</v>
      </c>
      <c r="C14" s="92">
        <v>13.802</v>
      </c>
      <c r="D14" s="92">
        <v>76.673400000000001</v>
      </c>
      <c r="E14" s="92"/>
      <c r="F14" s="92">
        <v>5.5560000000000002E-3</v>
      </c>
      <c r="G14" s="92">
        <v>13.9848</v>
      </c>
      <c r="H14" s="92">
        <v>77.313999999999993</v>
      </c>
      <c r="I14" s="92"/>
      <c r="J14" s="93">
        <f t="shared" si="5"/>
        <v>0.1828000000000003</v>
      </c>
      <c r="AE14" s="143">
        <v>5</v>
      </c>
      <c r="AF14" s="116">
        <v>1.75</v>
      </c>
      <c r="AG14" s="109">
        <f t="shared" si="6"/>
        <v>745.14639999999997</v>
      </c>
      <c r="AH14" s="120">
        <f t="shared" si="7"/>
        <v>124.416</v>
      </c>
    </row>
    <row r="15" spans="1:34" x14ac:dyDescent="0.2">
      <c r="B15" s="92">
        <v>6.9439999999999997E-3</v>
      </c>
      <c r="C15" s="92">
        <v>13.8483</v>
      </c>
      <c r="D15" s="92">
        <v>76.676599999999993</v>
      </c>
      <c r="E15" s="92"/>
      <c r="F15" s="92">
        <v>6.9439999999999997E-3</v>
      </c>
      <c r="G15" s="92">
        <v>13.9575</v>
      </c>
      <c r="H15" s="92">
        <v>77.310699999999997</v>
      </c>
      <c r="I15" s="92"/>
      <c r="J15" s="93">
        <f t="shared" si="5"/>
        <v>0.10919999999999952</v>
      </c>
      <c r="AE15" s="143">
        <v>6</v>
      </c>
      <c r="AF15" s="116">
        <v>2.2999999999999998</v>
      </c>
      <c r="AG15" s="109">
        <f t="shared" si="6"/>
        <v>805.49339999999995</v>
      </c>
      <c r="AH15" s="120">
        <f t="shared" si="7"/>
        <v>131.07650000000001</v>
      </c>
    </row>
    <row r="16" spans="1:34" x14ac:dyDescent="0.2">
      <c r="B16" s="92">
        <v>8.3330000000000001E-3</v>
      </c>
      <c r="C16" s="92">
        <v>13.7921</v>
      </c>
      <c r="D16" s="92">
        <v>76.668499999999995</v>
      </c>
      <c r="E16" s="92"/>
      <c r="F16" s="92">
        <v>8.3330000000000001E-3</v>
      </c>
      <c r="G16" s="92">
        <v>13.975099999999999</v>
      </c>
      <c r="H16" s="92">
        <v>77.318899999999999</v>
      </c>
      <c r="I16" s="92"/>
      <c r="J16" s="93">
        <f t="shared" si="5"/>
        <v>0.18299999999999983</v>
      </c>
      <c r="AE16" s="143"/>
      <c r="AF16" s="116"/>
      <c r="AG16" s="109"/>
      <c r="AH16" s="120"/>
    </row>
    <row r="17" spans="2:34" x14ac:dyDescent="0.2">
      <c r="B17" s="92">
        <v>9.7219999999999997E-3</v>
      </c>
      <c r="C17" s="92">
        <v>13.755100000000001</v>
      </c>
      <c r="D17" s="92">
        <v>76.676599999999993</v>
      </c>
      <c r="E17" s="92"/>
      <c r="F17" s="92">
        <v>9.7219999999999997E-3</v>
      </c>
      <c r="G17" s="92">
        <v>13.973599999999999</v>
      </c>
      <c r="H17" s="92">
        <v>77.333799999999997</v>
      </c>
      <c r="I17" s="92"/>
      <c r="J17" s="93">
        <f t="shared" si="5"/>
        <v>0.21849999999999881</v>
      </c>
      <c r="AE17" s="143"/>
      <c r="AF17" s="116"/>
      <c r="AG17" s="109"/>
      <c r="AH17" s="120"/>
    </row>
    <row r="18" spans="2:34" x14ac:dyDescent="0.2">
      <c r="B18" s="92">
        <v>1.1110999999999999E-2</v>
      </c>
      <c r="C18" s="92">
        <v>13.789899999999999</v>
      </c>
      <c r="D18" s="92">
        <v>76.691199999999995</v>
      </c>
      <c r="E18" s="92"/>
      <c r="F18" s="92">
        <v>1.1110999999999999E-2</v>
      </c>
      <c r="G18" s="92">
        <v>13.957599999999999</v>
      </c>
      <c r="H18" s="92">
        <v>77.356999999999999</v>
      </c>
      <c r="I18" s="92"/>
      <c r="J18" s="93">
        <f t="shared" si="5"/>
        <v>0.16769999999999996</v>
      </c>
      <c r="AE18" s="143"/>
      <c r="AF18" s="116"/>
      <c r="AG18" s="109"/>
      <c r="AH18" s="120"/>
    </row>
    <row r="19" spans="2:34" x14ac:dyDescent="0.2">
      <c r="B19" s="92">
        <v>1.2500000000000001E-2</v>
      </c>
      <c r="C19" s="92">
        <v>13.768000000000001</v>
      </c>
      <c r="D19" s="92">
        <v>76.7042</v>
      </c>
      <c r="E19" s="92"/>
      <c r="F19" s="92">
        <v>1.2500000000000001E-2</v>
      </c>
      <c r="G19" s="92">
        <v>13.9465</v>
      </c>
      <c r="H19" s="92">
        <v>77.376800000000003</v>
      </c>
      <c r="I19" s="92"/>
      <c r="J19" s="93">
        <f t="shared" si="5"/>
        <v>0.17849999999999966</v>
      </c>
      <c r="AE19" s="143"/>
      <c r="AF19" s="116"/>
      <c r="AG19" s="109"/>
      <c r="AH19" s="120"/>
    </row>
    <row r="20" spans="2:34" x14ac:dyDescent="0.2">
      <c r="B20" s="92">
        <v>1.3889E-2</v>
      </c>
      <c r="C20" s="92">
        <v>13.7721</v>
      </c>
      <c r="D20" s="92">
        <v>76.715599999999995</v>
      </c>
      <c r="E20" s="92"/>
      <c r="F20" s="92">
        <v>1.3889E-2</v>
      </c>
      <c r="G20" s="92">
        <v>13.963100000000001</v>
      </c>
      <c r="H20" s="92">
        <v>77.394999999999996</v>
      </c>
      <c r="I20" s="92"/>
      <c r="J20" s="93">
        <f t="shared" si="5"/>
        <v>0.19100000000000072</v>
      </c>
      <c r="AE20" s="143"/>
      <c r="AF20" s="116"/>
      <c r="AG20" s="109"/>
      <c r="AH20" s="120"/>
    </row>
    <row r="21" spans="2:34" x14ac:dyDescent="0.2">
      <c r="B21" s="92">
        <v>1.5278E-2</v>
      </c>
      <c r="C21" s="92">
        <v>13.7766</v>
      </c>
      <c r="D21" s="92">
        <v>76.722099999999998</v>
      </c>
      <c r="E21" s="92"/>
      <c r="F21" s="92">
        <v>1.5278E-2</v>
      </c>
      <c r="G21" s="92">
        <v>13.9626</v>
      </c>
      <c r="H21" s="92">
        <v>77.400000000000006</v>
      </c>
      <c r="I21" s="92"/>
      <c r="J21" s="93">
        <f t="shared" si="5"/>
        <v>0.18599999999999994</v>
      </c>
      <c r="AE21" s="143"/>
      <c r="AF21" s="116"/>
      <c r="AG21" s="109"/>
      <c r="AH21" s="120"/>
    </row>
    <row r="22" spans="2:34" x14ac:dyDescent="0.2">
      <c r="B22" s="92">
        <v>1.6667000000000001E-2</v>
      </c>
      <c r="C22" s="92">
        <v>13.775600000000001</v>
      </c>
      <c r="D22" s="92">
        <v>76.733400000000003</v>
      </c>
      <c r="E22" s="92"/>
      <c r="F22" s="92">
        <v>1.6667000000000001E-2</v>
      </c>
      <c r="G22" s="92">
        <v>13.976599999999999</v>
      </c>
      <c r="H22" s="92">
        <v>77.398399999999995</v>
      </c>
      <c r="I22" s="92"/>
      <c r="J22" s="93">
        <f t="shared" si="5"/>
        <v>0.20099999999999874</v>
      </c>
      <c r="AE22" s="143"/>
      <c r="AF22" s="116"/>
      <c r="AG22" s="109"/>
      <c r="AH22" s="120"/>
    </row>
    <row r="23" spans="2:34" x14ac:dyDescent="0.2">
      <c r="B23" s="92">
        <v>1.8055999999999999E-2</v>
      </c>
      <c r="C23" s="92">
        <v>13.8163</v>
      </c>
      <c r="D23" s="92">
        <v>76.739900000000006</v>
      </c>
      <c r="E23" s="92"/>
      <c r="F23" s="92">
        <v>1.8055999999999999E-2</v>
      </c>
      <c r="G23" s="92">
        <v>13.948700000000001</v>
      </c>
      <c r="H23" s="92">
        <v>77.401700000000005</v>
      </c>
      <c r="I23" s="92"/>
      <c r="J23" s="93">
        <f t="shared" si="5"/>
        <v>0.13240000000000052</v>
      </c>
      <c r="AE23" s="143"/>
      <c r="AF23" s="116"/>
      <c r="AG23" s="109"/>
      <c r="AH23" s="120"/>
    </row>
    <row r="24" spans="2:34" x14ac:dyDescent="0.2">
      <c r="B24" s="92">
        <v>1.9443999999999999E-2</v>
      </c>
      <c r="C24" s="92">
        <v>13.8314</v>
      </c>
      <c r="D24" s="92">
        <v>76.744799999999998</v>
      </c>
      <c r="E24" s="92"/>
      <c r="F24" s="92">
        <v>1.9443999999999999E-2</v>
      </c>
      <c r="G24" s="92">
        <v>13.9863</v>
      </c>
      <c r="H24" s="92">
        <v>77.3934</v>
      </c>
      <c r="I24" s="92"/>
      <c r="J24" s="93">
        <f t="shared" si="5"/>
        <v>0.15489999999999959</v>
      </c>
      <c r="AE24" s="143"/>
      <c r="AF24" s="116"/>
      <c r="AG24" s="109"/>
      <c r="AH24" s="120"/>
    </row>
    <row r="25" spans="2:34" x14ac:dyDescent="0.2">
      <c r="B25" s="92">
        <v>2.0833000000000001E-2</v>
      </c>
      <c r="C25" s="92">
        <v>13.8005</v>
      </c>
      <c r="D25" s="92">
        <v>76.743200000000002</v>
      </c>
      <c r="E25" s="92"/>
      <c r="F25" s="92">
        <v>2.0833000000000001E-2</v>
      </c>
      <c r="G25" s="92">
        <v>14.0053</v>
      </c>
      <c r="H25" s="92">
        <v>77.386799999999994</v>
      </c>
      <c r="I25" s="92"/>
      <c r="J25" s="93">
        <f t="shared" si="5"/>
        <v>0.20480000000000054</v>
      </c>
      <c r="AE25" s="143"/>
      <c r="AF25" s="116"/>
      <c r="AG25" s="109"/>
      <c r="AH25" s="120"/>
    </row>
    <row r="26" spans="2:34" x14ac:dyDescent="0.2">
      <c r="B26" s="92">
        <v>2.2221999999999999E-2</v>
      </c>
      <c r="C26" s="92">
        <v>13.7796</v>
      </c>
      <c r="D26" s="92">
        <v>76.744799999999998</v>
      </c>
      <c r="E26" s="92"/>
      <c r="F26" s="92">
        <v>2.2221999999999999E-2</v>
      </c>
      <c r="G26" s="92">
        <v>13.959300000000001</v>
      </c>
      <c r="H26" s="92">
        <v>77.386799999999994</v>
      </c>
      <c r="I26" s="92"/>
      <c r="J26" s="93">
        <f t="shared" si="5"/>
        <v>0.17970000000000041</v>
      </c>
      <c r="AE26" s="143"/>
      <c r="AF26" s="116"/>
      <c r="AG26" s="109"/>
      <c r="AH26" s="120"/>
    </row>
    <row r="27" spans="2:34" x14ac:dyDescent="0.2">
      <c r="B27" s="92">
        <v>2.3611E-2</v>
      </c>
      <c r="C27" s="92">
        <v>13.779299999999999</v>
      </c>
      <c r="D27" s="92">
        <v>76.748000000000005</v>
      </c>
      <c r="E27" s="92"/>
      <c r="F27" s="92">
        <v>2.3611E-2</v>
      </c>
      <c r="G27" s="92">
        <v>13.964700000000001</v>
      </c>
      <c r="H27" s="92">
        <v>77.378500000000003</v>
      </c>
      <c r="I27" s="92"/>
      <c r="J27" s="93">
        <f t="shared" si="5"/>
        <v>0.18540000000000134</v>
      </c>
      <c r="AE27" s="143"/>
      <c r="AF27" s="116"/>
      <c r="AG27" s="109"/>
      <c r="AH27" s="120"/>
    </row>
    <row r="28" spans="2:34" x14ac:dyDescent="0.2">
      <c r="B28" s="92">
        <v>2.5000000000000001E-2</v>
      </c>
      <c r="C28" s="92">
        <v>13.800800000000001</v>
      </c>
      <c r="D28" s="92">
        <v>76.739900000000006</v>
      </c>
      <c r="E28" s="92"/>
      <c r="F28" s="92">
        <v>2.5000000000000001E-2</v>
      </c>
      <c r="G28" s="92">
        <v>13.9841</v>
      </c>
      <c r="H28" s="92">
        <v>77.368600000000001</v>
      </c>
      <c r="I28" s="92"/>
      <c r="J28" s="93">
        <f t="shared" si="5"/>
        <v>0.18329999999999913</v>
      </c>
      <c r="AE28" s="143"/>
      <c r="AF28" s="116"/>
      <c r="AG28" s="109"/>
      <c r="AH28" s="120"/>
    </row>
    <row r="29" spans="2:34" x14ac:dyDescent="0.2">
      <c r="B29" s="92">
        <v>2.6388999999999999E-2</v>
      </c>
      <c r="C29" s="92">
        <v>13.806100000000001</v>
      </c>
      <c r="D29" s="92">
        <v>76.738299999999995</v>
      </c>
      <c r="E29" s="92"/>
      <c r="F29" s="92">
        <v>2.6388999999999999E-2</v>
      </c>
      <c r="G29" s="92">
        <v>14.0082</v>
      </c>
      <c r="H29" s="92">
        <v>77.356999999999999</v>
      </c>
      <c r="I29" s="92"/>
      <c r="J29" s="93">
        <f t="shared" si="5"/>
        <v>0.20209999999999972</v>
      </c>
      <c r="AE29" s="143"/>
      <c r="AF29" s="116"/>
      <c r="AG29" s="109"/>
      <c r="AH29" s="120"/>
    </row>
    <row r="30" spans="2:34" x14ac:dyDescent="0.2">
      <c r="B30" s="92">
        <v>2.7778000000000001E-2</v>
      </c>
      <c r="C30" s="92">
        <v>13.811500000000001</v>
      </c>
      <c r="D30" s="92">
        <v>76.736699999999999</v>
      </c>
      <c r="E30" s="92"/>
      <c r="F30" s="92">
        <v>2.7778000000000001E-2</v>
      </c>
      <c r="G30" s="92">
        <v>13.9717</v>
      </c>
      <c r="H30" s="92">
        <v>77.353700000000003</v>
      </c>
      <c r="I30" s="92"/>
      <c r="J30" s="93">
        <f t="shared" si="5"/>
        <v>0.16019999999999968</v>
      </c>
      <c r="AE30" s="143"/>
      <c r="AF30" s="116"/>
      <c r="AG30" s="109"/>
      <c r="AH30" s="120"/>
    </row>
    <row r="31" spans="2:34" x14ac:dyDescent="0.2">
      <c r="B31" s="92">
        <v>2.9166999999999998E-2</v>
      </c>
      <c r="C31" s="92">
        <v>13.791399999999999</v>
      </c>
      <c r="D31" s="92">
        <v>76.730199999999996</v>
      </c>
      <c r="E31" s="92"/>
      <c r="F31" s="92">
        <v>2.9166999999999998E-2</v>
      </c>
      <c r="G31" s="92">
        <v>13.986800000000001</v>
      </c>
      <c r="H31" s="92">
        <v>77.340400000000002</v>
      </c>
      <c r="I31" s="92"/>
      <c r="J31" s="93">
        <f t="shared" si="5"/>
        <v>0.19540000000000113</v>
      </c>
      <c r="AE31" s="143"/>
      <c r="AF31" s="116"/>
      <c r="AG31" s="109"/>
      <c r="AH31" s="120"/>
    </row>
    <row r="32" spans="2:34" x14ac:dyDescent="0.2">
      <c r="B32" s="92">
        <v>3.0556E-2</v>
      </c>
      <c r="C32" s="92">
        <v>13.7752</v>
      </c>
      <c r="D32" s="92">
        <v>76.736699999999999</v>
      </c>
      <c r="E32" s="92"/>
      <c r="F32" s="92">
        <v>3.0556E-2</v>
      </c>
      <c r="G32" s="92">
        <v>13.9817</v>
      </c>
      <c r="H32" s="92">
        <v>77.345399999999998</v>
      </c>
      <c r="I32" s="92"/>
      <c r="J32" s="93">
        <f t="shared" si="5"/>
        <v>0.20650000000000013</v>
      </c>
      <c r="AE32" s="143"/>
      <c r="AF32" s="116"/>
      <c r="AG32" s="109"/>
      <c r="AH32" s="120"/>
    </row>
    <row r="33" spans="2:34" x14ac:dyDescent="0.2">
      <c r="B33" s="92">
        <v>3.1944E-2</v>
      </c>
      <c r="C33" s="92">
        <v>13.770099999999999</v>
      </c>
      <c r="D33" s="92">
        <v>76.736699999999999</v>
      </c>
      <c r="E33" s="92"/>
      <c r="F33" s="92">
        <v>3.1944E-2</v>
      </c>
      <c r="G33" s="92">
        <v>13.9373</v>
      </c>
      <c r="H33" s="92">
        <v>77.328900000000004</v>
      </c>
      <c r="I33" s="92"/>
      <c r="J33" s="93">
        <f t="shared" si="5"/>
        <v>0.16720000000000113</v>
      </c>
      <c r="AE33" s="143"/>
      <c r="AF33" s="116"/>
      <c r="AG33" s="109"/>
      <c r="AH33" s="120"/>
    </row>
    <row r="34" spans="2:34" x14ac:dyDescent="0.2">
      <c r="B34" s="92">
        <v>3.3333000000000002E-2</v>
      </c>
      <c r="C34" s="92">
        <v>13.8071</v>
      </c>
      <c r="D34" s="92">
        <v>76.7286</v>
      </c>
      <c r="E34" s="92"/>
      <c r="F34" s="92">
        <v>3.3333000000000002E-2</v>
      </c>
      <c r="G34" s="92">
        <v>13.9748</v>
      </c>
      <c r="H34" s="92">
        <v>77.322199999999995</v>
      </c>
      <c r="I34" s="92"/>
      <c r="J34" s="93">
        <f t="shared" si="5"/>
        <v>0.16769999999999996</v>
      </c>
      <c r="AE34" s="143"/>
      <c r="AF34" s="116"/>
      <c r="AG34" s="109"/>
      <c r="AH34" s="120"/>
    </row>
    <row r="35" spans="2:34" x14ac:dyDescent="0.2">
      <c r="B35" s="92">
        <v>3.4722000000000003E-2</v>
      </c>
      <c r="C35" s="92">
        <v>13.7707</v>
      </c>
      <c r="D35" s="92">
        <v>76.730199999999996</v>
      </c>
      <c r="E35" s="92"/>
      <c r="F35" s="92">
        <v>3.4722000000000003E-2</v>
      </c>
      <c r="G35" s="92">
        <v>13.9565</v>
      </c>
      <c r="H35" s="92">
        <v>77.320599999999999</v>
      </c>
      <c r="I35" s="92"/>
      <c r="J35" s="93">
        <f t="shared" si="5"/>
        <v>0.18580000000000041</v>
      </c>
      <c r="AE35" s="143"/>
      <c r="AF35" s="116"/>
      <c r="AG35" s="109"/>
      <c r="AH35" s="120"/>
    </row>
    <row r="36" spans="2:34" x14ac:dyDescent="0.2">
      <c r="B36" s="92">
        <v>3.6110999999999997E-2</v>
      </c>
      <c r="C36" s="92">
        <v>13.7867</v>
      </c>
      <c r="D36" s="92">
        <v>76.725300000000004</v>
      </c>
      <c r="E36" s="92"/>
      <c r="F36" s="92">
        <v>3.6110999999999997E-2</v>
      </c>
      <c r="G36" s="92">
        <v>13.9765</v>
      </c>
      <c r="H36" s="92">
        <v>77.304000000000002</v>
      </c>
      <c r="I36" s="92"/>
      <c r="J36" s="93">
        <f t="shared" si="5"/>
        <v>0.18979999999999997</v>
      </c>
      <c r="AE36" s="143"/>
      <c r="AF36" s="116"/>
      <c r="AG36" s="109"/>
      <c r="AH36" s="120"/>
    </row>
    <row r="37" spans="2:34" x14ac:dyDescent="0.2">
      <c r="B37" s="92">
        <v>3.7499999999999999E-2</v>
      </c>
      <c r="C37" s="92">
        <v>13.7828</v>
      </c>
      <c r="D37" s="92">
        <v>76.712299999999999</v>
      </c>
      <c r="E37" s="92"/>
      <c r="F37" s="92">
        <v>3.7499999999999999E-2</v>
      </c>
      <c r="G37" s="92">
        <v>13.978</v>
      </c>
      <c r="H37" s="92">
        <v>77.289100000000005</v>
      </c>
      <c r="I37" s="92"/>
      <c r="J37" s="93">
        <f t="shared" si="5"/>
        <v>0.19519999999999982</v>
      </c>
      <c r="AE37" s="143"/>
      <c r="AF37" s="116"/>
      <c r="AG37" s="109"/>
      <c r="AH37" s="120"/>
    </row>
    <row r="38" spans="2:34" x14ac:dyDescent="0.2">
      <c r="B38" s="92">
        <v>3.8889E-2</v>
      </c>
      <c r="C38" s="92">
        <v>13.7994</v>
      </c>
      <c r="D38" s="92">
        <v>76.700999999999993</v>
      </c>
      <c r="E38" s="92"/>
      <c r="F38" s="92">
        <v>3.8889E-2</v>
      </c>
      <c r="G38" s="92">
        <v>13.9602</v>
      </c>
      <c r="H38" s="92">
        <v>77.282499999999999</v>
      </c>
      <c r="I38" s="92"/>
      <c r="J38" s="93">
        <f t="shared" si="5"/>
        <v>0.16080000000000005</v>
      </c>
      <c r="AE38" s="143"/>
      <c r="AF38" s="116"/>
      <c r="AG38" s="109"/>
      <c r="AH38" s="120"/>
    </row>
    <row r="39" spans="2:34" x14ac:dyDescent="0.2">
      <c r="B39" s="92">
        <v>4.0278000000000001E-2</v>
      </c>
      <c r="C39" s="92">
        <v>13.8055</v>
      </c>
      <c r="D39" s="92">
        <v>76.691199999999995</v>
      </c>
      <c r="E39" s="92"/>
      <c r="F39" s="92">
        <v>4.0278000000000001E-2</v>
      </c>
      <c r="G39" s="92">
        <v>13.939</v>
      </c>
      <c r="H39" s="92">
        <v>77.264300000000006</v>
      </c>
      <c r="I39" s="92"/>
      <c r="J39" s="93">
        <f t="shared" si="5"/>
        <v>0.13349999999999973</v>
      </c>
      <c r="AE39" s="143"/>
      <c r="AF39" s="116"/>
      <c r="AG39" s="109"/>
      <c r="AH39" s="120"/>
    </row>
    <row r="40" spans="2:34" x14ac:dyDescent="0.2">
      <c r="B40" s="92">
        <v>4.1667000000000003E-2</v>
      </c>
      <c r="C40" s="92">
        <v>13.791</v>
      </c>
      <c r="D40" s="92">
        <v>76.679900000000004</v>
      </c>
      <c r="E40" s="92"/>
      <c r="F40" s="92">
        <v>4.1667000000000003E-2</v>
      </c>
      <c r="G40" s="92">
        <v>13.968299999999999</v>
      </c>
      <c r="H40" s="92">
        <v>77.246099999999998</v>
      </c>
      <c r="I40" s="92"/>
      <c r="J40" s="93">
        <f t="shared" si="5"/>
        <v>0.1772999999999989</v>
      </c>
      <c r="AE40" s="143"/>
      <c r="AF40" s="116"/>
      <c r="AG40" s="109"/>
      <c r="AH40" s="120"/>
    </row>
    <row r="41" spans="2:34" x14ac:dyDescent="0.2">
      <c r="B41" s="92">
        <v>4.3055999999999997E-2</v>
      </c>
      <c r="C41" s="92">
        <v>13.822699999999999</v>
      </c>
      <c r="D41" s="92">
        <v>76.673400000000001</v>
      </c>
      <c r="E41" s="92"/>
      <c r="F41" s="92">
        <v>4.3055999999999997E-2</v>
      </c>
      <c r="G41" s="92">
        <v>13.959099999999999</v>
      </c>
      <c r="H41" s="92">
        <v>77.246099999999998</v>
      </c>
      <c r="I41" s="92"/>
      <c r="J41" s="93">
        <f t="shared" si="5"/>
        <v>0.13640000000000008</v>
      </c>
      <c r="AE41" s="143"/>
      <c r="AF41" s="116"/>
      <c r="AG41" s="109"/>
      <c r="AH41" s="120"/>
    </row>
    <row r="42" spans="2:34" x14ac:dyDescent="0.2">
      <c r="B42" s="92">
        <v>4.4443999999999997E-2</v>
      </c>
      <c r="C42" s="92">
        <v>13.818199999999999</v>
      </c>
      <c r="D42" s="92">
        <v>76.666899999999998</v>
      </c>
      <c r="E42" s="92"/>
      <c r="F42" s="92">
        <v>4.4443999999999997E-2</v>
      </c>
      <c r="G42" s="92">
        <v>13.974500000000001</v>
      </c>
      <c r="H42" s="92">
        <v>77.229600000000005</v>
      </c>
      <c r="I42" s="92"/>
      <c r="J42" s="93">
        <f t="shared" si="5"/>
        <v>0.15630000000000166</v>
      </c>
      <c r="AE42" s="144"/>
      <c r="AF42" s="117"/>
      <c r="AG42" s="121"/>
      <c r="AH42" s="122"/>
    </row>
    <row r="43" spans="2:34" x14ac:dyDescent="0.2">
      <c r="B43" s="92">
        <v>4.5832999999999999E-2</v>
      </c>
      <c r="C43" s="92">
        <v>13.8299</v>
      </c>
      <c r="D43" s="92">
        <v>76.652299999999997</v>
      </c>
      <c r="E43" s="92"/>
      <c r="F43" s="92">
        <v>4.5832999999999999E-2</v>
      </c>
      <c r="G43" s="92">
        <v>13.952199999999999</v>
      </c>
      <c r="H43" s="92">
        <v>77.222999999999999</v>
      </c>
      <c r="I43" s="92"/>
      <c r="J43" s="93">
        <f t="shared" si="5"/>
        <v>0.12229999999999919</v>
      </c>
    </row>
    <row r="44" spans="2:34" x14ac:dyDescent="0.2">
      <c r="B44" s="92">
        <v>4.7222E-2</v>
      </c>
      <c r="C44" s="92">
        <v>13.788500000000001</v>
      </c>
      <c r="D44" s="92">
        <v>76.652299999999997</v>
      </c>
      <c r="E44" s="92"/>
      <c r="F44" s="92">
        <v>4.7222E-2</v>
      </c>
      <c r="G44" s="92">
        <v>13.9625</v>
      </c>
      <c r="H44" s="92">
        <v>77.211399999999998</v>
      </c>
      <c r="I44" s="92"/>
      <c r="J44" s="93">
        <f t="shared" si="5"/>
        <v>0.17399999999999949</v>
      </c>
    </row>
    <row r="45" spans="2:34" x14ac:dyDescent="0.2">
      <c r="B45" s="92">
        <v>4.8611000000000001E-2</v>
      </c>
      <c r="C45" s="92">
        <v>13.7791</v>
      </c>
      <c r="D45" s="92">
        <v>76.642499999999998</v>
      </c>
      <c r="E45" s="92"/>
      <c r="F45" s="92">
        <v>4.8611000000000001E-2</v>
      </c>
      <c r="G45" s="92">
        <v>13.9717</v>
      </c>
      <c r="H45" s="92">
        <v>77.211399999999998</v>
      </c>
      <c r="I45" s="92"/>
      <c r="J45" s="93">
        <f t="shared" si="5"/>
        <v>0.19260000000000055</v>
      </c>
    </row>
    <row r="46" spans="2:34" x14ac:dyDescent="0.2">
      <c r="B46" s="92">
        <v>0.05</v>
      </c>
      <c r="C46" s="92">
        <v>13.7645</v>
      </c>
      <c r="D46" s="92">
        <v>76.632800000000003</v>
      </c>
      <c r="E46" s="92"/>
      <c r="F46" s="92">
        <v>0.05</v>
      </c>
      <c r="G46" s="92">
        <v>13.9643</v>
      </c>
      <c r="H46" s="92">
        <v>77.193200000000004</v>
      </c>
      <c r="I46" s="92"/>
      <c r="J46" s="93">
        <f t="shared" si="5"/>
        <v>0.19979999999999976</v>
      </c>
    </row>
    <row r="47" spans="2:34" x14ac:dyDescent="0.2">
      <c r="B47" s="92">
        <v>5.1388999999999997E-2</v>
      </c>
      <c r="C47" s="92">
        <v>13.796200000000001</v>
      </c>
      <c r="D47" s="92">
        <v>76.626300000000001</v>
      </c>
      <c r="E47" s="92"/>
      <c r="F47" s="92">
        <v>5.1388999999999997E-2</v>
      </c>
      <c r="G47" s="92">
        <v>13.969200000000001</v>
      </c>
      <c r="H47" s="92">
        <v>77.189899999999994</v>
      </c>
      <c r="I47" s="92"/>
      <c r="J47" s="93">
        <f t="shared" si="5"/>
        <v>0.17300000000000004</v>
      </c>
    </row>
    <row r="48" spans="2:34" x14ac:dyDescent="0.2">
      <c r="B48" s="92">
        <v>5.2777999999999999E-2</v>
      </c>
      <c r="C48" s="92">
        <v>13.807499999999999</v>
      </c>
      <c r="D48" s="92">
        <v>76.616600000000005</v>
      </c>
      <c r="E48" s="92"/>
      <c r="F48" s="92">
        <v>5.2777999999999999E-2</v>
      </c>
      <c r="G48" s="92">
        <v>13.9338</v>
      </c>
      <c r="H48" s="92">
        <v>77.174999999999997</v>
      </c>
      <c r="I48" s="92"/>
      <c r="J48" s="93">
        <f t="shared" si="5"/>
        <v>0.12630000000000052</v>
      </c>
    </row>
    <row r="49" spans="2:10" x14ac:dyDescent="0.2">
      <c r="B49" s="92">
        <v>5.4167E-2</v>
      </c>
      <c r="C49" s="92">
        <v>13.8186</v>
      </c>
      <c r="D49" s="92">
        <v>76.608400000000003</v>
      </c>
      <c r="E49" s="92"/>
      <c r="F49" s="92">
        <v>5.4167E-2</v>
      </c>
      <c r="G49" s="92">
        <v>13.975099999999999</v>
      </c>
      <c r="H49" s="92">
        <v>77.176599999999993</v>
      </c>
      <c r="I49" s="92"/>
      <c r="J49" s="93">
        <f t="shared" si="5"/>
        <v>0.15649999999999942</v>
      </c>
    </row>
    <row r="50" spans="2:10" x14ac:dyDescent="0.2">
      <c r="B50" s="92">
        <v>5.5556000000000001E-2</v>
      </c>
      <c r="C50" s="92">
        <v>13.8085</v>
      </c>
      <c r="D50" s="92">
        <v>76.605199999999996</v>
      </c>
      <c r="E50" s="92"/>
      <c r="F50" s="92">
        <v>5.5556000000000001E-2</v>
      </c>
      <c r="G50" s="92">
        <v>13.961600000000001</v>
      </c>
      <c r="H50" s="92">
        <v>77.173299999999998</v>
      </c>
      <c r="I50" s="92"/>
      <c r="J50" s="93">
        <f t="shared" si="5"/>
        <v>0.15310000000000024</v>
      </c>
    </row>
    <row r="51" spans="2:10" x14ac:dyDescent="0.2">
      <c r="B51" s="92">
        <v>5.6944000000000002E-2</v>
      </c>
      <c r="C51" s="92">
        <v>13.8192</v>
      </c>
      <c r="D51" s="92">
        <v>76.602000000000004</v>
      </c>
      <c r="E51" s="92"/>
      <c r="F51" s="92">
        <v>5.6944000000000002E-2</v>
      </c>
      <c r="G51" s="92">
        <v>13.9618</v>
      </c>
      <c r="H51" s="92">
        <v>77.171700000000001</v>
      </c>
      <c r="I51" s="92"/>
      <c r="J51" s="93">
        <f t="shared" si="5"/>
        <v>0.14259999999999984</v>
      </c>
    </row>
    <row r="52" spans="2:10" x14ac:dyDescent="0.2">
      <c r="B52" s="92">
        <v>5.8333000000000003E-2</v>
      </c>
      <c r="C52" s="92">
        <v>13.778</v>
      </c>
      <c r="D52" s="92">
        <v>76.600300000000004</v>
      </c>
      <c r="E52" s="92"/>
      <c r="F52" s="92">
        <v>5.8333000000000003E-2</v>
      </c>
      <c r="G52" s="92">
        <v>13.9716</v>
      </c>
      <c r="H52" s="92">
        <v>77.165000000000006</v>
      </c>
      <c r="I52" s="92"/>
      <c r="J52" s="93">
        <f t="shared" si="5"/>
        <v>0.19359999999999999</v>
      </c>
    </row>
    <row r="53" spans="2:10" x14ac:dyDescent="0.2">
      <c r="B53" s="92">
        <v>5.9721999999999997E-2</v>
      </c>
      <c r="C53" s="92">
        <v>13.7883</v>
      </c>
      <c r="D53" s="92">
        <v>76.600300000000004</v>
      </c>
      <c r="E53" s="92"/>
      <c r="F53" s="92">
        <v>5.9721999999999997E-2</v>
      </c>
      <c r="G53" s="92">
        <v>13.917400000000001</v>
      </c>
      <c r="H53" s="92">
        <v>77.155100000000004</v>
      </c>
      <c r="I53" s="92"/>
      <c r="J53" s="93">
        <f t="shared" si="5"/>
        <v>0.1291000000000011</v>
      </c>
    </row>
    <row r="54" spans="2:10" x14ac:dyDescent="0.2">
      <c r="B54" s="92">
        <v>6.1110999999999999E-2</v>
      </c>
      <c r="C54" s="92">
        <v>13.8078</v>
      </c>
      <c r="D54" s="92">
        <v>76.613299999999995</v>
      </c>
      <c r="E54" s="92"/>
      <c r="F54" s="92">
        <v>6.1110999999999999E-2</v>
      </c>
      <c r="G54" s="92">
        <v>13.9602</v>
      </c>
      <c r="H54" s="92">
        <v>77.140199999999993</v>
      </c>
      <c r="I54" s="92"/>
      <c r="J54" s="93">
        <f t="shared" si="5"/>
        <v>0.15240000000000009</v>
      </c>
    </row>
    <row r="55" spans="2:10" x14ac:dyDescent="0.2">
      <c r="B55" s="92">
        <v>6.25E-2</v>
      </c>
      <c r="C55" s="92">
        <v>13.833600000000001</v>
      </c>
      <c r="D55" s="92">
        <v>76.613299999999995</v>
      </c>
      <c r="E55" s="92"/>
      <c r="F55" s="92">
        <v>6.25E-2</v>
      </c>
      <c r="G55" s="92">
        <v>13.9651</v>
      </c>
      <c r="H55" s="92">
        <v>77.136899999999997</v>
      </c>
      <c r="I55" s="92"/>
      <c r="J55" s="93">
        <f t="shared" si="5"/>
        <v>0.13149999999999906</v>
      </c>
    </row>
    <row r="56" spans="2:10" x14ac:dyDescent="0.2">
      <c r="B56" s="92">
        <v>6.3889000000000001E-2</v>
      </c>
      <c r="C56" s="92">
        <v>13.7819</v>
      </c>
      <c r="D56" s="92">
        <v>76.613299999999995</v>
      </c>
      <c r="E56" s="92"/>
      <c r="F56" s="92">
        <v>6.3889000000000001E-2</v>
      </c>
      <c r="G56" s="92">
        <v>13.971</v>
      </c>
      <c r="H56" s="92">
        <v>77.123699999999999</v>
      </c>
      <c r="I56" s="92"/>
      <c r="J56" s="93">
        <f t="shared" si="5"/>
        <v>0.18909999999999982</v>
      </c>
    </row>
    <row r="57" spans="2:10" x14ac:dyDescent="0.2">
      <c r="B57" s="92">
        <v>6.5278000000000003E-2</v>
      </c>
      <c r="C57" s="92">
        <v>13.8134</v>
      </c>
      <c r="D57" s="92">
        <v>76.608400000000003</v>
      </c>
      <c r="E57" s="92"/>
      <c r="F57" s="92">
        <v>6.5278000000000003E-2</v>
      </c>
      <c r="G57" s="92">
        <v>13.967700000000001</v>
      </c>
      <c r="H57" s="92">
        <v>77.110399999999998</v>
      </c>
      <c r="I57" s="92"/>
      <c r="J57" s="93">
        <f t="shared" si="5"/>
        <v>0.15430000000000099</v>
      </c>
    </row>
    <row r="58" spans="2:10" x14ac:dyDescent="0.2">
      <c r="B58" s="92">
        <v>6.6667000000000004E-2</v>
      </c>
      <c r="C58" s="92">
        <v>13.788600000000001</v>
      </c>
      <c r="D58" s="92">
        <v>76.597099999999998</v>
      </c>
      <c r="E58" s="92"/>
      <c r="F58" s="92">
        <v>6.6667000000000004E-2</v>
      </c>
      <c r="G58" s="92">
        <v>13.9818</v>
      </c>
      <c r="H58" s="92">
        <v>77.107100000000003</v>
      </c>
      <c r="I58" s="92"/>
      <c r="J58" s="93">
        <f t="shared" si="5"/>
        <v>0.19319999999999915</v>
      </c>
    </row>
    <row r="59" spans="2:10" x14ac:dyDescent="0.2">
      <c r="B59" s="92">
        <v>6.8056000000000005E-2</v>
      </c>
      <c r="C59" s="92">
        <v>13.8253</v>
      </c>
      <c r="D59" s="92">
        <v>76.592200000000005</v>
      </c>
      <c r="E59" s="92"/>
      <c r="F59" s="92">
        <v>6.8056000000000005E-2</v>
      </c>
      <c r="G59" s="92">
        <v>13.9552</v>
      </c>
      <c r="H59" s="92">
        <v>77.097200000000001</v>
      </c>
      <c r="I59" s="92"/>
      <c r="J59" s="93">
        <f t="shared" si="5"/>
        <v>0.12989999999999924</v>
      </c>
    </row>
    <row r="60" spans="2:10" x14ac:dyDescent="0.2">
      <c r="B60" s="92">
        <v>6.9444000000000006E-2</v>
      </c>
      <c r="C60" s="92">
        <v>13.8156</v>
      </c>
      <c r="D60" s="92">
        <v>76.585700000000003</v>
      </c>
      <c r="E60" s="92"/>
      <c r="F60" s="92">
        <v>6.9444000000000006E-2</v>
      </c>
      <c r="G60" s="92">
        <v>13.978999999999999</v>
      </c>
      <c r="H60" s="92">
        <v>77.088899999999995</v>
      </c>
      <c r="I60" s="92"/>
      <c r="J60" s="93">
        <f t="shared" si="5"/>
        <v>0.16339999999999932</v>
      </c>
    </row>
    <row r="61" spans="2:10" x14ac:dyDescent="0.2">
      <c r="B61" s="92">
        <v>7.0832999999999993E-2</v>
      </c>
      <c r="C61" s="92">
        <v>13.7897</v>
      </c>
      <c r="D61" s="92">
        <v>76.585700000000003</v>
      </c>
      <c r="E61" s="92"/>
      <c r="F61" s="92">
        <v>7.0832999999999993E-2</v>
      </c>
      <c r="G61" s="92">
        <v>13.9527</v>
      </c>
      <c r="H61" s="92">
        <v>77.075699999999998</v>
      </c>
      <c r="I61" s="92"/>
      <c r="J61" s="93">
        <f t="shared" si="5"/>
        <v>0.16300000000000026</v>
      </c>
    </row>
    <row r="62" spans="2:10" x14ac:dyDescent="0.2">
      <c r="B62" s="92">
        <v>7.2221999999999995E-2</v>
      </c>
      <c r="C62" s="92">
        <v>13.7698</v>
      </c>
      <c r="D62" s="92">
        <v>76.577600000000004</v>
      </c>
      <c r="E62" s="92"/>
      <c r="F62" s="92">
        <v>7.2221999999999995E-2</v>
      </c>
      <c r="G62" s="92">
        <v>13.925700000000001</v>
      </c>
      <c r="H62" s="92">
        <v>77.069100000000006</v>
      </c>
      <c r="I62" s="92"/>
      <c r="J62" s="93">
        <f t="shared" si="5"/>
        <v>0.15590000000000082</v>
      </c>
    </row>
    <row r="63" spans="2:10" x14ac:dyDescent="0.2">
      <c r="B63" s="92">
        <v>7.3610999999999996E-2</v>
      </c>
      <c r="C63" s="92">
        <v>13.7715</v>
      </c>
      <c r="D63" s="92">
        <v>76.559799999999996</v>
      </c>
      <c r="E63" s="92"/>
      <c r="F63" s="92">
        <v>7.3610999999999996E-2</v>
      </c>
      <c r="G63" s="92">
        <v>13.9777</v>
      </c>
      <c r="H63" s="92">
        <v>77.054199999999994</v>
      </c>
      <c r="I63" s="92"/>
      <c r="J63" s="93">
        <f t="shared" si="5"/>
        <v>0.20620000000000083</v>
      </c>
    </row>
    <row r="64" spans="2:10" x14ac:dyDescent="0.2">
      <c r="B64" s="92">
        <v>7.4999999999999997E-2</v>
      </c>
      <c r="C64" s="92">
        <v>13.8127</v>
      </c>
      <c r="D64" s="92">
        <v>76.561400000000006</v>
      </c>
      <c r="E64" s="92"/>
      <c r="F64" s="92">
        <v>7.4999999999999997E-2</v>
      </c>
      <c r="G64" s="92">
        <v>13.923999999999999</v>
      </c>
      <c r="H64" s="92">
        <v>77.039299999999997</v>
      </c>
      <c r="I64" s="92"/>
      <c r="J64" s="93">
        <f t="shared" si="5"/>
        <v>0.11129999999999995</v>
      </c>
    </row>
    <row r="65" spans="2:10" x14ac:dyDescent="0.2">
      <c r="B65" s="92">
        <v>7.6388999999999999E-2</v>
      </c>
      <c r="C65" s="92">
        <v>13.7933</v>
      </c>
      <c r="D65" s="92">
        <v>76.548400000000001</v>
      </c>
      <c r="E65" s="92"/>
      <c r="F65" s="92">
        <v>7.6388999999999999E-2</v>
      </c>
      <c r="G65" s="92">
        <v>13.935499999999999</v>
      </c>
      <c r="H65" s="92">
        <v>77.016099999999994</v>
      </c>
      <c r="I65" s="92"/>
      <c r="J65" s="93">
        <f t="shared" si="5"/>
        <v>0.14219999999999899</v>
      </c>
    </row>
    <row r="66" spans="2:10" x14ac:dyDescent="0.2">
      <c r="B66" s="92">
        <v>7.7778E-2</v>
      </c>
      <c r="C66" s="92">
        <v>13.769399999999999</v>
      </c>
      <c r="D66" s="92">
        <v>76.527299999999997</v>
      </c>
      <c r="E66" s="92"/>
      <c r="F66" s="92">
        <v>7.7778E-2</v>
      </c>
      <c r="G66" s="92">
        <v>13.9413</v>
      </c>
      <c r="H66" s="92">
        <v>77.002899999999997</v>
      </c>
      <c r="I66" s="92"/>
      <c r="J66" s="93">
        <f t="shared" si="5"/>
        <v>0.17190000000000083</v>
      </c>
    </row>
    <row r="67" spans="2:10" x14ac:dyDescent="0.2">
      <c r="B67" s="92">
        <v>7.9167000000000001E-2</v>
      </c>
      <c r="C67" s="92">
        <v>13.7597</v>
      </c>
      <c r="D67" s="92">
        <v>76.520799999999994</v>
      </c>
      <c r="E67" s="92"/>
      <c r="F67" s="92">
        <v>7.9167000000000001E-2</v>
      </c>
      <c r="G67" s="92">
        <v>13.9613</v>
      </c>
      <c r="H67" s="92">
        <v>76.9863</v>
      </c>
      <c r="I67" s="92"/>
      <c r="J67" s="93">
        <f t="shared" si="5"/>
        <v>0.20159999999999911</v>
      </c>
    </row>
    <row r="68" spans="2:10" x14ac:dyDescent="0.2">
      <c r="B68" s="92">
        <v>8.0556000000000003E-2</v>
      </c>
      <c r="C68" s="92">
        <v>13.740600000000001</v>
      </c>
      <c r="D68" s="92">
        <v>76.504599999999996</v>
      </c>
      <c r="E68" s="92"/>
      <c r="F68" s="92">
        <v>8.0556000000000003E-2</v>
      </c>
      <c r="G68" s="92">
        <v>13.9498</v>
      </c>
      <c r="H68" s="92">
        <v>76.963200000000001</v>
      </c>
      <c r="I68" s="92"/>
      <c r="J68" s="93">
        <f t="shared" si="5"/>
        <v>0.20919999999999916</v>
      </c>
    </row>
    <row r="69" spans="2:10" x14ac:dyDescent="0.2">
      <c r="B69" s="92">
        <v>8.1944000000000003E-2</v>
      </c>
      <c r="C69" s="92">
        <v>13.779</v>
      </c>
      <c r="D69" s="92">
        <v>76.481899999999996</v>
      </c>
      <c r="E69" s="92"/>
      <c r="F69" s="92">
        <v>8.1944000000000003E-2</v>
      </c>
      <c r="G69" s="92">
        <v>13.9384</v>
      </c>
      <c r="H69" s="92">
        <v>76.938400000000001</v>
      </c>
      <c r="I69" s="92"/>
      <c r="J69" s="93">
        <f t="shared" si="5"/>
        <v>0.15939999999999976</v>
      </c>
    </row>
    <row r="70" spans="2:10" x14ac:dyDescent="0.2">
      <c r="B70" s="92">
        <v>8.3333000000000004E-2</v>
      </c>
      <c r="C70" s="92">
        <v>13.7796</v>
      </c>
      <c r="D70" s="92">
        <v>76.475399999999993</v>
      </c>
      <c r="E70" s="92"/>
      <c r="F70" s="92">
        <v>8.3333000000000004E-2</v>
      </c>
      <c r="G70" s="92">
        <v>13.912599999999999</v>
      </c>
      <c r="H70" s="92">
        <v>76.920199999999994</v>
      </c>
      <c r="I70" s="92"/>
      <c r="J70" s="93">
        <f t="shared" si="5"/>
        <v>0.13299999999999912</v>
      </c>
    </row>
    <row r="71" spans="2:10" x14ac:dyDescent="0.2">
      <c r="B71" s="92">
        <v>8.4722000000000006E-2</v>
      </c>
      <c r="C71" s="92">
        <v>13.765599999999999</v>
      </c>
      <c r="D71" s="92">
        <v>76.459100000000007</v>
      </c>
      <c r="E71" s="92"/>
      <c r="F71" s="92">
        <v>8.4722000000000006E-2</v>
      </c>
      <c r="G71" s="92">
        <v>13.946400000000001</v>
      </c>
      <c r="H71" s="92">
        <v>76.903599999999997</v>
      </c>
      <c r="I71" s="92"/>
      <c r="J71" s="93">
        <f t="shared" si="5"/>
        <v>0.1808000000000014</v>
      </c>
    </row>
    <row r="72" spans="2:10" x14ac:dyDescent="0.2">
      <c r="B72" s="92">
        <v>8.6110999999999993E-2</v>
      </c>
      <c r="C72" s="92">
        <v>13.7934</v>
      </c>
      <c r="D72" s="92">
        <v>76.439700000000002</v>
      </c>
      <c r="E72" s="92"/>
      <c r="F72" s="92">
        <v>8.6110999999999993E-2</v>
      </c>
      <c r="G72" s="92">
        <v>13.9535</v>
      </c>
      <c r="H72" s="92">
        <v>76.877099999999999</v>
      </c>
      <c r="I72" s="92"/>
      <c r="J72" s="93">
        <f t="shared" si="5"/>
        <v>0.16009999999999991</v>
      </c>
    </row>
    <row r="73" spans="2:10" x14ac:dyDescent="0.2">
      <c r="B73" s="92">
        <v>8.7499999999999994E-2</v>
      </c>
      <c r="C73" s="92">
        <v>13.758900000000001</v>
      </c>
      <c r="D73" s="92">
        <v>76.421800000000005</v>
      </c>
      <c r="E73" s="92"/>
      <c r="F73" s="92">
        <v>8.7499999999999994E-2</v>
      </c>
      <c r="G73" s="92">
        <v>13.8993</v>
      </c>
      <c r="H73" s="92">
        <v>76.867199999999997</v>
      </c>
      <c r="I73" s="92"/>
      <c r="J73" s="93">
        <f t="shared" si="5"/>
        <v>0.14039999999999964</v>
      </c>
    </row>
    <row r="74" spans="2:10" x14ac:dyDescent="0.2">
      <c r="B74" s="92">
        <v>8.8888999999999996E-2</v>
      </c>
      <c r="C74" s="92">
        <v>13.729100000000001</v>
      </c>
      <c r="D74" s="92">
        <v>76.408799999999999</v>
      </c>
      <c r="E74" s="92"/>
      <c r="F74" s="92">
        <v>8.8888999999999996E-2</v>
      </c>
      <c r="G74" s="92">
        <v>13.9293</v>
      </c>
      <c r="H74" s="92">
        <v>76.842399999999998</v>
      </c>
      <c r="I74" s="92"/>
      <c r="J74" s="93">
        <f t="shared" si="5"/>
        <v>0.20019999999999882</v>
      </c>
    </row>
    <row r="75" spans="2:10" x14ac:dyDescent="0.2">
      <c r="B75" s="92">
        <v>9.0277999999999997E-2</v>
      </c>
      <c r="C75" s="92">
        <v>13.777100000000001</v>
      </c>
      <c r="D75" s="92">
        <v>76.394199999999998</v>
      </c>
      <c r="E75" s="92"/>
      <c r="F75" s="92">
        <v>9.0277999999999997E-2</v>
      </c>
      <c r="G75" s="92">
        <v>13.9498</v>
      </c>
      <c r="H75" s="92">
        <v>76.820899999999995</v>
      </c>
      <c r="I75" s="92"/>
      <c r="J75" s="93">
        <f t="shared" ref="J75:J138" si="8">+ABS(G75-C75)</f>
        <v>0.17269999999999897</v>
      </c>
    </row>
    <row r="76" spans="2:10" x14ac:dyDescent="0.2">
      <c r="B76" s="92">
        <v>9.1666999999999998E-2</v>
      </c>
      <c r="C76" s="92">
        <v>13.7523</v>
      </c>
      <c r="D76" s="92">
        <v>76.382900000000006</v>
      </c>
      <c r="E76" s="92"/>
      <c r="F76" s="92">
        <v>9.1666999999999998E-2</v>
      </c>
      <c r="G76" s="92">
        <v>13.9232</v>
      </c>
      <c r="H76" s="92">
        <v>76.810900000000004</v>
      </c>
      <c r="I76" s="92"/>
      <c r="J76" s="93">
        <f t="shared" si="8"/>
        <v>0.17089999999999961</v>
      </c>
    </row>
    <row r="77" spans="2:10" x14ac:dyDescent="0.2">
      <c r="B77" s="92">
        <v>9.3056E-2</v>
      </c>
      <c r="C77" s="92">
        <v>13.770099999999999</v>
      </c>
      <c r="D77" s="92">
        <v>76.358500000000006</v>
      </c>
      <c r="E77" s="92"/>
      <c r="F77" s="92">
        <v>9.3056E-2</v>
      </c>
      <c r="G77" s="92">
        <v>13.8979</v>
      </c>
      <c r="H77" s="92">
        <v>76.787800000000004</v>
      </c>
      <c r="I77" s="92"/>
      <c r="J77" s="93">
        <f t="shared" si="8"/>
        <v>0.12780000000000058</v>
      </c>
    </row>
    <row r="78" spans="2:10" x14ac:dyDescent="0.2">
      <c r="B78" s="92">
        <v>9.4444E-2</v>
      </c>
      <c r="C78" s="92">
        <v>13.740399999999999</v>
      </c>
      <c r="D78" s="92">
        <v>76.345500000000001</v>
      </c>
      <c r="E78" s="92"/>
      <c r="F78" s="92">
        <v>9.4444E-2</v>
      </c>
      <c r="G78" s="92">
        <v>13.921200000000001</v>
      </c>
      <c r="H78" s="92">
        <v>76.784499999999994</v>
      </c>
      <c r="I78" s="92"/>
      <c r="J78" s="93">
        <f t="shared" si="8"/>
        <v>0.1808000000000014</v>
      </c>
    </row>
    <row r="79" spans="2:10" x14ac:dyDescent="0.2">
      <c r="B79" s="92">
        <v>9.5833000000000002E-2</v>
      </c>
      <c r="C79" s="92">
        <v>13.792899999999999</v>
      </c>
      <c r="D79" s="92">
        <v>76.337400000000002</v>
      </c>
      <c r="E79" s="92"/>
      <c r="F79" s="92">
        <v>9.5833000000000002E-2</v>
      </c>
      <c r="G79" s="92">
        <v>13.8995</v>
      </c>
      <c r="H79" s="92">
        <v>76.771199999999993</v>
      </c>
      <c r="I79" s="92"/>
      <c r="J79" s="93">
        <f t="shared" si="8"/>
        <v>0.10660000000000025</v>
      </c>
    </row>
    <row r="80" spans="2:10" x14ac:dyDescent="0.2">
      <c r="B80" s="92">
        <v>9.7222000000000003E-2</v>
      </c>
      <c r="C80" s="92">
        <v>13.754</v>
      </c>
      <c r="D80" s="92">
        <v>76.311499999999995</v>
      </c>
      <c r="E80" s="92"/>
      <c r="F80" s="92">
        <v>9.7222000000000003E-2</v>
      </c>
      <c r="G80" s="92">
        <v>13.9283</v>
      </c>
      <c r="H80" s="92">
        <v>76.757999999999996</v>
      </c>
      <c r="I80" s="92"/>
      <c r="J80" s="93">
        <f t="shared" si="8"/>
        <v>0.17430000000000057</v>
      </c>
    </row>
    <row r="81" spans="2:10" x14ac:dyDescent="0.2">
      <c r="B81" s="92">
        <v>9.8611000000000004E-2</v>
      </c>
      <c r="C81" s="92">
        <v>13.760199999999999</v>
      </c>
      <c r="D81" s="92">
        <v>76.3001</v>
      </c>
      <c r="E81" s="92"/>
      <c r="F81" s="92">
        <v>9.8611000000000004E-2</v>
      </c>
      <c r="G81" s="92">
        <v>13.9475</v>
      </c>
      <c r="H81" s="92">
        <v>76.749700000000004</v>
      </c>
      <c r="I81" s="92"/>
      <c r="J81" s="93">
        <f t="shared" si="8"/>
        <v>0.18730000000000047</v>
      </c>
    </row>
    <row r="82" spans="2:10" x14ac:dyDescent="0.2">
      <c r="B82" s="92">
        <v>0.1</v>
      </c>
      <c r="C82" s="92">
        <v>13.788</v>
      </c>
      <c r="D82" s="92">
        <v>76.280600000000007</v>
      </c>
      <c r="E82" s="92"/>
      <c r="F82" s="92">
        <v>0.1</v>
      </c>
      <c r="G82" s="92">
        <v>13.8935</v>
      </c>
      <c r="H82" s="92">
        <v>76.738100000000003</v>
      </c>
      <c r="I82" s="92"/>
      <c r="J82" s="93">
        <f t="shared" si="8"/>
        <v>0.10549999999999926</v>
      </c>
    </row>
    <row r="83" spans="2:10" x14ac:dyDescent="0.2">
      <c r="B83" s="92">
        <v>0.10138900000000001</v>
      </c>
      <c r="C83" s="92">
        <v>13.8049</v>
      </c>
      <c r="D83" s="92">
        <v>76.266000000000005</v>
      </c>
      <c r="E83" s="92"/>
      <c r="F83" s="92">
        <v>0.10138900000000001</v>
      </c>
      <c r="G83" s="92">
        <v>13.926299999999999</v>
      </c>
      <c r="H83" s="92">
        <v>76.731499999999997</v>
      </c>
      <c r="I83" s="92"/>
      <c r="J83" s="93">
        <f t="shared" si="8"/>
        <v>0.12139999999999951</v>
      </c>
    </row>
    <row r="84" spans="2:10" x14ac:dyDescent="0.2">
      <c r="B84" s="92">
        <v>0.10277799999999999</v>
      </c>
      <c r="C84" s="92">
        <v>13.7446</v>
      </c>
      <c r="D84" s="92">
        <v>76.248199999999997</v>
      </c>
      <c r="E84" s="92"/>
      <c r="F84" s="92">
        <v>0.10277799999999999</v>
      </c>
      <c r="G84" s="92">
        <v>13.9002</v>
      </c>
      <c r="H84" s="92">
        <v>76.7166</v>
      </c>
      <c r="I84" s="92"/>
      <c r="J84" s="93">
        <f t="shared" si="8"/>
        <v>0.15559999999999974</v>
      </c>
    </row>
    <row r="85" spans="2:10" x14ac:dyDescent="0.2">
      <c r="B85" s="92">
        <v>0.104167</v>
      </c>
      <c r="C85" s="92">
        <v>13.725</v>
      </c>
      <c r="D85" s="92">
        <v>76.236800000000002</v>
      </c>
      <c r="E85" s="92"/>
      <c r="F85" s="92">
        <v>0.104167</v>
      </c>
      <c r="G85" s="92">
        <v>13.946199999999999</v>
      </c>
      <c r="H85" s="92">
        <v>76.7166</v>
      </c>
      <c r="I85" s="92"/>
      <c r="J85" s="93">
        <f t="shared" si="8"/>
        <v>0.22119999999999962</v>
      </c>
    </row>
    <row r="86" spans="2:10" x14ac:dyDescent="0.2">
      <c r="B86" s="92">
        <v>0.105556</v>
      </c>
      <c r="C86" s="92">
        <v>13.751899999999999</v>
      </c>
      <c r="D86" s="92">
        <v>76.225399999999993</v>
      </c>
      <c r="E86" s="92"/>
      <c r="F86" s="92">
        <v>0.105556</v>
      </c>
      <c r="G86" s="92">
        <v>13.952</v>
      </c>
      <c r="H86" s="92">
        <v>76.703400000000002</v>
      </c>
      <c r="I86" s="92"/>
      <c r="J86" s="93">
        <f t="shared" si="8"/>
        <v>0.20010000000000083</v>
      </c>
    </row>
    <row r="87" spans="2:10" x14ac:dyDescent="0.2">
      <c r="B87" s="92">
        <v>0.106944</v>
      </c>
      <c r="C87" s="92">
        <v>13.783899999999999</v>
      </c>
      <c r="D87" s="92">
        <v>76.215699999999998</v>
      </c>
      <c r="E87" s="92"/>
      <c r="F87" s="92">
        <v>0.106944</v>
      </c>
      <c r="G87" s="92">
        <v>13.916399999999999</v>
      </c>
      <c r="H87" s="92">
        <v>76.691800000000001</v>
      </c>
      <c r="I87" s="92"/>
      <c r="J87" s="93">
        <f t="shared" si="8"/>
        <v>0.13250000000000028</v>
      </c>
    </row>
    <row r="88" spans="2:10" x14ac:dyDescent="0.2">
      <c r="B88" s="92">
        <v>0.108333</v>
      </c>
      <c r="C88" s="92">
        <v>13.795199999999999</v>
      </c>
      <c r="D88" s="92">
        <v>76.206000000000003</v>
      </c>
      <c r="E88" s="92"/>
      <c r="F88" s="92">
        <v>0.108333</v>
      </c>
      <c r="G88" s="92">
        <v>13.917</v>
      </c>
      <c r="H88" s="92">
        <v>76.685199999999995</v>
      </c>
      <c r="I88" s="92"/>
      <c r="J88" s="93">
        <f t="shared" si="8"/>
        <v>0.12180000000000035</v>
      </c>
    </row>
    <row r="89" spans="2:10" x14ac:dyDescent="0.2">
      <c r="B89" s="92">
        <v>0.109722</v>
      </c>
      <c r="C89" s="92">
        <v>13.7643</v>
      </c>
      <c r="D89" s="92">
        <v>76.204300000000003</v>
      </c>
      <c r="E89" s="92"/>
      <c r="F89" s="92">
        <v>0.109722</v>
      </c>
      <c r="G89" s="92">
        <v>13.9091</v>
      </c>
      <c r="H89" s="92">
        <v>76.671899999999994</v>
      </c>
      <c r="I89" s="92"/>
      <c r="J89" s="93">
        <f t="shared" si="8"/>
        <v>0.14480000000000004</v>
      </c>
    </row>
    <row r="90" spans="2:10" x14ac:dyDescent="0.2">
      <c r="B90" s="92">
        <v>0.111111</v>
      </c>
      <c r="C90" s="92">
        <v>13.7141</v>
      </c>
      <c r="D90" s="92">
        <v>76.188100000000006</v>
      </c>
      <c r="E90" s="92"/>
      <c r="F90" s="92">
        <v>0.111111</v>
      </c>
      <c r="G90" s="92">
        <v>13.9283</v>
      </c>
      <c r="H90" s="92">
        <v>76.663700000000006</v>
      </c>
      <c r="I90" s="92"/>
      <c r="J90" s="93">
        <f t="shared" si="8"/>
        <v>0.21419999999999995</v>
      </c>
    </row>
    <row r="91" spans="2:10" x14ac:dyDescent="0.2">
      <c r="B91" s="92">
        <v>0.1125</v>
      </c>
      <c r="C91" s="92">
        <v>13.7499</v>
      </c>
      <c r="D91" s="92">
        <v>76.192999999999998</v>
      </c>
      <c r="E91" s="92"/>
      <c r="F91" s="92">
        <v>0.1125</v>
      </c>
      <c r="G91" s="92">
        <v>13.9345</v>
      </c>
      <c r="H91" s="92">
        <v>76.647099999999995</v>
      </c>
      <c r="I91" s="92"/>
      <c r="J91" s="93">
        <f t="shared" si="8"/>
        <v>0.18459999999999965</v>
      </c>
    </row>
    <row r="92" spans="2:10" x14ac:dyDescent="0.2">
      <c r="B92" s="92">
        <v>0.113889</v>
      </c>
      <c r="C92" s="92">
        <v>13.730399999999999</v>
      </c>
      <c r="D92" s="92">
        <v>76.180000000000007</v>
      </c>
      <c r="E92" s="92"/>
      <c r="F92" s="92">
        <v>0.113889</v>
      </c>
      <c r="G92" s="92">
        <v>13.9398</v>
      </c>
      <c r="H92" s="92">
        <v>76.640500000000003</v>
      </c>
      <c r="I92" s="92"/>
      <c r="J92" s="93">
        <f t="shared" si="8"/>
        <v>0.20940000000000047</v>
      </c>
    </row>
    <row r="93" spans="2:10" x14ac:dyDescent="0.2">
      <c r="B93" s="92">
        <v>0.11527800000000001</v>
      </c>
      <c r="C93" s="92">
        <v>13.7521</v>
      </c>
      <c r="D93" s="92">
        <v>76.170299999999997</v>
      </c>
      <c r="E93" s="92"/>
      <c r="F93" s="92">
        <v>0.11527800000000001</v>
      </c>
      <c r="G93" s="92">
        <v>13.9322</v>
      </c>
      <c r="H93" s="92">
        <v>76.623999999999995</v>
      </c>
      <c r="I93" s="92"/>
      <c r="J93" s="93">
        <f t="shared" si="8"/>
        <v>0.18009999999999948</v>
      </c>
    </row>
    <row r="94" spans="2:10" x14ac:dyDescent="0.2">
      <c r="B94" s="92">
        <v>0.11666700000000001</v>
      </c>
      <c r="C94" s="92">
        <v>13.737500000000001</v>
      </c>
      <c r="D94" s="92">
        <v>76.160499999999999</v>
      </c>
      <c r="E94" s="92"/>
      <c r="F94" s="92">
        <v>0.11666700000000001</v>
      </c>
      <c r="G94" s="92">
        <v>13.8918</v>
      </c>
      <c r="H94" s="92">
        <v>76.614000000000004</v>
      </c>
      <c r="I94" s="92"/>
      <c r="J94" s="93">
        <f t="shared" si="8"/>
        <v>0.15429999999999922</v>
      </c>
    </row>
    <row r="95" spans="2:10" x14ac:dyDescent="0.2">
      <c r="B95" s="92">
        <v>0.11805599999999999</v>
      </c>
      <c r="C95" s="92">
        <v>13.732900000000001</v>
      </c>
      <c r="D95" s="92">
        <v>76.153999999999996</v>
      </c>
      <c r="E95" s="92"/>
      <c r="F95" s="92">
        <v>0.11805599999999999</v>
      </c>
      <c r="G95" s="92">
        <v>13.911799999999999</v>
      </c>
      <c r="H95" s="92">
        <v>76.597499999999997</v>
      </c>
      <c r="I95" s="92"/>
      <c r="J95" s="93">
        <f t="shared" si="8"/>
        <v>0.17889999999999873</v>
      </c>
    </row>
    <row r="96" spans="2:10" x14ac:dyDescent="0.2">
      <c r="B96" s="92">
        <v>0.11944399999999999</v>
      </c>
      <c r="C96" s="92">
        <v>13.7386</v>
      </c>
      <c r="D96" s="92">
        <v>76.149199999999993</v>
      </c>
      <c r="E96" s="92"/>
      <c r="F96" s="92">
        <v>0.11944399999999999</v>
      </c>
      <c r="G96" s="92">
        <v>13.894399999999999</v>
      </c>
      <c r="H96" s="92">
        <v>76.587599999999995</v>
      </c>
      <c r="I96" s="92"/>
      <c r="J96" s="93">
        <f t="shared" si="8"/>
        <v>0.15579999999999927</v>
      </c>
    </row>
    <row r="97" spans="2:10" x14ac:dyDescent="0.2">
      <c r="B97" s="92">
        <v>0.120833</v>
      </c>
      <c r="C97" s="92">
        <v>13.7027</v>
      </c>
      <c r="D97" s="92">
        <v>76.145899999999997</v>
      </c>
      <c r="E97" s="92"/>
      <c r="F97" s="92">
        <v>0.120833</v>
      </c>
      <c r="G97" s="92">
        <v>13.9185</v>
      </c>
      <c r="H97" s="92">
        <v>76.575999999999993</v>
      </c>
      <c r="I97" s="92"/>
      <c r="J97" s="93">
        <f t="shared" si="8"/>
        <v>0.21579999999999977</v>
      </c>
    </row>
    <row r="98" spans="2:10" x14ac:dyDescent="0.2">
      <c r="B98" s="92">
        <v>0.122222</v>
      </c>
      <c r="C98" s="92">
        <v>13.749700000000001</v>
      </c>
      <c r="D98" s="92">
        <v>76.141099999999994</v>
      </c>
      <c r="E98" s="92"/>
      <c r="F98" s="92">
        <v>0.122222</v>
      </c>
      <c r="G98" s="92">
        <v>13.938000000000001</v>
      </c>
      <c r="H98" s="92">
        <v>76.564400000000006</v>
      </c>
      <c r="I98" s="92"/>
      <c r="J98" s="93">
        <f t="shared" si="8"/>
        <v>0.18829999999999991</v>
      </c>
    </row>
    <row r="99" spans="2:10" x14ac:dyDescent="0.2">
      <c r="B99" s="92">
        <v>0.123611</v>
      </c>
      <c r="C99" s="92">
        <v>13.7196</v>
      </c>
      <c r="D99" s="92">
        <v>76.131299999999996</v>
      </c>
      <c r="E99" s="92"/>
      <c r="F99" s="92">
        <v>0.123611</v>
      </c>
      <c r="G99" s="92">
        <v>13.9122</v>
      </c>
      <c r="H99" s="92">
        <v>76.546199999999999</v>
      </c>
      <c r="I99" s="92"/>
      <c r="J99" s="93">
        <f t="shared" si="8"/>
        <v>0.19260000000000055</v>
      </c>
    </row>
    <row r="100" spans="2:10" x14ac:dyDescent="0.2">
      <c r="B100" s="92">
        <v>0.125</v>
      </c>
      <c r="C100" s="92">
        <v>13.750500000000001</v>
      </c>
      <c r="D100" s="92">
        <v>76.132900000000006</v>
      </c>
      <c r="E100" s="92"/>
      <c r="F100" s="92">
        <v>0.125</v>
      </c>
      <c r="G100" s="92">
        <v>13.913500000000001</v>
      </c>
      <c r="H100" s="92">
        <v>76.532899999999998</v>
      </c>
      <c r="I100" s="92"/>
      <c r="J100" s="93">
        <f t="shared" si="8"/>
        <v>0.16300000000000026</v>
      </c>
    </row>
    <row r="101" spans="2:10" x14ac:dyDescent="0.2">
      <c r="B101" s="92">
        <v>0.126389</v>
      </c>
      <c r="C101" s="92">
        <v>13.731400000000001</v>
      </c>
      <c r="D101" s="92">
        <v>76.116699999999994</v>
      </c>
      <c r="E101" s="92"/>
      <c r="F101" s="92">
        <v>0.126389</v>
      </c>
      <c r="G101" s="92">
        <v>13.923999999999999</v>
      </c>
      <c r="H101" s="92">
        <v>76.5197</v>
      </c>
      <c r="I101" s="92"/>
      <c r="J101" s="93">
        <f t="shared" si="8"/>
        <v>0.19259999999999877</v>
      </c>
    </row>
    <row r="102" spans="2:10" x14ac:dyDescent="0.2">
      <c r="B102" s="92">
        <v>0.127778</v>
      </c>
      <c r="C102" s="92">
        <v>13.7776</v>
      </c>
      <c r="D102" s="92">
        <v>76.12</v>
      </c>
      <c r="E102" s="92"/>
      <c r="F102" s="92">
        <v>0.127778</v>
      </c>
      <c r="G102" s="92">
        <v>13.892899999999999</v>
      </c>
      <c r="H102" s="92">
        <v>76.508099999999999</v>
      </c>
      <c r="I102" s="92"/>
      <c r="J102" s="93">
        <f t="shared" si="8"/>
        <v>0.11529999999999951</v>
      </c>
    </row>
    <row r="103" spans="2:10" x14ac:dyDescent="0.2">
      <c r="B103" s="92">
        <v>0.129167</v>
      </c>
      <c r="C103" s="92">
        <v>13.752800000000001</v>
      </c>
      <c r="D103" s="92">
        <v>76.108599999999996</v>
      </c>
      <c r="E103" s="92"/>
      <c r="F103" s="92">
        <v>0.129167</v>
      </c>
      <c r="G103" s="92">
        <v>13.9178</v>
      </c>
      <c r="H103" s="92">
        <v>76.488299999999995</v>
      </c>
      <c r="I103" s="92"/>
      <c r="J103" s="93">
        <f t="shared" si="8"/>
        <v>0.16499999999999915</v>
      </c>
    </row>
    <row r="104" spans="2:10" x14ac:dyDescent="0.2">
      <c r="B104" s="92">
        <v>0.13055600000000001</v>
      </c>
      <c r="C104" s="92">
        <v>13.738300000000001</v>
      </c>
      <c r="D104" s="92">
        <v>76.0989</v>
      </c>
      <c r="E104" s="92"/>
      <c r="F104" s="92">
        <v>0.13055600000000001</v>
      </c>
      <c r="G104" s="92">
        <v>13.9094</v>
      </c>
      <c r="H104" s="92">
        <v>76.48</v>
      </c>
      <c r="I104" s="92"/>
      <c r="J104" s="93">
        <f t="shared" si="8"/>
        <v>0.17109999999999914</v>
      </c>
    </row>
    <row r="105" spans="2:10" x14ac:dyDescent="0.2">
      <c r="B105" s="92">
        <v>0.13194400000000001</v>
      </c>
      <c r="C105" s="92">
        <v>13.7492</v>
      </c>
      <c r="D105" s="92">
        <v>76.092399999999998</v>
      </c>
      <c r="E105" s="92"/>
      <c r="F105" s="92">
        <v>0.13194400000000001</v>
      </c>
      <c r="G105" s="92">
        <v>13.9564</v>
      </c>
      <c r="H105" s="92">
        <v>76.470100000000002</v>
      </c>
      <c r="I105" s="92"/>
      <c r="J105" s="93">
        <f t="shared" si="8"/>
        <v>0.20720000000000027</v>
      </c>
    </row>
    <row r="106" spans="2:10" x14ac:dyDescent="0.2">
      <c r="B106" s="92">
        <v>0.13333300000000001</v>
      </c>
      <c r="C106" s="92">
        <v>13.7546</v>
      </c>
      <c r="D106" s="92">
        <v>76.090800000000002</v>
      </c>
      <c r="E106" s="92"/>
      <c r="F106" s="92">
        <v>0.13333300000000001</v>
      </c>
      <c r="G106" s="92">
        <v>13.925800000000001</v>
      </c>
      <c r="H106" s="92">
        <v>76.453500000000005</v>
      </c>
      <c r="I106" s="92"/>
      <c r="J106" s="93">
        <f t="shared" si="8"/>
        <v>0.17120000000000068</v>
      </c>
    </row>
    <row r="107" spans="2:10" x14ac:dyDescent="0.2">
      <c r="B107" s="92">
        <v>0.13472200000000001</v>
      </c>
      <c r="C107" s="92">
        <v>13.750500000000001</v>
      </c>
      <c r="D107" s="92">
        <v>76.079400000000007</v>
      </c>
      <c r="E107" s="92"/>
      <c r="F107" s="92">
        <v>0.13472200000000001</v>
      </c>
      <c r="G107" s="92">
        <v>13.9772</v>
      </c>
      <c r="H107" s="92">
        <v>76.4452</v>
      </c>
      <c r="I107" s="92"/>
      <c r="J107" s="93">
        <f t="shared" si="8"/>
        <v>0.22669999999999924</v>
      </c>
    </row>
    <row r="108" spans="2:10" x14ac:dyDescent="0.2">
      <c r="B108" s="92">
        <v>0.13611100000000001</v>
      </c>
      <c r="C108" s="92">
        <v>13.7356</v>
      </c>
      <c r="D108" s="92">
        <v>76.072900000000004</v>
      </c>
      <c r="E108" s="92"/>
      <c r="F108" s="92">
        <v>0.13611100000000001</v>
      </c>
      <c r="G108" s="92">
        <v>13.9374</v>
      </c>
      <c r="H108" s="92">
        <v>76.428700000000006</v>
      </c>
      <c r="I108" s="92"/>
      <c r="J108" s="93">
        <f t="shared" si="8"/>
        <v>0.20180000000000042</v>
      </c>
    </row>
    <row r="109" spans="2:10" x14ac:dyDescent="0.2">
      <c r="B109" s="92">
        <v>0.13750000000000001</v>
      </c>
      <c r="C109" s="92">
        <v>13.7981</v>
      </c>
      <c r="D109" s="92">
        <v>76.067999999999998</v>
      </c>
      <c r="E109" s="92"/>
      <c r="F109" s="92">
        <v>0.13750000000000001</v>
      </c>
      <c r="G109" s="92">
        <v>13.92</v>
      </c>
      <c r="H109" s="92">
        <v>76.418800000000005</v>
      </c>
      <c r="I109" s="92"/>
      <c r="J109" s="93">
        <f t="shared" si="8"/>
        <v>0.12190000000000012</v>
      </c>
    </row>
    <row r="110" spans="2:10" x14ac:dyDescent="0.2">
      <c r="B110" s="92">
        <v>0.13888900000000001</v>
      </c>
      <c r="C110" s="92">
        <v>13.746600000000001</v>
      </c>
      <c r="D110" s="92">
        <v>76.066400000000002</v>
      </c>
      <c r="E110" s="92"/>
      <c r="F110" s="92">
        <v>0.13888900000000001</v>
      </c>
      <c r="G110" s="92">
        <v>31.442799999999998</v>
      </c>
      <c r="H110" s="92">
        <v>76.403899999999993</v>
      </c>
      <c r="I110" s="92"/>
      <c r="J110" s="93">
        <f t="shared" si="8"/>
        <v>17.696199999999997</v>
      </c>
    </row>
    <row r="111" spans="2:10" x14ac:dyDescent="0.2">
      <c r="B111" s="92">
        <v>0.14027800000000001</v>
      </c>
      <c r="C111" s="92">
        <v>56.520600000000002</v>
      </c>
      <c r="D111" s="92">
        <v>76.066400000000002</v>
      </c>
      <c r="E111" s="92"/>
      <c r="F111" s="92">
        <v>0.14027800000000001</v>
      </c>
      <c r="G111" s="92">
        <v>81.485600000000005</v>
      </c>
      <c r="H111" s="92">
        <v>76.403899999999993</v>
      </c>
      <c r="I111" s="92"/>
      <c r="J111" s="93">
        <f t="shared" si="8"/>
        <v>24.965000000000003</v>
      </c>
    </row>
    <row r="112" spans="2:10" x14ac:dyDescent="0.2">
      <c r="B112" s="92">
        <v>0.14166699999999999</v>
      </c>
      <c r="C112" s="92">
        <v>106.008</v>
      </c>
      <c r="D112" s="92">
        <v>76.081000000000003</v>
      </c>
      <c r="E112" s="92"/>
      <c r="F112" s="92">
        <v>0.14166699999999999</v>
      </c>
      <c r="G112" s="92">
        <v>146.50149999999999</v>
      </c>
      <c r="H112" s="92">
        <v>76.4221</v>
      </c>
      <c r="I112" s="92"/>
      <c r="J112" s="93">
        <f t="shared" si="8"/>
        <v>40.493499999999997</v>
      </c>
    </row>
    <row r="113" spans="2:10" x14ac:dyDescent="0.2">
      <c r="B113" s="92">
        <v>0.14305599999999999</v>
      </c>
      <c r="C113" s="92">
        <v>191.89449999999999</v>
      </c>
      <c r="D113" s="92">
        <v>76.082599999999999</v>
      </c>
      <c r="E113" s="92"/>
      <c r="F113" s="92">
        <v>0.14305599999999999</v>
      </c>
      <c r="G113" s="92">
        <v>245.99809999999999</v>
      </c>
      <c r="H113" s="92">
        <v>76.450199999999995</v>
      </c>
      <c r="I113" s="92"/>
      <c r="J113" s="93">
        <f t="shared" si="8"/>
        <v>54.1036</v>
      </c>
    </row>
    <row r="114" spans="2:10" x14ac:dyDescent="0.2">
      <c r="B114" s="92">
        <v>0.14444399999999999</v>
      </c>
      <c r="C114" s="92">
        <v>332.3229</v>
      </c>
      <c r="D114" s="92">
        <v>76.084299999999999</v>
      </c>
      <c r="E114" s="92"/>
      <c r="F114" s="92">
        <v>0.14444399999999999</v>
      </c>
      <c r="G114" s="92">
        <v>445.05419999999998</v>
      </c>
      <c r="H114" s="92">
        <v>76.541200000000003</v>
      </c>
      <c r="I114" s="92"/>
      <c r="J114" s="93">
        <f t="shared" si="8"/>
        <v>112.73129999999998</v>
      </c>
    </row>
    <row r="115" spans="2:10" x14ac:dyDescent="0.2">
      <c r="B115" s="92">
        <v>0.14583299999999999</v>
      </c>
      <c r="C115" s="92">
        <v>556.67560000000003</v>
      </c>
      <c r="D115" s="92">
        <v>76.097200000000001</v>
      </c>
      <c r="E115" s="92"/>
      <c r="F115" s="92">
        <v>0.14583299999999999</v>
      </c>
      <c r="G115" s="92">
        <v>655.51340000000005</v>
      </c>
      <c r="H115" s="92">
        <v>76.670299999999997</v>
      </c>
      <c r="I115" s="92"/>
      <c r="J115" s="93">
        <f t="shared" si="8"/>
        <v>98.837800000000016</v>
      </c>
    </row>
    <row r="116" spans="2:10" x14ac:dyDescent="0.2">
      <c r="B116" s="92">
        <v>0.14722199999999999</v>
      </c>
      <c r="C116" s="92">
        <v>698.0634</v>
      </c>
      <c r="D116" s="92">
        <v>76.0745</v>
      </c>
      <c r="E116" s="92"/>
      <c r="F116" s="92">
        <v>0.14722199999999999</v>
      </c>
      <c r="G116" s="92">
        <v>698.0838</v>
      </c>
      <c r="H116" s="92">
        <v>76.769599999999997</v>
      </c>
      <c r="I116" s="92"/>
      <c r="J116" s="93">
        <f t="shared" si="8"/>
        <v>2.0399999999995089E-2</v>
      </c>
    </row>
    <row r="117" spans="2:10" x14ac:dyDescent="0.2">
      <c r="B117" s="92">
        <v>0.14861099999999999</v>
      </c>
      <c r="C117" s="92">
        <v>698.73469999999998</v>
      </c>
      <c r="D117" s="92">
        <v>76.014499999999998</v>
      </c>
      <c r="E117" s="92"/>
      <c r="F117" s="92">
        <v>0.14861099999999999</v>
      </c>
      <c r="G117" s="92">
        <v>698.99620000000004</v>
      </c>
      <c r="H117" s="92">
        <v>76.8887</v>
      </c>
      <c r="I117" s="92"/>
      <c r="J117" s="93">
        <f t="shared" si="8"/>
        <v>0.26150000000006912</v>
      </c>
    </row>
    <row r="118" spans="2:10" x14ac:dyDescent="0.2">
      <c r="B118" s="92">
        <v>0.15</v>
      </c>
      <c r="C118" s="92">
        <v>699.14369999999997</v>
      </c>
      <c r="D118" s="92">
        <v>75.962599999999995</v>
      </c>
      <c r="E118" s="92"/>
      <c r="F118" s="92">
        <v>0.15</v>
      </c>
      <c r="G118" s="92">
        <v>699.37180000000001</v>
      </c>
      <c r="H118" s="92">
        <v>76.978099999999998</v>
      </c>
      <c r="I118" s="92"/>
      <c r="J118" s="93">
        <f t="shared" si="8"/>
        <v>0.22810000000004038</v>
      </c>
    </row>
    <row r="119" spans="2:10" x14ac:dyDescent="0.2">
      <c r="B119" s="92">
        <v>0.151389</v>
      </c>
      <c r="C119" s="92">
        <v>699.43020000000001</v>
      </c>
      <c r="D119" s="92">
        <v>75.905799999999999</v>
      </c>
      <c r="E119" s="92"/>
      <c r="F119" s="92">
        <v>0.151389</v>
      </c>
      <c r="G119" s="92">
        <v>699.49099999999999</v>
      </c>
      <c r="H119" s="92">
        <v>77.044300000000007</v>
      </c>
      <c r="I119" s="92"/>
      <c r="J119" s="93">
        <f t="shared" si="8"/>
        <v>6.0799999999971988E-2</v>
      </c>
    </row>
    <row r="120" spans="2:10" x14ac:dyDescent="0.2">
      <c r="B120" s="92">
        <v>0.152778</v>
      </c>
      <c r="C120" s="92">
        <v>699.53440000000001</v>
      </c>
      <c r="D120" s="92">
        <v>75.853899999999996</v>
      </c>
      <c r="E120" s="92"/>
      <c r="F120" s="92">
        <v>0.152778</v>
      </c>
      <c r="G120" s="92">
        <v>699.50670000000002</v>
      </c>
      <c r="H120" s="92">
        <v>77.088899999999995</v>
      </c>
      <c r="I120" s="92"/>
      <c r="J120" s="93">
        <f t="shared" si="8"/>
        <v>2.7699999999981628E-2</v>
      </c>
    </row>
    <row r="121" spans="2:10" x14ac:dyDescent="0.2">
      <c r="B121" s="92">
        <v>0.154167</v>
      </c>
      <c r="C121" s="92">
        <v>699.58209999999997</v>
      </c>
      <c r="D121" s="92">
        <v>75.789000000000001</v>
      </c>
      <c r="E121" s="92"/>
      <c r="F121" s="92">
        <v>0.154167</v>
      </c>
      <c r="G121" s="92">
        <v>699.56230000000005</v>
      </c>
      <c r="H121" s="92">
        <v>77.113799999999998</v>
      </c>
      <c r="I121" s="92"/>
      <c r="J121" s="93">
        <f t="shared" si="8"/>
        <v>1.9799999999918327E-2</v>
      </c>
    </row>
    <row r="122" spans="2:10" x14ac:dyDescent="0.2">
      <c r="B122" s="92">
        <v>0.155556</v>
      </c>
      <c r="C122" s="92">
        <v>699.57010000000002</v>
      </c>
      <c r="D122" s="92">
        <v>75.740300000000005</v>
      </c>
      <c r="E122" s="92"/>
      <c r="F122" s="92">
        <v>0.155556</v>
      </c>
      <c r="G122" s="92">
        <v>699.60320000000002</v>
      </c>
      <c r="H122" s="92">
        <v>77.125299999999996</v>
      </c>
      <c r="I122" s="92"/>
      <c r="J122" s="93">
        <f t="shared" si="8"/>
        <v>3.3099999999990359E-2</v>
      </c>
    </row>
    <row r="123" spans="2:10" x14ac:dyDescent="0.2">
      <c r="B123" s="92">
        <v>0.156944</v>
      </c>
      <c r="C123" s="92">
        <v>699.71019999999999</v>
      </c>
      <c r="D123" s="92">
        <v>75.701300000000003</v>
      </c>
      <c r="E123" s="92"/>
      <c r="F123" s="92">
        <v>0.156944</v>
      </c>
      <c r="G123" s="92">
        <v>699.67259999999999</v>
      </c>
      <c r="H123" s="92">
        <v>77.132000000000005</v>
      </c>
      <c r="I123" s="92"/>
      <c r="J123" s="93">
        <f t="shared" si="8"/>
        <v>3.7599999999997635E-2</v>
      </c>
    </row>
    <row r="124" spans="2:10" x14ac:dyDescent="0.2">
      <c r="B124" s="92">
        <v>0.158333</v>
      </c>
      <c r="C124" s="92">
        <v>699.73299999999995</v>
      </c>
      <c r="D124" s="92">
        <v>75.657499999999999</v>
      </c>
      <c r="E124" s="92"/>
      <c r="F124" s="92">
        <v>0.158333</v>
      </c>
      <c r="G124" s="92">
        <v>699.70680000000004</v>
      </c>
      <c r="H124" s="92">
        <v>77.128600000000006</v>
      </c>
      <c r="I124" s="92"/>
      <c r="J124" s="93">
        <f t="shared" si="8"/>
        <v>2.6199999999903412E-2</v>
      </c>
    </row>
    <row r="125" spans="2:10" x14ac:dyDescent="0.2">
      <c r="B125" s="92">
        <v>0.159722</v>
      </c>
      <c r="C125" s="92">
        <v>699.75720000000001</v>
      </c>
      <c r="D125" s="92">
        <v>75.602400000000003</v>
      </c>
      <c r="E125" s="92"/>
      <c r="F125" s="92">
        <v>0.159722</v>
      </c>
      <c r="G125" s="92">
        <v>699.73720000000003</v>
      </c>
      <c r="H125" s="92">
        <v>77.102199999999996</v>
      </c>
      <c r="I125" s="92"/>
      <c r="J125" s="93">
        <f t="shared" si="8"/>
        <v>1.999999999998181E-2</v>
      </c>
    </row>
    <row r="126" spans="2:10" x14ac:dyDescent="0.2">
      <c r="B126" s="92">
        <v>0.161111</v>
      </c>
      <c r="C126" s="92">
        <v>699.74</v>
      </c>
      <c r="D126" s="92">
        <v>75.553700000000006</v>
      </c>
      <c r="E126" s="92"/>
      <c r="F126" s="92">
        <v>0.161111</v>
      </c>
      <c r="G126" s="92">
        <v>699.71410000000003</v>
      </c>
      <c r="H126" s="92">
        <v>77.065799999999996</v>
      </c>
      <c r="I126" s="92"/>
      <c r="J126" s="93">
        <f t="shared" si="8"/>
        <v>2.5899999999978718E-2</v>
      </c>
    </row>
    <row r="127" spans="2:10" x14ac:dyDescent="0.2">
      <c r="B127" s="92">
        <v>0.16250000000000001</v>
      </c>
      <c r="C127" s="92">
        <v>699.74800000000005</v>
      </c>
      <c r="D127" s="92">
        <v>75.537499999999994</v>
      </c>
      <c r="E127" s="92"/>
      <c r="F127" s="92">
        <v>0.16250000000000001</v>
      </c>
      <c r="G127" s="92">
        <v>699.72230000000002</v>
      </c>
      <c r="H127" s="92">
        <v>77.034300000000002</v>
      </c>
      <c r="I127" s="92"/>
      <c r="J127" s="93">
        <f t="shared" si="8"/>
        <v>2.5700000000028922E-2</v>
      </c>
    </row>
    <row r="128" spans="2:10" x14ac:dyDescent="0.2">
      <c r="B128" s="92">
        <v>0.16388900000000001</v>
      </c>
      <c r="C128" s="92">
        <v>699.73400000000004</v>
      </c>
      <c r="D128" s="92">
        <v>75.5261</v>
      </c>
      <c r="E128" s="92"/>
      <c r="F128" s="92">
        <v>0.16388900000000001</v>
      </c>
      <c r="G128" s="92">
        <v>699.75480000000005</v>
      </c>
      <c r="H128" s="92">
        <v>77.004499999999993</v>
      </c>
      <c r="I128" s="92"/>
      <c r="J128" s="93">
        <f t="shared" si="8"/>
        <v>2.0800000000008367E-2</v>
      </c>
    </row>
    <row r="129" spans="2:10" x14ac:dyDescent="0.2">
      <c r="B129" s="92">
        <v>0.16527800000000001</v>
      </c>
      <c r="C129" s="92">
        <v>699.76649999999995</v>
      </c>
      <c r="D129" s="92">
        <v>75.514799999999994</v>
      </c>
      <c r="E129" s="92"/>
      <c r="F129" s="92">
        <v>0.16527800000000001</v>
      </c>
      <c r="G129" s="92">
        <v>699.74590000000001</v>
      </c>
      <c r="H129" s="92">
        <v>76.974800000000002</v>
      </c>
      <c r="I129" s="92"/>
      <c r="J129" s="93">
        <f t="shared" si="8"/>
        <v>2.0599999999944885E-2</v>
      </c>
    </row>
    <row r="130" spans="2:10" x14ac:dyDescent="0.2">
      <c r="B130" s="92">
        <v>0.16666700000000001</v>
      </c>
      <c r="C130" s="92">
        <v>699.78729999999996</v>
      </c>
      <c r="D130" s="92">
        <v>75.508300000000006</v>
      </c>
      <c r="E130" s="92"/>
      <c r="F130" s="92">
        <v>0.16666700000000001</v>
      </c>
      <c r="G130" s="92">
        <v>699.72119999999995</v>
      </c>
      <c r="H130" s="92">
        <v>76.948300000000003</v>
      </c>
      <c r="I130" s="92"/>
      <c r="J130" s="93">
        <f t="shared" si="8"/>
        <v>6.6100000000005821E-2</v>
      </c>
    </row>
    <row r="131" spans="2:10" x14ac:dyDescent="0.2">
      <c r="B131" s="92">
        <v>0.16805600000000001</v>
      </c>
      <c r="C131" s="92">
        <v>699.76020000000005</v>
      </c>
      <c r="D131" s="92">
        <v>75.506699999999995</v>
      </c>
      <c r="E131" s="92"/>
      <c r="F131" s="92">
        <v>0.16805600000000001</v>
      </c>
      <c r="G131" s="92">
        <v>699.7473</v>
      </c>
      <c r="H131" s="92">
        <v>76.910200000000003</v>
      </c>
      <c r="I131" s="92"/>
      <c r="J131" s="93">
        <f t="shared" si="8"/>
        <v>1.2900000000058753E-2</v>
      </c>
    </row>
    <row r="132" spans="2:10" x14ac:dyDescent="0.2">
      <c r="B132" s="92">
        <v>0.16944400000000001</v>
      </c>
      <c r="C132" s="92">
        <v>699.76009999999997</v>
      </c>
      <c r="D132" s="92">
        <v>75.513099999999994</v>
      </c>
      <c r="E132" s="92"/>
      <c r="F132" s="92">
        <v>0.16944400000000001</v>
      </c>
      <c r="G132" s="92">
        <v>699.75469999999996</v>
      </c>
      <c r="H132" s="92">
        <v>76.883799999999994</v>
      </c>
      <c r="I132" s="92"/>
      <c r="J132" s="93">
        <f t="shared" si="8"/>
        <v>5.4000000000087311E-3</v>
      </c>
    </row>
    <row r="133" spans="2:10" x14ac:dyDescent="0.2">
      <c r="B133" s="92">
        <v>0.17083300000000001</v>
      </c>
      <c r="C133" s="92">
        <v>699.75220000000002</v>
      </c>
      <c r="D133" s="92">
        <v>75.522900000000007</v>
      </c>
      <c r="E133" s="92"/>
      <c r="F133" s="92">
        <v>0.17083300000000001</v>
      </c>
      <c r="G133" s="92">
        <v>699.72619999999995</v>
      </c>
      <c r="H133" s="92">
        <v>76.8523</v>
      </c>
      <c r="I133" s="92"/>
      <c r="J133" s="93">
        <f t="shared" si="8"/>
        <v>2.6000000000067303E-2</v>
      </c>
    </row>
    <row r="134" spans="2:10" x14ac:dyDescent="0.2">
      <c r="B134" s="92">
        <v>0.17222199999999999</v>
      </c>
      <c r="C134" s="92">
        <v>699.7998</v>
      </c>
      <c r="D134" s="92">
        <v>75.531000000000006</v>
      </c>
      <c r="E134" s="92"/>
      <c r="F134" s="92">
        <v>0.17222199999999999</v>
      </c>
      <c r="G134" s="92">
        <v>699.75319999999999</v>
      </c>
      <c r="H134" s="92">
        <v>76.827500000000001</v>
      </c>
      <c r="I134" s="92"/>
      <c r="J134" s="93">
        <f t="shared" si="8"/>
        <v>4.6600000000012187E-2</v>
      </c>
    </row>
    <row r="135" spans="2:10" x14ac:dyDescent="0.2">
      <c r="B135" s="92">
        <v>0.17361099999999999</v>
      </c>
      <c r="C135" s="92">
        <v>699.78930000000003</v>
      </c>
      <c r="D135" s="92">
        <v>75.537499999999994</v>
      </c>
      <c r="E135" s="92"/>
      <c r="F135" s="92">
        <v>0.17361099999999999</v>
      </c>
      <c r="G135" s="92">
        <v>699.72339999999997</v>
      </c>
      <c r="H135" s="92">
        <v>76.794399999999996</v>
      </c>
      <c r="I135" s="92"/>
      <c r="J135" s="93">
        <f t="shared" si="8"/>
        <v>6.5900000000056025E-2</v>
      </c>
    </row>
    <row r="136" spans="2:10" x14ac:dyDescent="0.2">
      <c r="B136" s="92">
        <v>0.17499999999999999</v>
      </c>
      <c r="C136" s="92">
        <v>699.71680000000003</v>
      </c>
      <c r="D136" s="92">
        <v>75.5505</v>
      </c>
      <c r="E136" s="92"/>
      <c r="F136" s="92">
        <v>0.17499999999999999</v>
      </c>
      <c r="G136" s="92">
        <v>699.73249999999996</v>
      </c>
      <c r="H136" s="92">
        <v>76.757999999999996</v>
      </c>
      <c r="I136" s="92"/>
      <c r="J136" s="93">
        <f t="shared" si="8"/>
        <v>1.569999999992433E-2</v>
      </c>
    </row>
    <row r="137" spans="2:10" x14ac:dyDescent="0.2">
      <c r="B137" s="92">
        <v>0.17638899999999999</v>
      </c>
      <c r="C137" s="92">
        <v>699.80449999999996</v>
      </c>
      <c r="D137" s="92">
        <v>75.556899999999999</v>
      </c>
      <c r="E137" s="92"/>
      <c r="F137" s="92">
        <v>0.17638899999999999</v>
      </c>
      <c r="G137" s="92">
        <v>699.74980000000005</v>
      </c>
      <c r="H137" s="92">
        <v>76.726600000000005</v>
      </c>
      <c r="I137" s="92"/>
      <c r="J137" s="93">
        <f t="shared" si="8"/>
        <v>5.4699999999911597E-2</v>
      </c>
    </row>
    <row r="138" spans="2:10" x14ac:dyDescent="0.2">
      <c r="B138" s="92">
        <v>0.17777799999999999</v>
      </c>
      <c r="C138" s="92">
        <v>699.75789999999995</v>
      </c>
      <c r="D138" s="92">
        <v>75.563400000000001</v>
      </c>
      <c r="E138" s="92"/>
      <c r="F138" s="92">
        <v>0.17777799999999999</v>
      </c>
      <c r="G138" s="92">
        <v>699.72720000000004</v>
      </c>
      <c r="H138" s="92">
        <v>76.696799999999996</v>
      </c>
      <c r="I138" s="92"/>
      <c r="J138" s="93">
        <f t="shared" si="8"/>
        <v>3.0699999999910688E-2</v>
      </c>
    </row>
    <row r="139" spans="2:10" x14ac:dyDescent="0.2">
      <c r="B139" s="92">
        <v>0.17916699999999999</v>
      </c>
      <c r="C139" s="92">
        <v>699.76030000000003</v>
      </c>
      <c r="D139" s="92">
        <v>75.5732</v>
      </c>
      <c r="E139" s="92"/>
      <c r="F139" s="92">
        <v>0.17916699999999999</v>
      </c>
      <c r="G139" s="92">
        <v>699.69029999999998</v>
      </c>
      <c r="H139" s="92">
        <v>76.660399999999996</v>
      </c>
      <c r="I139" s="92"/>
      <c r="J139" s="93">
        <f t="shared" ref="J139:J202" si="9">+ABS(G139-C139)</f>
        <v>7.0000000000050022E-2</v>
      </c>
    </row>
    <row r="140" spans="2:10" x14ac:dyDescent="0.2">
      <c r="B140" s="92">
        <v>0.18055599999999999</v>
      </c>
      <c r="C140" s="92">
        <v>699.77940000000001</v>
      </c>
      <c r="D140" s="92">
        <v>75.584500000000006</v>
      </c>
      <c r="E140" s="92"/>
      <c r="F140" s="92">
        <v>0.18055599999999999</v>
      </c>
      <c r="G140" s="92">
        <v>699.74609999999996</v>
      </c>
      <c r="H140" s="92">
        <v>76.637200000000007</v>
      </c>
      <c r="I140" s="92"/>
      <c r="J140" s="93">
        <f t="shared" si="9"/>
        <v>3.3300000000053842E-2</v>
      </c>
    </row>
    <row r="141" spans="2:10" x14ac:dyDescent="0.2">
      <c r="B141" s="92">
        <v>0.18194399999999999</v>
      </c>
      <c r="C141" s="92">
        <v>699.77919999999995</v>
      </c>
      <c r="D141" s="92">
        <v>75.597499999999997</v>
      </c>
      <c r="E141" s="92"/>
      <c r="F141" s="92">
        <v>0.18194399999999999</v>
      </c>
      <c r="G141" s="92">
        <v>699.77139999999997</v>
      </c>
      <c r="H141" s="92">
        <v>76.604100000000003</v>
      </c>
      <c r="I141" s="92"/>
      <c r="J141" s="93">
        <f t="shared" si="9"/>
        <v>7.799999999974716E-3</v>
      </c>
    </row>
    <row r="142" spans="2:10" x14ac:dyDescent="0.2">
      <c r="B142" s="92">
        <v>0.183333</v>
      </c>
      <c r="C142" s="92">
        <v>699.77</v>
      </c>
      <c r="D142" s="92">
        <v>75.605599999999995</v>
      </c>
      <c r="E142" s="92"/>
      <c r="F142" s="92">
        <v>0.183333</v>
      </c>
      <c r="G142" s="92">
        <v>699.78539999999998</v>
      </c>
      <c r="H142" s="92">
        <v>76.574299999999994</v>
      </c>
      <c r="I142" s="92"/>
      <c r="J142" s="93">
        <f t="shared" si="9"/>
        <v>1.5399999999999636E-2</v>
      </c>
    </row>
    <row r="143" spans="2:10" x14ac:dyDescent="0.2">
      <c r="B143" s="92">
        <v>0.184722</v>
      </c>
      <c r="C143" s="92">
        <v>699.78150000000005</v>
      </c>
      <c r="D143" s="92">
        <v>75.613699999999994</v>
      </c>
      <c r="E143" s="92"/>
      <c r="F143" s="92">
        <v>0.184722</v>
      </c>
      <c r="G143" s="92">
        <v>699.7518</v>
      </c>
      <c r="H143" s="92">
        <v>76.536299999999997</v>
      </c>
      <c r="I143" s="92"/>
      <c r="J143" s="93">
        <f t="shared" si="9"/>
        <v>2.9700000000048021E-2</v>
      </c>
    </row>
    <row r="144" spans="2:10" x14ac:dyDescent="0.2">
      <c r="B144" s="92">
        <v>0.186111</v>
      </c>
      <c r="C144" s="92">
        <v>699.79290000000003</v>
      </c>
      <c r="D144" s="92">
        <v>75.628299999999996</v>
      </c>
      <c r="E144" s="92"/>
      <c r="F144" s="92">
        <v>0.186111</v>
      </c>
      <c r="G144" s="92">
        <v>699.76130000000001</v>
      </c>
      <c r="H144" s="92">
        <v>76.506500000000003</v>
      </c>
      <c r="I144" s="92"/>
      <c r="J144" s="93">
        <f t="shared" si="9"/>
        <v>3.160000000002583E-2</v>
      </c>
    </row>
    <row r="145" spans="2:10" x14ac:dyDescent="0.2">
      <c r="B145" s="92">
        <v>0.1875</v>
      </c>
      <c r="C145" s="92">
        <v>699.73969999999997</v>
      </c>
      <c r="D145" s="92">
        <v>75.639700000000005</v>
      </c>
      <c r="E145" s="92"/>
      <c r="F145" s="92">
        <v>0.1875</v>
      </c>
      <c r="G145" s="92">
        <v>699.7373</v>
      </c>
      <c r="H145" s="92">
        <v>76.474999999999994</v>
      </c>
      <c r="I145" s="92"/>
      <c r="J145" s="93">
        <f t="shared" si="9"/>
        <v>2.3999999999659849E-3</v>
      </c>
    </row>
    <row r="146" spans="2:10" x14ac:dyDescent="0.2">
      <c r="B146" s="92">
        <v>0.188889</v>
      </c>
      <c r="C146" s="92">
        <v>699.8143</v>
      </c>
      <c r="D146" s="92">
        <v>75.655900000000003</v>
      </c>
      <c r="E146" s="92"/>
      <c r="F146" s="92">
        <v>0.188889</v>
      </c>
      <c r="G146" s="92">
        <v>699.73260000000005</v>
      </c>
      <c r="H146" s="92">
        <v>76.438599999999994</v>
      </c>
      <c r="I146" s="92"/>
      <c r="J146" s="93">
        <f t="shared" si="9"/>
        <v>8.1699999999955253E-2</v>
      </c>
    </row>
    <row r="147" spans="2:10" x14ac:dyDescent="0.2">
      <c r="B147" s="92">
        <v>0.190278</v>
      </c>
      <c r="C147" s="92">
        <v>699.74829999999997</v>
      </c>
      <c r="D147" s="92">
        <v>75.664000000000001</v>
      </c>
      <c r="E147" s="92"/>
      <c r="F147" s="92">
        <v>0.190278</v>
      </c>
      <c r="G147" s="92">
        <v>699.73990000000003</v>
      </c>
      <c r="H147" s="92">
        <v>76.412199999999999</v>
      </c>
      <c r="I147" s="92"/>
      <c r="J147" s="93">
        <f t="shared" si="9"/>
        <v>8.3999999999377906E-3</v>
      </c>
    </row>
    <row r="148" spans="2:10" x14ac:dyDescent="0.2">
      <c r="B148" s="92">
        <v>0.191667</v>
      </c>
      <c r="C148" s="92">
        <v>699.79190000000006</v>
      </c>
      <c r="D148" s="92">
        <v>75.680199999999999</v>
      </c>
      <c r="E148" s="92"/>
      <c r="F148" s="92">
        <v>0.191667</v>
      </c>
      <c r="G148" s="92">
        <v>699.74810000000002</v>
      </c>
      <c r="H148" s="92">
        <v>76.380700000000004</v>
      </c>
      <c r="I148" s="92"/>
      <c r="J148" s="93">
        <f t="shared" si="9"/>
        <v>4.3800000000032924E-2</v>
      </c>
    </row>
    <row r="149" spans="2:10" x14ac:dyDescent="0.2">
      <c r="B149" s="92">
        <v>0.19305600000000001</v>
      </c>
      <c r="C149" s="92">
        <v>699.7672</v>
      </c>
      <c r="D149" s="92">
        <v>75.688400000000001</v>
      </c>
      <c r="E149" s="92"/>
      <c r="F149" s="92">
        <v>0.19305600000000001</v>
      </c>
      <c r="G149" s="92">
        <v>699.71709999999996</v>
      </c>
      <c r="H149" s="92">
        <v>76.346000000000004</v>
      </c>
      <c r="I149" s="92"/>
      <c r="J149" s="93">
        <f t="shared" si="9"/>
        <v>5.010000000004311E-2</v>
      </c>
    </row>
    <row r="150" spans="2:10" x14ac:dyDescent="0.2">
      <c r="B150" s="92">
        <v>0.19444400000000001</v>
      </c>
      <c r="C150" s="92">
        <v>699.74519999999995</v>
      </c>
      <c r="D150" s="92">
        <v>75.693200000000004</v>
      </c>
      <c r="E150" s="92"/>
      <c r="F150" s="92">
        <v>0.19444400000000001</v>
      </c>
      <c r="G150" s="92">
        <v>699.74940000000004</v>
      </c>
      <c r="H150" s="92">
        <v>76.316199999999995</v>
      </c>
      <c r="I150" s="92"/>
      <c r="J150" s="93">
        <f t="shared" si="9"/>
        <v>4.2000000000825821E-3</v>
      </c>
    </row>
    <row r="151" spans="2:10" x14ac:dyDescent="0.2">
      <c r="B151" s="92">
        <v>0.19583300000000001</v>
      </c>
      <c r="C151" s="92">
        <v>699.73860000000002</v>
      </c>
      <c r="D151" s="92">
        <v>75.704599999999999</v>
      </c>
      <c r="E151" s="92"/>
      <c r="F151" s="92">
        <v>0.19583300000000001</v>
      </c>
      <c r="G151" s="92">
        <v>699.76469999999995</v>
      </c>
      <c r="H151" s="92">
        <v>76.287999999999997</v>
      </c>
      <c r="I151" s="92"/>
      <c r="J151" s="93">
        <f t="shared" si="9"/>
        <v>2.6099999999928514E-2</v>
      </c>
    </row>
    <row r="152" spans="2:10" x14ac:dyDescent="0.2">
      <c r="B152" s="92">
        <v>0.19722200000000001</v>
      </c>
      <c r="C152" s="92">
        <v>699.77440000000001</v>
      </c>
      <c r="D152" s="92">
        <v>75.717600000000004</v>
      </c>
      <c r="E152" s="92"/>
      <c r="F152" s="92">
        <v>0.19722200000000001</v>
      </c>
      <c r="G152" s="92">
        <v>699.73490000000004</v>
      </c>
      <c r="H152" s="92">
        <v>76.254900000000006</v>
      </c>
      <c r="I152" s="92"/>
      <c r="J152" s="93">
        <f t="shared" si="9"/>
        <v>3.9499999999975444E-2</v>
      </c>
    </row>
    <row r="153" spans="2:10" x14ac:dyDescent="0.2">
      <c r="B153" s="92">
        <v>0.19861100000000001</v>
      </c>
      <c r="C153" s="92">
        <v>699.78449999999998</v>
      </c>
      <c r="D153" s="92">
        <v>75.730500000000006</v>
      </c>
      <c r="E153" s="92"/>
      <c r="F153" s="92">
        <v>0.19861100000000001</v>
      </c>
      <c r="G153" s="92">
        <v>699.72929999999997</v>
      </c>
      <c r="H153" s="92">
        <v>76.223500000000001</v>
      </c>
      <c r="I153" s="92"/>
      <c r="J153" s="93">
        <f t="shared" si="9"/>
        <v>5.5200000000013461E-2</v>
      </c>
    </row>
    <row r="154" spans="2:10" x14ac:dyDescent="0.2">
      <c r="B154" s="92">
        <v>0.2</v>
      </c>
      <c r="C154" s="92">
        <v>699.7432</v>
      </c>
      <c r="D154" s="92">
        <v>75.730500000000006</v>
      </c>
      <c r="E154" s="92"/>
      <c r="F154" s="92">
        <v>0.2</v>
      </c>
      <c r="G154" s="92">
        <v>699.70989999999995</v>
      </c>
      <c r="H154" s="92">
        <v>76.192099999999996</v>
      </c>
      <c r="I154" s="92"/>
      <c r="J154" s="93">
        <f t="shared" si="9"/>
        <v>3.3300000000053842E-2</v>
      </c>
    </row>
    <row r="155" spans="2:10" x14ac:dyDescent="0.2">
      <c r="B155" s="92">
        <v>0.20138900000000001</v>
      </c>
      <c r="C155" s="92">
        <v>699.73149999999998</v>
      </c>
      <c r="D155" s="92">
        <v>75.735399999999998</v>
      </c>
      <c r="E155" s="92"/>
      <c r="F155" s="92">
        <v>0.20138900000000001</v>
      </c>
      <c r="G155" s="92">
        <v>699.74609999999996</v>
      </c>
      <c r="H155" s="92">
        <v>76.167199999999994</v>
      </c>
      <c r="I155" s="92"/>
      <c r="J155" s="93">
        <f t="shared" si="9"/>
        <v>1.4599999999973079E-2</v>
      </c>
    </row>
    <row r="156" spans="2:10" x14ac:dyDescent="0.2">
      <c r="B156" s="92">
        <v>0.20277800000000001</v>
      </c>
      <c r="C156" s="92">
        <v>699.75850000000003</v>
      </c>
      <c r="D156" s="92">
        <v>75.743499999999997</v>
      </c>
      <c r="E156" s="92"/>
      <c r="F156" s="92">
        <v>0.20277800000000001</v>
      </c>
      <c r="G156" s="92">
        <v>699.74170000000004</v>
      </c>
      <c r="H156" s="92">
        <v>76.137500000000003</v>
      </c>
      <c r="I156" s="92"/>
      <c r="J156" s="93">
        <f t="shared" si="9"/>
        <v>1.6799999999989268E-2</v>
      </c>
    </row>
    <row r="157" spans="2:10" x14ac:dyDescent="0.2">
      <c r="B157" s="92">
        <v>0.20416699999999999</v>
      </c>
      <c r="C157" s="92">
        <v>699.726</v>
      </c>
      <c r="D157" s="92">
        <v>75.754900000000006</v>
      </c>
      <c r="E157" s="92"/>
      <c r="F157" s="92">
        <v>0.20416699999999999</v>
      </c>
      <c r="G157" s="92">
        <v>699.74450000000002</v>
      </c>
      <c r="H157" s="92">
        <v>76.111000000000004</v>
      </c>
      <c r="I157" s="92"/>
      <c r="J157" s="93">
        <f t="shared" si="9"/>
        <v>1.850000000001728E-2</v>
      </c>
    </row>
    <row r="158" spans="2:10" x14ac:dyDescent="0.2">
      <c r="B158" s="92">
        <v>0.20555599999999999</v>
      </c>
      <c r="C158" s="92">
        <v>699.76980000000003</v>
      </c>
      <c r="D158" s="92">
        <v>75.758099999999999</v>
      </c>
      <c r="E158" s="92"/>
      <c r="F158" s="92">
        <v>0.20555599999999999</v>
      </c>
      <c r="G158" s="92">
        <v>699.77300000000002</v>
      </c>
      <c r="H158" s="92">
        <v>76.0762</v>
      </c>
      <c r="I158" s="92"/>
      <c r="J158" s="93">
        <f t="shared" si="9"/>
        <v>3.1999999999925421E-3</v>
      </c>
    </row>
    <row r="159" spans="2:10" x14ac:dyDescent="0.2">
      <c r="B159" s="92">
        <v>0.20694399999999999</v>
      </c>
      <c r="C159" s="92">
        <v>699.75540000000001</v>
      </c>
      <c r="D159" s="92">
        <v>75.7727</v>
      </c>
      <c r="E159" s="92"/>
      <c r="F159" s="92">
        <v>0.20694399999999999</v>
      </c>
      <c r="G159" s="92">
        <v>699.74490000000003</v>
      </c>
      <c r="H159" s="92">
        <v>76.051400000000001</v>
      </c>
      <c r="I159" s="92"/>
      <c r="J159" s="93">
        <f t="shared" si="9"/>
        <v>1.0499999999979082E-2</v>
      </c>
    </row>
    <row r="160" spans="2:10" x14ac:dyDescent="0.2">
      <c r="B160" s="92">
        <v>0.20833299999999999</v>
      </c>
      <c r="C160" s="92">
        <v>699.7423</v>
      </c>
      <c r="D160" s="92">
        <v>75.782499999999999</v>
      </c>
      <c r="E160" s="92"/>
      <c r="F160" s="92">
        <v>0.20833299999999999</v>
      </c>
      <c r="G160" s="92">
        <v>699.77189999999996</v>
      </c>
      <c r="H160" s="92">
        <v>76.026600000000002</v>
      </c>
      <c r="I160" s="92"/>
      <c r="J160" s="93">
        <f t="shared" si="9"/>
        <v>2.9599999999959437E-2</v>
      </c>
    </row>
    <row r="161" spans="2:10" x14ac:dyDescent="0.2">
      <c r="B161" s="92">
        <v>0.20972199999999999</v>
      </c>
      <c r="C161" s="92">
        <v>699.73320000000001</v>
      </c>
      <c r="D161" s="92">
        <v>75.784099999999995</v>
      </c>
      <c r="E161" s="92"/>
      <c r="F161" s="92">
        <v>0.20972199999999999</v>
      </c>
      <c r="G161" s="92">
        <v>699.72289999999998</v>
      </c>
      <c r="H161" s="92">
        <v>75.998400000000004</v>
      </c>
      <c r="I161" s="92"/>
      <c r="J161" s="93">
        <f t="shared" si="9"/>
        <v>1.0300000000029286E-2</v>
      </c>
    </row>
    <row r="162" spans="2:10" x14ac:dyDescent="0.2">
      <c r="B162" s="92">
        <v>0.21111099999999999</v>
      </c>
      <c r="C162" s="92">
        <v>699.73310000000004</v>
      </c>
      <c r="D162" s="92">
        <v>75.790599999999998</v>
      </c>
      <c r="E162" s="92"/>
      <c r="F162" s="92">
        <v>0.21111099999999999</v>
      </c>
      <c r="G162" s="92">
        <v>699.70889999999997</v>
      </c>
      <c r="H162" s="92">
        <v>75.962000000000003</v>
      </c>
      <c r="I162" s="92"/>
      <c r="J162" s="93">
        <f t="shared" si="9"/>
        <v>2.4200000000064392E-2</v>
      </c>
    </row>
    <row r="163" spans="2:10" x14ac:dyDescent="0.2">
      <c r="B163" s="92">
        <v>0.21249999999999999</v>
      </c>
      <c r="C163" s="92">
        <v>699.76130000000001</v>
      </c>
      <c r="D163" s="92">
        <v>75.800299999999993</v>
      </c>
      <c r="E163" s="92"/>
      <c r="F163" s="92">
        <v>0.21249999999999999</v>
      </c>
      <c r="G163" s="92">
        <v>699.73170000000005</v>
      </c>
      <c r="H163" s="92">
        <v>75.943799999999996</v>
      </c>
      <c r="I163" s="92"/>
      <c r="J163" s="93">
        <f t="shared" si="9"/>
        <v>2.9599999999959437E-2</v>
      </c>
    </row>
    <row r="164" spans="2:10" x14ac:dyDescent="0.2">
      <c r="B164" s="92">
        <v>0.213889</v>
      </c>
      <c r="C164" s="92">
        <v>699.75480000000005</v>
      </c>
      <c r="D164" s="92">
        <v>75.805199999999999</v>
      </c>
      <c r="E164" s="92"/>
      <c r="F164" s="92">
        <v>0.213889</v>
      </c>
      <c r="G164" s="92">
        <v>699.7491</v>
      </c>
      <c r="H164" s="92">
        <v>75.912400000000005</v>
      </c>
      <c r="I164" s="92"/>
      <c r="J164" s="93">
        <f t="shared" si="9"/>
        <v>5.7000000000471118E-3</v>
      </c>
    </row>
    <row r="165" spans="2:10" x14ac:dyDescent="0.2">
      <c r="B165" s="92">
        <v>0.215278</v>
      </c>
      <c r="C165" s="92">
        <v>699.75829999999996</v>
      </c>
      <c r="D165" s="92">
        <v>75.822999999999993</v>
      </c>
      <c r="E165" s="92"/>
      <c r="F165" s="92">
        <v>0.215278</v>
      </c>
      <c r="G165" s="92">
        <v>699.75509999999997</v>
      </c>
      <c r="H165" s="92">
        <v>75.884299999999996</v>
      </c>
      <c r="I165" s="92"/>
      <c r="J165" s="93">
        <f t="shared" si="9"/>
        <v>3.1999999999925421E-3</v>
      </c>
    </row>
    <row r="166" spans="2:10" x14ac:dyDescent="0.2">
      <c r="B166" s="92">
        <v>0.216667</v>
      </c>
      <c r="C166" s="92">
        <v>699.77629999999999</v>
      </c>
      <c r="D166" s="92">
        <v>75.826300000000003</v>
      </c>
      <c r="E166" s="92"/>
      <c r="F166" s="92">
        <v>0.216667</v>
      </c>
      <c r="G166" s="92">
        <v>699.73159999999996</v>
      </c>
      <c r="H166" s="92">
        <v>75.859399999999994</v>
      </c>
      <c r="I166" s="92"/>
      <c r="J166" s="93">
        <f t="shared" si="9"/>
        <v>4.4700000000034379E-2</v>
      </c>
    </row>
    <row r="167" spans="2:10" x14ac:dyDescent="0.2">
      <c r="B167" s="92">
        <v>0.218056</v>
      </c>
      <c r="C167" s="92">
        <v>699.74540000000002</v>
      </c>
      <c r="D167" s="92">
        <v>75.819800000000001</v>
      </c>
      <c r="E167" s="92"/>
      <c r="F167" s="92">
        <v>0.218056</v>
      </c>
      <c r="G167" s="92">
        <v>699.73180000000002</v>
      </c>
      <c r="H167" s="92">
        <v>75.829700000000003</v>
      </c>
      <c r="I167" s="92"/>
      <c r="J167" s="93">
        <f t="shared" si="9"/>
        <v>1.3599999999996726E-2</v>
      </c>
    </row>
    <row r="168" spans="2:10" x14ac:dyDescent="0.2">
      <c r="B168" s="92">
        <v>0.219444</v>
      </c>
      <c r="C168" s="92">
        <v>699.75149999999996</v>
      </c>
      <c r="D168" s="92">
        <v>75.840900000000005</v>
      </c>
      <c r="E168" s="92"/>
      <c r="F168" s="92">
        <v>0.219444</v>
      </c>
      <c r="G168" s="92">
        <v>699.75459999999998</v>
      </c>
      <c r="H168" s="92">
        <v>75.811400000000006</v>
      </c>
      <c r="I168" s="92"/>
      <c r="J168" s="93">
        <f t="shared" si="9"/>
        <v>3.1000000000176442E-3</v>
      </c>
    </row>
    <row r="169" spans="2:10" x14ac:dyDescent="0.2">
      <c r="B169" s="92">
        <v>0.220833</v>
      </c>
      <c r="C169" s="92">
        <v>699.78110000000004</v>
      </c>
      <c r="D169" s="92">
        <v>75.845699999999994</v>
      </c>
      <c r="E169" s="92"/>
      <c r="F169" s="92">
        <v>0.220833</v>
      </c>
      <c r="G169" s="92">
        <v>699.77729999999997</v>
      </c>
      <c r="H169" s="92">
        <v>75.775000000000006</v>
      </c>
      <c r="I169" s="92"/>
      <c r="J169" s="93">
        <f t="shared" si="9"/>
        <v>3.8000000000693035E-3</v>
      </c>
    </row>
    <row r="170" spans="2:10" x14ac:dyDescent="0.2">
      <c r="B170" s="92">
        <v>0.222222</v>
      </c>
      <c r="C170" s="92">
        <v>699.7423</v>
      </c>
      <c r="D170" s="92">
        <v>75.849000000000004</v>
      </c>
      <c r="E170" s="92"/>
      <c r="F170" s="92">
        <v>0.222222</v>
      </c>
      <c r="G170" s="92">
        <v>699.71130000000005</v>
      </c>
      <c r="H170" s="92">
        <v>75.748599999999996</v>
      </c>
      <c r="I170" s="92"/>
      <c r="J170" s="93">
        <f t="shared" si="9"/>
        <v>3.0999999999949068E-2</v>
      </c>
    </row>
    <row r="171" spans="2:10" x14ac:dyDescent="0.2">
      <c r="B171" s="92">
        <v>0.223611</v>
      </c>
      <c r="C171" s="92">
        <v>699.73580000000004</v>
      </c>
      <c r="D171" s="92">
        <v>75.853899999999996</v>
      </c>
      <c r="E171" s="92"/>
      <c r="F171" s="92">
        <v>0.223611</v>
      </c>
      <c r="G171" s="92">
        <v>699.77359999999999</v>
      </c>
      <c r="H171" s="92">
        <v>75.722099999999998</v>
      </c>
      <c r="I171" s="92"/>
      <c r="J171" s="93">
        <f t="shared" si="9"/>
        <v>3.7799999999947431E-2</v>
      </c>
    </row>
    <row r="172" spans="2:10" x14ac:dyDescent="0.2">
      <c r="B172" s="92">
        <v>0.22500000000000001</v>
      </c>
      <c r="C172" s="92">
        <v>699.7124</v>
      </c>
      <c r="D172" s="92">
        <v>75.863600000000005</v>
      </c>
      <c r="E172" s="92"/>
      <c r="F172" s="92">
        <v>0.22500000000000001</v>
      </c>
      <c r="G172" s="92">
        <v>699.76639999999998</v>
      </c>
      <c r="H172" s="92">
        <v>75.700599999999994</v>
      </c>
      <c r="I172" s="92"/>
      <c r="J172" s="93">
        <f t="shared" si="9"/>
        <v>5.3999999999973625E-2</v>
      </c>
    </row>
    <row r="173" spans="2:10" x14ac:dyDescent="0.2">
      <c r="B173" s="92">
        <v>0.22638900000000001</v>
      </c>
      <c r="C173" s="92">
        <v>699.77560000000005</v>
      </c>
      <c r="D173" s="92">
        <v>75.865200000000002</v>
      </c>
      <c r="E173" s="92"/>
      <c r="F173" s="92">
        <v>0.22638900000000001</v>
      </c>
      <c r="G173" s="92">
        <v>699.71950000000004</v>
      </c>
      <c r="H173" s="92">
        <v>75.6691</v>
      </c>
      <c r="I173" s="92"/>
      <c r="J173" s="93">
        <f t="shared" si="9"/>
        <v>5.6100000000014916E-2</v>
      </c>
    </row>
    <row r="174" spans="2:10" x14ac:dyDescent="0.2">
      <c r="B174" s="92">
        <v>0.22777800000000001</v>
      </c>
      <c r="C174" s="92">
        <v>699.75350000000003</v>
      </c>
      <c r="D174" s="92">
        <v>75.870099999999994</v>
      </c>
      <c r="E174" s="92"/>
      <c r="F174" s="92">
        <v>0.22777800000000001</v>
      </c>
      <c r="G174" s="92">
        <v>699.72469999999998</v>
      </c>
      <c r="H174" s="92">
        <v>75.646000000000001</v>
      </c>
      <c r="I174" s="92"/>
      <c r="J174" s="93">
        <f t="shared" si="9"/>
        <v>2.8800000000046566E-2</v>
      </c>
    </row>
    <row r="175" spans="2:10" x14ac:dyDescent="0.2">
      <c r="B175" s="92">
        <v>0.22916700000000001</v>
      </c>
      <c r="C175" s="92">
        <v>699.7663</v>
      </c>
      <c r="D175" s="92">
        <v>75.879800000000003</v>
      </c>
      <c r="E175" s="92"/>
      <c r="F175" s="92">
        <v>0.22916700000000001</v>
      </c>
      <c r="G175" s="92">
        <v>699.71950000000004</v>
      </c>
      <c r="H175" s="92">
        <v>75.621099999999998</v>
      </c>
      <c r="I175" s="92"/>
      <c r="J175" s="93">
        <f t="shared" si="9"/>
        <v>4.6799999999961983E-2</v>
      </c>
    </row>
    <row r="176" spans="2:10" x14ac:dyDescent="0.2">
      <c r="B176" s="92">
        <v>0.23055600000000001</v>
      </c>
      <c r="C176" s="92">
        <v>699.74170000000004</v>
      </c>
      <c r="D176" s="92">
        <v>75.881399999999999</v>
      </c>
      <c r="E176" s="92"/>
      <c r="F176" s="92">
        <v>0.23055600000000001</v>
      </c>
      <c r="G176" s="92">
        <v>699.73850000000004</v>
      </c>
      <c r="H176" s="92">
        <v>75.597999999999999</v>
      </c>
      <c r="I176" s="92"/>
      <c r="J176" s="93">
        <f t="shared" si="9"/>
        <v>3.1999999999925421E-3</v>
      </c>
    </row>
    <row r="177" spans="2:10" x14ac:dyDescent="0.2">
      <c r="B177" s="92">
        <v>0.23194400000000001</v>
      </c>
      <c r="C177" s="92">
        <v>699.75959999999998</v>
      </c>
      <c r="D177" s="92">
        <v>75.891199999999998</v>
      </c>
      <c r="E177" s="92"/>
      <c r="F177" s="92">
        <v>0.23194400000000001</v>
      </c>
      <c r="G177" s="92">
        <v>699.69870000000003</v>
      </c>
      <c r="H177" s="92">
        <v>75.569800000000001</v>
      </c>
      <c r="I177" s="92"/>
      <c r="J177" s="93">
        <f t="shared" si="9"/>
        <v>6.0899999999946886E-2</v>
      </c>
    </row>
    <row r="178" spans="2:10" x14ac:dyDescent="0.2">
      <c r="B178" s="92">
        <v>0.23333300000000001</v>
      </c>
      <c r="C178" s="92">
        <v>699.72460000000001</v>
      </c>
      <c r="D178" s="92">
        <v>75.899299999999997</v>
      </c>
      <c r="E178" s="92"/>
      <c r="F178" s="92">
        <v>0.23333300000000001</v>
      </c>
      <c r="G178" s="92">
        <v>699.73270000000002</v>
      </c>
      <c r="H178" s="92">
        <v>75.548299999999998</v>
      </c>
      <c r="I178" s="92"/>
      <c r="J178" s="93">
        <f t="shared" si="9"/>
        <v>8.1000000000130967E-3</v>
      </c>
    </row>
    <row r="179" spans="2:10" x14ac:dyDescent="0.2">
      <c r="B179" s="92">
        <v>0.23472199999999999</v>
      </c>
      <c r="C179" s="92">
        <v>699.75800000000004</v>
      </c>
      <c r="D179" s="92">
        <v>75.909000000000006</v>
      </c>
      <c r="E179" s="92"/>
      <c r="F179" s="92">
        <v>0.23472199999999999</v>
      </c>
      <c r="G179" s="92">
        <v>699.73009999999999</v>
      </c>
      <c r="H179" s="92">
        <v>75.526799999999994</v>
      </c>
      <c r="I179" s="92"/>
      <c r="J179" s="93">
        <f t="shared" si="9"/>
        <v>2.7900000000045111E-2</v>
      </c>
    </row>
    <row r="180" spans="2:10" x14ac:dyDescent="0.2">
      <c r="B180" s="92">
        <v>0.23611099999999999</v>
      </c>
      <c r="C180" s="92">
        <v>699.76049999999998</v>
      </c>
      <c r="D180" s="92">
        <v>75.912300000000002</v>
      </c>
      <c r="E180" s="92"/>
      <c r="F180" s="92">
        <v>0.23611099999999999</v>
      </c>
      <c r="G180" s="92">
        <v>699.75030000000004</v>
      </c>
      <c r="H180" s="92">
        <v>75.505300000000005</v>
      </c>
      <c r="I180" s="92"/>
      <c r="J180" s="93">
        <f t="shared" si="9"/>
        <v>1.0199999999940701E-2</v>
      </c>
    </row>
    <row r="181" spans="2:10" x14ac:dyDescent="0.2">
      <c r="B181" s="92">
        <v>0.23749999999999999</v>
      </c>
      <c r="C181" s="92">
        <v>699.72670000000005</v>
      </c>
      <c r="D181" s="92">
        <v>75.921999999999997</v>
      </c>
      <c r="E181" s="92"/>
      <c r="F181" s="92">
        <v>0.23749999999999999</v>
      </c>
      <c r="G181" s="92">
        <v>699.74310000000003</v>
      </c>
      <c r="H181" s="92">
        <v>75.483800000000002</v>
      </c>
      <c r="I181" s="92"/>
      <c r="J181" s="93">
        <f t="shared" si="9"/>
        <v>1.6399999999975989E-2</v>
      </c>
    </row>
    <row r="182" spans="2:10" x14ac:dyDescent="0.2">
      <c r="B182" s="92">
        <v>0.23888899999999999</v>
      </c>
      <c r="C182" s="92">
        <v>699.72149999999999</v>
      </c>
      <c r="D182" s="92">
        <v>75.9285</v>
      </c>
      <c r="E182" s="92"/>
      <c r="F182" s="92">
        <v>0.23888899999999999</v>
      </c>
      <c r="G182" s="92">
        <v>699.74329999999998</v>
      </c>
      <c r="H182" s="92">
        <v>75.453999999999994</v>
      </c>
      <c r="I182" s="92"/>
      <c r="J182" s="93">
        <f t="shared" si="9"/>
        <v>2.179999999998472E-2</v>
      </c>
    </row>
    <row r="183" spans="2:10" x14ac:dyDescent="0.2">
      <c r="B183" s="92">
        <v>0.24027799999999999</v>
      </c>
      <c r="C183" s="92">
        <v>699.7097</v>
      </c>
      <c r="D183" s="92">
        <v>75.933400000000006</v>
      </c>
      <c r="E183" s="92"/>
      <c r="F183" s="92">
        <v>0.24027799999999999</v>
      </c>
      <c r="G183" s="92">
        <v>699.7269</v>
      </c>
      <c r="H183" s="92">
        <v>75.432500000000005</v>
      </c>
      <c r="I183" s="92"/>
      <c r="J183" s="93">
        <f t="shared" si="9"/>
        <v>1.7200000000002547E-2</v>
      </c>
    </row>
    <row r="184" spans="2:10" x14ac:dyDescent="0.2">
      <c r="B184" s="92">
        <v>0.24166699999999999</v>
      </c>
      <c r="C184" s="92">
        <v>699.72400000000005</v>
      </c>
      <c r="D184" s="92">
        <v>75.931700000000006</v>
      </c>
      <c r="E184" s="92"/>
      <c r="F184" s="92">
        <v>0.24166699999999999</v>
      </c>
      <c r="G184" s="92">
        <v>699.7346</v>
      </c>
      <c r="H184" s="92">
        <v>75.412599999999998</v>
      </c>
      <c r="I184" s="92"/>
      <c r="J184" s="93">
        <f t="shared" si="9"/>
        <v>1.059999999995398E-2</v>
      </c>
    </row>
    <row r="185" spans="2:10" x14ac:dyDescent="0.2">
      <c r="B185" s="92">
        <v>0.24305599999999999</v>
      </c>
      <c r="C185" s="92">
        <v>699.74310000000003</v>
      </c>
      <c r="D185" s="92">
        <v>75.943100000000001</v>
      </c>
      <c r="E185" s="92"/>
      <c r="F185" s="92">
        <v>0.24305599999999999</v>
      </c>
      <c r="G185" s="92">
        <v>699.71690000000001</v>
      </c>
      <c r="H185" s="92">
        <v>75.389399999999995</v>
      </c>
      <c r="I185" s="92"/>
      <c r="J185" s="93">
        <f t="shared" si="9"/>
        <v>2.6200000000017099E-2</v>
      </c>
    </row>
    <row r="186" spans="2:10" x14ac:dyDescent="0.2">
      <c r="B186" s="92">
        <v>0.24444399999999999</v>
      </c>
      <c r="C186" s="92">
        <v>699.70950000000005</v>
      </c>
      <c r="D186" s="92">
        <v>75.946299999999994</v>
      </c>
      <c r="E186" s="92"/>
      <c r="F186" s="92">
        <v>0.24444399999999999</v>
      </c>
      <c r="G186" s="92">
        <v>699.71249999999998</v>
      </c>
      <c r="H186" s="92">
        <v>75.359700000000004</v>
      </c>
      <c r="I186" s="92"/>
      <c r="J186" s="93">
        <f t="shared" si="9"/>
        <v>2.9999999999290594E-3</v>
      </c>
    </row>
    <row r="187" spans="2:10" x14ac:dyDescent="0.2">
      <c r="B187" s="92">
        <v>0.245833</v>
      </c>
      <c r="C187" s="92">
        <v>699.75599999999997</v>
      </c>
      <c r="D187" s="92">
        <v>75.946299999999994</v>
      </c>
      <c r="E187" s="92"/>
      <c r="F187" s="92">
        <v>0.245833</v>
      </c>
      <c r="G187" s="92">
        <v>699.75369999999998</v>
      </c>
      <c r="H187" s="92">
        <v>75.341499999999996</v>
      </c>
      <c r="I187" s="92"/>
      <c r="J187" s="93">
        <f t="shared" si="9"/>
        <v>2.299999999991087E-3</v>
      </c>
    </row>
    <row r="188" spans="2:10" x14ac:dyDescent="0.2">
      <c r="B188" s="92">
        <v>0.247222</v>
      </c>
      <c r="C188" s="92">
        <v>699.70420000000001</v>
      </c>
      <c r="D188" s="92">
        <v>75.952799999999996</v>
      </c>
      <c r="E188" s="92"/>
      <c r="F188" s="92">
        <v>0.247222</v>
      </c>
      <c r="G188" s="92">
        <v>699.67840000000001</v>
      </c>
      <c r="H188" s="92">
        <v>75.314999999999998</v>
      </c>
      <c r="I188" s="92"/>
      <c r="J188" s="93">
        <f t="shared" si="9"/>
        <v>2.580000000000382E-2</v>
      </c>
    </row>
    <row r="189" spans="2:10" x14ac:dyDescent="0.2">
      <c r="B189" s="92">
        <v>0.248611</v>
      </c>
      <c r="C189" s="92">
        <v>699.70799999999997</v>
      </c>
      <c r="D189" s="92">
        <v>75.957700000000003</v>
      </c>
      <c r="E189" s="92"/>
      <c r="F189" s="92">
        <v>0.248611</v>
      </c>
      <c r="G189" s="92">
        <v>699.73119999999994</v>
      </c>
      <c r="H189" s="92">
        <v>75.3001</v>
      </c>
      <c r="I189" s="92"/>
      <c r="J189" s="93">
        <f t="shared" si="9"/>
        <v>2.3199999999974352E-2</v>
      </c>
    </row>
    <row r="190" spans="2:10" x14ac:dyDescent="0.2">
      <c r="B190" s="92">
        <v>0.25</v>
      </c>
      <c r="C190" s="92">
        <v>699.73</v>
      </c>
      <c r="D190" s="92">
        <v>75.952799999999996</v>
      </c>
      <c r="E190" s="92"/>
      <c r="F190" s="92">
        <v>0.25</v>
      </c>
      <c r="G190" s="92">
        <v>699.7482</v>
      </c>
      <c r="H190" s="92">
        <v>75.280199999999994</v>
      </c>
      <c r="I190" s="92"/>
      <c r="J190" s="93">
        <f t="shared" si="9"/>
        <v>1.81999999999789E-2</v>
      </c>
    </row>
    <row r="191" spans="2:10" x14ac:dyDescent="0.2">
      <c r="B191" s="92">
        <v>0.25138899999999997</v>
      </c>
      <c r="C191" s="92">
        <v>699.72730000000001</v>
      </c>
      <c r="D191" s="92">
        <v>75.962599999999995</v>
      </c>
      <c r="E191" s="92"/>
      <c r="F191" s="92">
        <v>0.25138899999999997</v>
      </c>
      <c r="G191" s="92">
        <v>699.72</v>
      </c>
      <c r="H191" s="92">
        <v>75.255399999999995</v>
      </c>
      <c r="I191" s="92"/>
      <c r="J191" s="93">
        <f t="shared" si="9"/>
        <v>7.2999999999865395E-3</v>
      </c>
    </row>
    <row r="192" spans="2:10" x14ac:dyDescent="0.2">
      <c r="B192" s="92">
        <v>0.252778</v>
      </c>
      <c r="C192" s="92">
        <v>699.72199999999998</v>
      </c>
      <c r="D192" s="92">
        <v>75.969099999999997</v>
      </c>
      <c r="E192" s="92"/>
      <c r="F192" s="92">
        <v>0.252778</v>
      </c>
      <c r="G192" s="92">
        <v>699.72270000000003</v>
      </c>
      <c r="H192" s="92">
        <v>75.228899999999996</v>
      </c>
      <c r="I192" s="92"/>
      <c r="J192" s="93">
        <f t="shared" si="9"/>
        <v>7.000000000516593E-4</v>
      </c>
    </row>
    <row r="193" spans="2:10" x14ac:dyDescent="0.2">
      <c r="B193" s="92">
        <v>0.25416699999999998</v>
      </c>
      <c r="C193" s="92">
        <v>699.71029999999996</v>
      </c>
      <c r="D193" s="92">
        <v>75.9739</v>
      </c>
      <c r="E193" s="92"/>
      <c r="F193" s="92">
        <v>0.25416699999999998</v>
      </c>
      <c r="G193" s="92">
        <v>699.69889999999998</v>
      </c>
      <c r="H193" s="92">
        <v>75.215699999999998</v>
      </c>
      <c r="I193" s="92"/>
      <c r="J193" s="93">
        <f t="shared" si="9"/>
        <v>1.1399999999980537E-2</v>
      </c>
    </row>
    <row r="194" spans="2:10" x14ac:dyDescent="0.2">
      <c r="B194" s="92">
        <v>0.25555600000000001</v>
      </c>
      <c r="C194" s="92">
        <v>699.75009999999997</v>
      </c>
      <c r="D194" s="92">
        <v>75.985299999999995</v>
      </c>
      <c r="E194" s="92"/>
      <c r="F194" s="92">
        <v>0.25555600000000001</v>
      </c>
      <c r="G194" s="92">
        <v>699.74329999999998</v>
      </c>
      <c r="H194" s="92">
        <v>75.195800000000006</v>
      </c>
      <c r="I194" s="92"/>
      <c r="J194" s="93">
        <f t="shared" si="9"/>
        <v>6.7999999999983629E-3</v>
      </c>
    </row>
    <row r="195" spans="2:10" x14ac:dyDescent="0.2">
      <c r="B195" s="92">
        <v>0.25694400000000001</v>
      </c>
      <c r="C195" s="92">
        <v>699.7527</v>
      </c>
      <c r="D195" s="92">
        <v>75.981999999999999</v>
      </c>
      <c r="E195" s="92"/>
      <c r="F195" s="92">
        <v>0.25694400000000001</v>
      </c>
      <c r="G195" s="92">
        <v>699.70809999999994</v>
      </c>
      <c r="H195" s="92">
        <v>75.167699999999996</v>
      </c>
      <c r="I195" s="92"/>
      <c r="J195" s="93">
        <f t="shared" si="9"/>
        <v>4.4600000000059481E-2</v>
      </c>
    </row>
    <row r="196" spans="2:10" x14ac:dyDescent="0.2">
      <c r="B196" s="92">
        <v>0.25833299999999998</v>
      </c>
      <c r="C196" s="92">
        <v>699.71770000000004</v>
      </c>
      <c r="D196" s="92">
        <v>75.990200000000002</v>
      </c>
      <c r="E196" s="92"/>
      <c r="F196" s="92">
        <v>0.25833299999999998</v>
      </c>
      <c r="G196" s="92">
        <v>699.72500000000002</v>
      </c>
      <c r="H196" s="92">
        <v>75.147800000000004</v>
      </c>
      <c r="I196" s="92"/>
      <c r="J196" s="93">
        <f t="shared" si="9"/>
        <v>7.2999999999865395E-3</v>
      </c>
    </row>
    <row r="197" spans="2:10" x14ac:dyDescent="0.2">
      <c r="B197" s="92">
        <v>0.25972200000000001</v>
      </c>
      <c r="C197" s="92">
        <v>699.7731</v>
      </c>
      <c r="D197" s="92">
        <v>75.995000000000005</v>
      </c>
      <c r="E197" s="92"/>
      <c r="F197" s="92">
        <v>0.25972200000000001</v>
      </c>
      <c r="G197" s="92">
        <v>699.70860000000005</v>
      </c>
      <c r="H197" s="92">
        <v>75.126300000000001</v>
      </c>
      <c r="I197" s="92"/>
      <c r="J197" s="93">
        <f t="shared" si="9"/>
        <v>6.4499999999952706E-2</v>
      </c>
    </row>
    <row r="198" spans="2:10" x14ac:dyDescent="0.2">
      <c r="B198" s="92">
        <v>0.26111099999999998</v>
      </c>
      <c r="C198" s="92">
        <v>699.72919999999999</v>
      </c>
      <c r="D198" s="92">
        <v>75.9983</v>
      </c>
      <c r="E198" s="92"/>
      <c r="F198" s="92">
        <v>0.26111099999999998</v>
      </c>
      <c r="G198" s="92">
        <v>699.71759999999995</v>
      </c>
      <c r="H198" s="92">
        <v>75.108099999999993</v>
      </c>
      <c r="I198" s="92"/>
      <c r="J198" s="93">
        <f t="shared" si="9"/>
        <v>1.160000000004402E-2</v>
      </c>
    </row>
    <row r="199" spans="2:10" x14ac:dyDescent="0.2">
      <c r="B199" s="92">
        <v>0.26250000000000001</v>
      </c>
      <c r="C199" s="92">
        <v>699.71860000000004</v>
      </c>
      <c r="D199" s="92">
        <v>76.011200000000002</v>
      </c>
      <c r="E199" s="92"/>
      <c r="F199" s="92">
        <v>0.26250000000000001</v>
      </c>
      <c r="G199" s="92">
        <v>699.71820000000002</v>
      </c>
      <c r="H199" s="92">
        <v>75.084900000000005</v>
      </c>
      <c r="I199" s="92"/>
      <c r="J199" s="93">
        <f t="shared" si="9"/>
        <v>4.0000000001327862E-4</v>
      </c>
    </row>
    <row r="200" spans="2:10" x14ac:dyDescent="0.2">
      <c r="B200" s="92">
        <v>0.26388899999999998</v>
      </c>
      <c r="C200" s="92">
        <v>699.71870000000001</v>
      </c>
      <c r="D200" s="92">
        <v>76.004800000000003</v>
      </c>
      <c r="E200" s="92"/>
      <c r="F200" s="92">
        <v>0.26388899999999998</v>
      </c>
      <c r="G200" s="92">
        <v>699.72640000000001</v>
      </c>
      <c r="H200" s="92">
        <v>75.071700000000007</v>
      </c>
      <c r="I200" s="92"/>
      <c r="J200" s="93">
        <f t="shared" si="9"/>
        <v>7.6999999999998181E-3</v>
      </c>
    </row>
    <row r="201" spans="2:10" x14ac:dyDescent="0.2">
      <c r="B201" s="92">
        <v>0.26527800000000001</v>
      </c>
      <c r="C201" s="92">
        <v>699.7405</v>
      </c>
      <c r="D201" s="92">
        <v>76.012900000000002</v>
      </c>
      <c r="E201" s="92"/>
      <c r="F201" s="92">
        <v>0.26527800000000001</v>
      </c>
      <c r="G201" s="92">
        <v>699.71280000000002</v>
      </c>
      <c r="H201" s="92">
        <v>75.041899999999998</v>
      </c>
      <c r="I201" s="92"/>
      <c r="J201" s="93">
        <f t="shared" si="9"/>
        <v>2.7699999999981628E-2</v>
      </c>
    </row>
    <row r="202" spans="2:10" x14ac:dyDescent="0.2">
      <c r="B202" s="92">
        <v>0.26666699999999999</v>
      </c>
      <c r="C202" s="92">
        <v>699.74159999999995</v>
      </c>
      <c r="D202" s="92">
        <v>76.021000000000001</v>
      </c>
      <c r="E202" s="92"/>
      <c r="F202" s="92">
        <v>0.26666699999999999</v>
      </c>
      <c r="G202" s="92">
        <v>699.70479999999998</v>
      </c>
      <c r="H202" s="92">
        <v>75.025400000000005</v>
      </c>
      <c r="I202" s="92"/>
      <c r="J202" s="93">
        <f t="shared" si="9"/>
        <v>3.6799999999971078E-2</v>
      </c>
    </row>
    <row r="203" spans="2:10" x14ac:dyDescent="0.2">
      <c r="B203" s="92">
        <v>0.26805600000000002</v>
      </c>
      <c r="C203" s="92">
        <v>699.69500000000005</v>
      </c>
      <c r="D203" s="92">
        <v>76.027500000000003</v>
      </c>
      <c r="E203" s="92"/>
      <c r="F203" s="92">
        <v>0.26805600000000002</v>
      </c>
      <c r="G203" s="92">
        <v>699.71789999999999</v>
      </c>
      <c r="H203" s="92">
        <v>75.000500000000002</v>
      </c>
      <c r="I203" s="92"/>
      <c r="J203" s="93">
        <f t="shared" ref="J203:J266" si="10">+ABS(G203-C203)</f>
        <v>2.2899999999935972E-2</v>
      </c>
    </row>
    <row r="204" spans="2:10" x14ac:dyDescent="0.2">
      <c r="B204" s="92">
        <v>0.26944400000000002</v>
      </c>
      <c r="C204" s="92">
        <v>699.69129999999996</v>
      </c>
      <c r="D204" s="92">
        <v>76.022599999999997</v>
      </c>
      <c r="E204" s="92"/>
      <c r="F204" s="92">
        <v>0.26944400000000002</v>
      </c>
      <c r="G204" s="92">
        <v>699.72770000000003</v>
      </c>
      <c r="H204" s="92">
        <v>74.977400000000003</v>
      </c>
      <c r="I204" s="92"/>
      <c r="J204" s="93">
        <f t="shared" si="10"/>
        <v>3.6400000000071486E-2</v>
      </c>
    </row>
    <row r="205" spans="2:10" x14ac:dyDescent="0.2">
      <c r="B205" s="92">
        <v>0.27083299999999999</v>
      </c>
      <c r="C205" s="92">
        <v>699.75559999999996</v>
      </c>
      <c r="D205" s="92">
        <v>76.032300000000006</v>
      </c>
      <c r="E205" s="92"/>
      <c r="F205" s="92">
        <v>0.27083299999999999</v>
      </c>
      <c r="G205" s="92">
        <v>699.70630000000006</v>
      </c>
      <c r="H205" s="92">
        <v>74.967399999999998</v>
      </c>
      <c r="I205" s="92"/>
      <c r="J205" s="93">
        <f t="shared" si="10"/>
        <v>4.9299999999902866E-2</v>
      </c>
    </row>
    <row r="206" spans="2:10" x14ac:dyDescent="0.2">
      <c r="B206" s="92">
        <v>0.27222200000000002</v>
      </c>
      <c r="C206" s="92">
        <v>699.68970000000002</v>
      </c>
      <c r="D206" s="92">
        <v>76.034000000000006</v>
      </c>
      <c r="E206" s="92"/>
      <c r="F206" s="92">
        <v>0.27222200000000002</v>
      </c>
      <c r="G206" s="92">
        <v>699.6721</v>
      </c>
      <c r="H206" s="92">
        <v>74.952500000000001</v>
      </c>
      <c r="I206" s="92"/>
      <c r="J206" s="93">
        <f t="shared" si="10"/>
        <v>1.7600000000015825E-2</v>
      </c>
    </row>
    <row r="207" spans="2:10" x14ac:dyDescent="0.2">
      <c r="B207" s="92">
        <v>0.27361099999999999</v>
      </c>
      <c r="C207" s="92">
        <v>699.69730000000004</v>
      </c>
      <c r="D207" s="92">
        <v>76.043700000000001</v>
      </c>
      <c r="E207" s="92"/>
      <c r="F207" s="92">
        <v>0.27361099999999999</v>
      </c>
      <c r="G207" s="92">
        <v>699.69860000000006</v>
      </c>
      <c r="H207" s="92">
        <v>74.939300000000003</v>
      </c>
      <c r="I207" s="92"/>
      <c r="J207" s="93">
        <f t="shared" si="10"/>
        <v>1.3000000000147338E-3</v>
      </c>
    </row>
    <row r="208" spans="2:10" x14ac:dyDescent="0.2">
      <c r="B208" s="92">
        <v>0.27500000000000002</v>
      </c>
      <c r="C208" s="92">
        <v>699.71659999999997</v>
      </c>
      <c r="D208" s="92">
        <v>76.048599999999993</v>
      </c>
      <c r="E208" s="92"/>
      <c r="F208" s="92">
        <v>0.27500000000000002</v>
      </c>
      <c r="G208" s="92">
        <v>699.69010000000003</v>
      </c>
      <c r="H208" s="92">
        <v>74.9161</v>
      </c>
      <c r="I208" s="92"/>
      <c r="J208" s="93">
        <f t="shared" si="10"/>
        <v>2.6499999999941792E-2</v>
      </c>
    </row>
    <row r="209" spans="2:10" x14ac:dyDescent="0.2">
      <c r="B209" s="92">
        <v>0.276389</v>
      </c>
      <c r="C209" s="92">
        <v>699.72410000000002</v>
      </c>
      <c r="D209" s="92">
        <v>76.058300000000003</v>
      </c>
      <c r="E209" s="92"/>
      <c r="F209" s="92">
        <v>0.276389</v>
      </c>
      <c r="G209" s="92">
        <v>699.68859999999995</v>
      </c>
      <c r="H209" s="92">
        <v>74.896299999999997</v>
      </c>
      <c r="I209" s="92"/>
      <c r="J209" s="93">
        <f t="shared" si="10"/>
        <v>3.5500000000070031E-2</v>
      </c>
    </row>
    <row r="210" spans="2:10" x14ac:dyDescent="0.2">
      <c r="B210" s="92">
        <v>0.27777800000000002</v>
      </c>
      <c r="C210" s="92">
        <v>699.72140000000002</v>
      </c>
      <c r="D210" s="92">
        <v>76.067999999999998</v>
      </c>
      <c r="E210" s="92"/>
      <c r="F210" s="92">
        <v>0.27777800000000002</v>
      </c>
      <c r="G210" s="92">
        <v>699.67930000000001</v>
      </c>
      <c r="H210" s="92">
        <v>74.878100000000003</v>
      </c>
      <c r="I210" s="92"/>
      <c r="J210" s="93">
        <f t="shared" si="10"/>
        <v>4.2100000000004911E-2</v>
      </c>
    </row>
    <row r="211" spans="2:10" x14ac:dyDescent="0.2">
      <c r="B211" s="92">
        <v>0.279167</v>
      </c>
      <c r="C211" s="92">
        <v>699.73030000000006</v>
      </c>
      <c r="D211" s="92">
        <v>76.072900000000004</v>
      </c>
      <c r="E211" s="92"/>
      <c r="F211" s="92">
        <v>0.279167</v>
      </c>
      <c r="G211" s="92">
        <v>699.70709999999997</v>
      </c>
      <c r="H211" s="92">
        <v>74.866500000000002</v>
      </c>
      <c r="I211" s="92"/>
      <c r="J211" s="93">
        <f t="shared" si="10"/>
        <v>2.3200000000088039E-2</v>
      </c>
    </row>
    <row r="212" spans="2:10" x14ac:dyDescent="0.2">
      <c r="B212" s="92">
        <v>0.28055600000000003</v>
      </c>
      <c r="C212" s="92">
        <v>699.72119999999995</v>
      </c>
      <c r="D212" s="92">
        <v>76.0745</v>
      </c>
      <c r="E212" s="92"/>
      <c r="F212" s="92">
        <v>0.28055600000000003</v>
      </c>
      <c r="G212" s="92">
        <v>699.72479999999996</v>
      </c>
      <c r="H212" s="92">
        <v>74.8416</v>
      </c>
      <c r="I212" s="92"/>
      <c r="J212" s="93">
        <f t="shared" si="10"/>
        <v>3.6000000000058208E-3</v>
      </c>
    </row>
    <row r="213" spans="2:10" x14ac:dyDescent="0.2">
      <c r="B213" s="92">
        <v>0.28194399999999997</v>
      </c>
      <c r="C213" s="92">
        <v>699.71720000000005</v>
      </c>
      <c r="D213" s="92">
        <v>76.082599999999999</v>
      </c>
      <c r="E213" s="92"/>
      <c r="F213" s="92">
        <v>0.28194399999999997</v>
      </c>
      <c r="G213" s="92">
        <v>699.71879999999999</v>
      </c>
      <c r="H213" s="92">
        <v>74.821799999999996</v>
      </c>
      <c r="I213" s="92"/>
      <c r="J213" s="93">
        <f t="shared" si="10"/>
        <v>1.5999999999394277E-3</v>
      </c>
    </row>
    <row r="214" spans="2:10" x14ac:dyDescent="0.2">
      <c r="B214" s="92">
        <v>0.283333</v>
      </c>
      <c r="C214" s="92">
        <v>699.7183</v>
      </c>
      <c r="D214" s="92">
        <v>76.090800000000002</v>
      </c>
      <c r="E214" s="92"/>
      <c r="F214" s="92">
        <v>0.283333</v>
      </c>
      <c r="G214" s="92">
        <v>699.67660000000001</v>
      </c>
      <c r="H214" s="92">
        <v>74.808499999999995</v>
      </c>
      <c r="I214" s="92"/>
      <c r="J214" s="93">
        <f t="shared" si="10"/>
        <v>4.1699999999991633E-2</v>
      </c>
    </row>
    <row r="215" spans="2:10" x14ac:dyDescent="0.2">
      <c r="B215" s="92">
        <v>0.28472199999999998</v>
      </c>
      <c r="C215" s="92">
        <v>699.72339999999997</v>
      </c>
      <c r="D215" s="92">
        <v>76.097200000000001</v>
      </c>
      <c r="E215" s="92"/>
      <c r="F215" s="92">
        <v>0.28472199999999998</v>
      </c>
      <c r="G215" s="92">
        <v>699.69140000000004</v>
      </c>
      <c r="H215" s="92">
        <v>74.792000000000002</v>
      </c>
      <c r="I215" s="92"/>
      <c r="J215" s="93">
        <f t="shared" si="10"/>
        <v>3.1999999999925421E-2</v>
      </c>
    </row>
    <row r="216" spans="2:10" x14ac:dyDescent="0.2">
      <c r="B216" s="92">
        <v>0.286111</v>
      </c>
      <c r="C216" s="92">
        <v>699.71559999999999</v>
      </c>
      <c r="D216" s="92">
        <v>76.100499999999997</v>
      </c>
      <c r="E216" s="92"/>
      <c r="F216" s="92">
        <v>0.286111</v>
      </c>
      <c r="G216" s="92">
        <v>699.69</v>
      </c>
      <c r="H216" s="92">
        <v>74.772099999999995</v>
      </c>
      <c r="I216" s="92"/>
      <c r="J216" s="93">
        <f t="shared" si="10"/>
        <v>2.5599999999940337E-2</v>
      </c>
    </row>
    <row r="217" spans="2:10" x14ac:dyDescent="0.2">
      <c r="B217" s="92">
        <v>0.28749999999999998</v>
      </c>
      <c r="C217" s="92">
        <v>699.71669999999995</v>
      </c>
      <c r="D217" s="92">
        <v>76.108599999999996</v>
      </c>
      <c r="E217" s="92"/>
      <c r="F217" s="92">
        <v>0.28749999999999998</v>
      </c>
      <c r="G217" s="92">
        <v>699.70280000000002</v>
      </c>
      <c r="H217" s="92">
        <v>74.758899999999997</v>
      </c>
      <c r="I217" s="92"/>
      <c r="J217" s="93">
        <f t="shared" si="10"/>
        <v>1.389999999992142E-2</v>
      </c>
    </row>
    <row r="218" spans="2:10" x14ac:dyDescent="0.2">
      <c r="B218" s="92">
        <v>0.28888900000000001</v>
      </c>
      <c r="C218" s="92">
        <v>699.67150000000004</v>
      </c>
      <c r="D218" s="92">
        <v>76.110200000000006</v>
      </c>
      <c r="E218" s="92"/>
      <c r="F218" s="92">
        <v>0.28888900000000001</v>
      </c>
      <c r="G218" s="92">
        <v>699.69680000000005</v>
      </c>
      <c r="H218" s="92">
        <v>74.739000000000004</v>
      </c>
      <c r="I218" s="92"/>
      <c r="J218" s="93">
        <f t="shared" si="10"/>
        <v>2.5300000000015643E-2</v>
      </c>
    </row>
    <row r="219" spans="2:10" x14ac:dyDescent="0.2">
      <c r="B219" s="92">
        <v>0.29027799999999998</v>
      </c>
      <c r="C219" s="92">
        <v>699.71780000000001</v>
      </c>
      <c r="D219" s="92">
        <v>76.116699999999994</v>
      </c>
      <c r="E219" s="92"/>
      <c r="F219" s="92">
        <v>0.29027799999999998</v>
      </c>
      <c r="G219" s="92">
        <v>699.74699999999996</v>
      </c>
      <c r="H219" s="92">
        <v>74.720799999999997</v>
      </c>
      <c r="I219" s="92"/>
      <c r="J219" s="93">
        <f t="shared" si="10"/>
        <v>2.9199999999946158E-2</v>
      </c>
    </row>
    <row r="220" spans="2:10" x14ac:dyDescent="0.2">
      <c r="B220" s="92">
        <v>0.29166700000000001</v>
      </c>
      <c r="C220" s="92">
        <v>699.74239999999998</v>
      </c>
      <c r="D220" s="92">
        <v>76.115099999999998</v>
      </c>
      <c r="E220" s="92"/>
      <c r="F220" s="92">
        <v>0.29166700000000001</v>
      </c>
      <c r="G220" s="92">
        <v>699.7056</v>
      </c>
      <c r="H220" s="92">
        <v>74.702600000000004</v>
      </c>
      <c r="I220" s="92"/>
      <c r="J220" s="93">
        <f t="shared" si="10"/>
        <v>3.6799999999971078E-2</v>
      </c>
    </row>
    <row r="221" spans="2:10" x14ac:dyDescent="0.2">
      <c r="B221" s="92">
        <v>0.29305599999999998</v>
      </c>
      <c r="C221" s="92">
        <v>699.72929999999997</v>
      </c>
      <c r="D221" s="92">
        <v>76.124799999999993</v>
      </c>
      <c r="E221" s="92"/>
      <c r="F221" s="92">
        <v>0.29305599999999998</v>
      </c>
      <c r="G221" s="92">
        <v>699.70460000000003</v>
      </c>
      <c r="H221" s="92">
        <v>74.689400000000006</v>
      </c>
      <c r="I221" s="92"/>
      <c r="J221" s="93">
        <f t="shared" si="10"/>
        <v>2.4699999999938882E-2</v>
      </c>
    </row>
    <row r="222" spans="2:10" x14ac:dyDescent="0.2">
      <c r="B222" s="92">
        <v>0.29444399999999998</v>
      </c>
      <c r="C222" s="92">
        <v>699.70219999999995</v>
      </c>
      <c r="D222" s="92">
        <v>76.123199999999997</v>
      </c>
      <c r="E222" s="92"/>
      <c r="F222" s="92">
        <v>0.29444399999999998</v>
      </c>
      <c r="G222" s="92">
        <v>699.7115</v>
      </c>
      <c r="H222" s="92">
        <v>74.674499999999995</v>
      </c>
      <c r="I222" s="92"/>
      <c r="J222" s="93">
        <f t="shared" si="10"/>
        <v>9.3000000000529326E-3</v>
      </c>
    </row>
    <row r="223" spans="2:10" x14ac:dyDescent="0.2">
      <c r="B223" s="92">
        <v>0.29583300000000001</v>
      </c>
      <c r="C223" s="92">
        <v>699.7396</v>
      </c>
      <c r="D223" s="92">
        <v>76.124799999999993</v>
      </c>
      <c r="E223" s="92"/>
      <c r="F223" s="92">
        <v>0.29583300000000001</v>
      </c>
      <c r="G223" s="92">
        <v>699.70929999999998</v>
      </c>
      <c r="H223" s="92">
        <v>74.659599999999998</v>
      </c>
      <c r="I223" s="92"/>
      <c r="J223" s="93">
        <f t="shared" si="10"/>
        <v>3.0300000000011096E-2</v>
      </c>
    </row>
    <row r="224" spans="2:10" x14ac:dyDescent="0.2">
      <c r="B224" s="92">
        <v>0.29722199999999999</v>
      </c>
      <c r="C224" s="92">
        <v>699.73180000000002</v>
      </c>
      <c r="D224" s="92">
        <v>76.128100000000003</v>
      </c>
      <c r="E224" s="92"/>
      <c r="F224" s="92">
        <v>0.29722199999999999</v>
      </c>
      <c r="G224" s="92">
        <v>699.6825</v>
      </c>
      <c r="H224" s="92">
        <v>74.636399999999995</v>
      </c>
      <c r="I224" s="92"/>
      <c r="J224" s="93">
        <f t="shared" si="10"/>
        <v>4.9300000000016553E-2</v>
      </c>
    </row>
    <row r="225" spans="2:10" x14ac:dyDescent="0.2">
      <c r="B225" s="92">
        <v>0.29861100000000002</v>
      </c>
      <c r="C225" s="92">
        <v>699.71879999999999</v>
      </c>
      <c r="D225" s="92">
        <v>76.131299999999996</v>
      </c>
      <c r="E225" s="92"/>
      <c r="F225" s="92">
        <v>0.29861100000000002</v>
      </c>
      <c r="G225" s="92">
        <v>699.73850000000004</v>
      </c>
      <c r="H225" s="92">
        <v>74.619900000000001</v>
      </c>
      <c r="I225" s="92"/>
      <c r="J225" s="93">
        <f t="shared" si="10"/>
        <v>1.9700000000057116E-2</v>
      </c>
    </row>
    <row r="226" spans="2:10" x14ac:dyDescent="0.2">
      <c r="B226" s="92">
        <v>0.3</v>
      </c>
      <c r="C226" s="92">
        <v>699.70569999999998</v>
      </c>
      <c r="D226" s="92">
        <v>76.141099999999994</v>
      </c>
      <c r="E226" s="92"/>
      <c r="F226" s="92">
        <v>0.3</v>
      </c>
      <c r="G226" s="92">
        <v>699.72659999999996</v>
      </c>
      <c r="H226" s="92">
        <v>74.598399999999998</v>
      </c>
      <c r="I226" s="92"/>
      <c r="J226" s="93">
        <f t="shared" si="10"/>
        <v>2.0899999999983265E-2</v>
      </c>
    </row>
    <row r="227" spans="2:10" x14ac:dyDescent="0.2">
      <c r="B227" s="92">
        <v>0.30138900000000002</v>
      </c>
      <c r="C227" s="92">
        <v>699.70709999999997</v>
      </c>
      <c r="D227" s="92">
        <v>76.136200000000002</v>
      </c>
      <c r="E227" s="92"/>
      <c r="F227" s="92">
        <v>0.30138900000000002</v>
      </c>
      <c r="G227" s="92">
        <v>699.7124</v>
      </c>
      <c r="H227" s="92">
        <v>74.591700000000003</v>
      </c>
      <c r="I227" s="92"/>
      <c r="J227" s="93">
        <f t="shared" si="10"/>
        <v>5.3000000000338332E-3</v>
      </c>
    </row>
    <row r="228" spans="2:10" x14ac:dyDescent="0.2">
      <c r="B228" s="92">
        <v>0.30277799999999999</v>
      </c>
      <c r="C228" s="92">
        <v>699.71090000000004</v>
      </c>
      <c r="D228" s="92">
        <v>76.141099999999994</v>
      </c>
      <c r="E228" s="92"/>
      <c r="F228" s="92">
        <v>0.30277799999999999</v>
      </c>
      <c r="G228" s="92">
        <v>699.69600000000003</v>
      </c>
      <c r="H228" s="92">
        <v>74.5702</v>
      </c>
      <c r="I228" s="92"/>
      <c r="J228" s="93">
        <f t="shared" si="10"/>
        <v>1.490000000001146E-2</v>
      </c>
    </row>
    <row r="229" spans="2:10" x14ac:dyDescent="0.2">
      <c r="B229" s="92">
        <v>0.30416700000000002</v>
      </c>
      <c r="C229" s="92">
        <v>699.75609999999995</v>
      </c>
      <c r="D229" s="92">
        <v>76.139399999999995</v>
      </c>
      <c r="E229" s="92"/>
      <c r="F229" s="92">
        <v>0.30416700000000002</v>
      </c>
      <c r="G229" s="92">
        <v>699.66750000000002</v>
      </c>
      <c r="H229" s="92">
        <v>74.557000000000002</v>
      </c>
      <c r="I229" s="92"/>
      <c r="J229" s="93">
        <f t="shared" si="10"/>
        <v>8.8599999999928514E-2</v>
      </c>
    </row>
    <row r="230" spans="2:10" x14ac:dyDescent="0.2">
      <c r="B230" s="92">
        <v>0.30555599999999999</v>
      </c>
      <c r="C230" s="92">
        <v>699.69539999999995</v>
      </c>
      <c r="D230" s="92">
        <v>76.141099999999994</v>
      </c>
      <c r="E230" s="92"/>
      <c r="F230" s="92">
        <v>0.30555599999999999</v>
      </c>
      <c r="G230" s="92">
        <v>699.72810000000004</v>
      </c>
      <c r="H230" s="92">
        <v>74.540400000000005</v>
      </c>
      <c r="I230" s="92"/>
      <c r="J230" s="93">
        <f t="shared" si="10"/>
        <v>3.2700000000090768E-2</v>
      </c>
    </row>
    <row r="231" spans="2:10" x14ac:dyDescent="0.2">
      <c r="B231" s="92">
        <v>0.30694399999999999</v>
      </c>
      <c r="C231" s="92">
        <v>699.7251</v>
      </c>
      <c r="D231" s="92">
        <v>76.139399999999995</v>
      </c>
      <c r="E231" s="92"/>
      <c r="F231" s="92">
        <v>0.30694399999999999</v>
      </c>
      <c r="G231" s="92">
        <v>699.67100000000005</v>
      </c>
      <c r="H231" s="92">
        <v>74.525499999999994</v>
      </c>
      <c r="I231" s="92"/>
      <c r="J231" s="93">
        <f t="shared" si="10"/>
        <v>5.4099999999948523E-2</v>
      </c>
    </row>
    <row r="232" spans="2:10" x14ac:dyDescent="0.2">
      <c r="B232" s="92">
        <v>0.30833300000000002</v>
      </c>
      <c r="C232" s="92">
        <v>699.702</v>
      </c>
      <c r="D232" s="92">
        <v>76.136200000000002</v>
      </c>
      <c r="E232" s="92"/>
      <c r="F232" s="92">
        <v>0.30833300000000002</v>
      </c>
      <c r="G232" s="92">
        <v>699.70870000000002</v>
      </c>
      <c r="H232" s="92">
        <v>74.509</v>
      </c>
      <c r="I232" s="92"/>
      <c r="J232" s="93">
        <f t="shared" si="10"/>
        <v>6.700000000023465E-3</v>
      </c>
    </row>
    <row r="233" spans="2:10" x14ac:dyDescent="0.2">
      <c r="B233" s="92">
        <v>0.309722</v>
      </c>
      <c r="C233" s="92">
        <v>699.7355</v>
      </c>
      <c r="D233" s="92">
        <v>76.139399999999995</v>
      </c>
      <c r="E233" s="92"/>
      <c r="F233" s="92">
        <v>0.309722</v>
      </c>
      <c r="G233" s="92">
        <v>699.68280000000004</v>
      </c>
      <c r="H233" s="92">
        <v>74.498999999999995</v>
      </c>
      <c r="I233" s="92"/>
      <c r="J233" s="93">
        <f t="shared" si="10"/>
        <v>5.2699999999958891E-2</v>
      </c>
    </row>
    <row r="234" spans="2:10" x14ac:dyDescent="0.2">
      <c r="B234" s="92">
        <v>0.31111100000000003</v>
      </c>
      <c r="C234" s="92">
        <v>699.66690000000006</v>
      </c>
      <c r="D234" s="92">
        <v>76.144300000000001</v>
      </c>
      <c r="E234" s="92"/>
      <c r="F234" s="92">
        <v>0.31111100000000003</v>
      </c>
      <c r="G234" s="92">
        <v>699.67849999999999</v>
      </c>
      <c r="H234" s="92">
        <v>74.487499999999997</v>
      </c>
      <c r="I234" s="92"/>
      <c r="J234" s="93">
        <f t="shared" si="10"/>
        <v>1.1599999999930333E-2</v>
      </c>
    </row>
    <row r="235" spans="2:10" x14ac:dyDescent="0.2">
      <c r="B235" s="92">
        <v>0.3125</v>
      </c>
      <c r="C235" s="92">
        <v>699.72360000000003</v>
      </c>
      <c r="D235" s="92">
        <v>76.150800000000004</v>
      </c>
      <c r="E235" s="92"/>
      <c r="F235" s="92">
        <v>0.3125</v>
      </c>
      <c r="G235" s="92">
        <v>699.68110000000001</v>
      </c>
      <c r="H235" s="92">
        <v>74.460999999999999</v>
      </c>
      <c r="I235" s="92"/>
      <c r="J235" s="93">
        <f t="shared" si="10"/>
        <v>4.250000000001819E-2</v>
      </c>
    </row>
    <row r="236" spans="2:10" x14ac:dyDescent="0.2">
      <c r="B236" s="92">
        <v>0.31388899999999997</v>
      </c>
      <c r="C236" s="92">
        <v>699.73910000000001</v>
      </c>
      <c r="D236" s="92">
        <v>76.150800000000004</v>
      </c>
      <c r="E236" s="92"/>
      <c r="F236" s="92">
        <v>0.31388899999999997</v>
      </c>
      <c r="G236" s="92">
        <v>699.6952</v>
      </c>
      <c r="H236" s="92">
        <v>74.449399999999997</v>
      </c>
      <c r="I236" s="92"/>
      <c r="J236" s="93">
        <f t="shared" si="10"/>
        <v>4.3900000000007822E-2</v>
      </c>
    </row>
    <row r="237" spans="2:10" x14ac:dyDescent="0.2">
      <c r="B237" s="92">
        <v>0.315278</v>
      </c>
      <c r="C237" s="92">
        <v>699.68359999999996</v>
      </c>
      <c r="D237" s="92">
        <v>76.1524</v>
      </c>
      <c r="E237" s="92"/>
      <c r="F237" s="92">
        <v>0.315278</v>
      </c>
      <c r="G237" s="92">
        <v>699.69209999999998</v>
      </c>
      <c r="H237" s="92">
        <v>74.439499999999995</v>
      </c>
      <c r="I237" s="92"/>
      <c r="J237" s="93">
        <f t="shared" si="10"/>
        <v>8.5000000000263753E-3</v>
      </c>
    </row>
    <row r="238" spans="2:10" x14ac:dyDescent="0.2">
      <c r="B238" s="92">
        <v>0.31666699999999998</v>
      </c>
      <c r="C238" s="92">
        <v>699.74009999999998</v>
      </c>
      <c r="D238" s="92">
        <v>76.165400000000005</v>
      </c>
      <c r="E238" s="92"/>
      <c r="F238" s="92">
        <v>0.31666699999999998</v>
      </c>
      <c r="G238" s="92">
        <v>699.65</v>
      </c>
      <c r="H238" s="92">
        <v>74.426199999999994</v>
      </c>
      <c r="I238" s="92"/>
      <c r="J238" s="93">
        <f t="shared" si="10"/>
        <v>9.010000000000673E-2</v>
      </c>
    </row>
    <row r="239" spans="2:10" x14ac:dyDescent="0.2">
      <c r="B239" s="92">
        <v>0.31805600000000001</v>
      </c>
      <c r="C239" s="92">
        <v>699.70410000000004</v>
      </c>
      <c r="D239" s="92">
        <v>76.158900000000003</v>
      </c>
      <c r="E239" s="92"/>
      <c r="F239" s="92">
        <v>0.31805600000000001</v>
      </c>
      <c r="G239" s="92">
        <v>699.68640000000005</v>
      </c>
      <c r="H239" s="92">
        <v>74.408000000000001</v>
      </c>
      <c r="I239" s="92"/>
      <c r="J239" s="93">
        <f t="shared" si="10"/>
        <v>1.7699999999990723E-2</v>
      </c>
    </row>
    <row r="240" spans="2:10" x14ac:dyDescent="0.2">
      <c r="B240" s="92">
        <v>0.31944400000000001</v>
      </c>
      <c r="C240" s="92">
        <v>699.66650000000004</v>
      </c>
      <c r="D240" s="92">
        <v>76.163799999999995</v>
      </c>
      <c r="E240" s="92"/>
      <c r="F240" s="92">
        <v>0.31944400000000001</v>
      </c>
      <c r="G240" s="92">
        <v>699.67960000000005</v>
      </c>
      <c r="H240" s="92">
        <v>74.393100000000004</v>
      </c>
      <c r="I240" s="92"/>
      <c r="J240" s="93">
        <f t="shared" si="10"/>
        <v>1.3100000000008549E-2</v>
      </c>
    </row>
    <row r="241" spans="2:10" x14ac:dyDescent="0.2">
      <c r="B241" s="92">
        <v>0.32083299999999998</v>
      </c>
      <c r="C241" s="92">
        <v>699.68970000000002</v>
      </c>
      <c r="D241" s="92">
        <v>76.167000000000002</v>
      </c>
      <c r="E241" s="92"/>
      <c r="F241" s="92">
        <v>0.32083299999999998</v>
      </c>
      <c r="G241" s="92">
        <v>699.68650000000002</v>
      </c>
      <c r="H241" s="92">
        <v>74.378200000000007</v>
      </c>
      <c r="I241" s="92"/>
      <c r="J241" s="93">
        <f t="shared" si="10"/>
        <v>3.1999999999925421E-3</v>
      </c>
    </row>
    <row r="242" spans="2:10" x14ac:dyDescent="0.2">
      <c r="B242" s="92">
        <v>0.32222200000000001</v>
      </c>
      <c r="C242" s="92">
        <v>699.67939999999999</v>
      </c>
      <c r="D242" s="92">
        <v>76.167000000000002</v>
      </c>
      <c r="E242" s="92"/>
      <c r="F242" s="92">
        <v>0.32222200000000001</v>
      </c>
      <c r="G242" s="92">
        <v>699.6789</v>
      </c>
      <c r="H242" s="92">
        <v>74.368300000000005</v>
      </c>
      <c r="I242" s="92"/>
      <c r="J242" s="93">
        <f t="shared" si="10"/>
        <v>4.9999999998817657E-4</v>
      </c>
    </row>
    <row r="243" spans="2:10" x14ac:dyDescent="0.2">
      <c r="B243" s="92">
        <v>0.32361099999999998</v>
      </c>
      <c r="C243" s="92">
        <v>699.72580000000005</v>
      </c>
      <c r="D243" s="92">
        <v>76.173500000000004</v>
      </c>
      <c r="E243" s="92"/>
      <c r="F243" s="92">
        <v>0.32361099999999998</v>
      </c>
      <c r="G243" s="92">
        <v>699.72659999999996</v>
      </c>
      <c r="H243" s="92">
        <v>74.346800000000002</v>
      </c>
      <c r="I243" s="92"/>
      <c r="J243" s="93">
        <f t="shared" si="10"/>
        <v>7.9999999991287041E-4</v>
      </c>
    </row>
    <row r="244" spans="2:10" x14ac:dyDescent="0.2">
      <c r="B244" s="92">
        <v>0.32500000000000001</v>
      </c>
      <c r="C244" s="92">
        <v>699.73360000000002</v>
      </c>
      <c r="D244" s="92">
        <v>76.170299999999997</v>
      </c>
      <c r="E244" s="92"/>
      <c r="F244" s="92">
        <v>0.32500000000000001</v>
      </c>
      <c r="G244" s="92">
        <v>699.67110000000002</v>
      </c>
      <c r="H244" s="92">
        <v>74.340199999999996</v>
      </c>
      <c r="I244" s="92"/>
      <c r="J244" s="93">
        <f t="shared" si="10"/>
        <v>6.25E-2</v>
      </c>
    </row>
    <row r="245" spans="2:10" x14ac:dyDescent="0.2">
      <c r="B245" s="92">
        <v>0.32638899999999998</v>
      </c>
      <c r="C245" s="92">
        <v>699.72580000000005</v>
      </c>
      <c r="D245" s="92">
        <v>76.173500000000004</v>
      </c>
      <c r="E245" s="92"/>
      <c r="F245" s="92">
        <v>0.32638899999999998</v>
      </c>
      <c r="G245" s="92">
        <v>699.66430000000003</v>
      </c>
      <c r="H245" s="92">
        <v>74.325299999999999</v>
      </c>
      <c r="I245" s="92"/>
      <c r="J245" s="93">
        <f t="shared" si="10"/>
        <v>6.1500000000023647E-2</v>
      </c>
    </row>
    <row r="246" spans="2:10" x14ac:dyDescent="0.2">
      <c r="B246" s="92">
        <v>0.32777800000000001</v>
      </c>
      <c r="C246" s="92">
        <v>699.70640000000003</v>
      </c>
      <c r="D246" s="92">
        <v>76.1751</v>
      </c>
      <c r="E246" s="92"/>
      <c r="F246" s="92">
        <v>0.32777800000000001</v>
      </c>
      <c r="G246" s="92">
        <v>699.7287</v>
      </c>
      <c r="H246" s="92">
        <v>74.313699999999997</v>
      </c>
      <c r="I246" s="92"/>
      <c r="J246" s="93">
        <f t="shared" si="10"/>
        <v>2.2299999999972897E-2</v>
      </c>
    </row>
    <row r="247" spans="2:10" x14ac:dyDescent="0.2">
      <c r="B247" s="92">
        <v>0.32916699999999999</v>
      </c>
      <c r="C247" s="92">
        <v>699.72439999999995</v>
      </c>
      <c r="D247" s="92">
        <v>76.178399999999996</v>
      </c>
      <c r="E247" s="92"/>
      <c r="F247" s="92">
        <v>0.32916699999999999</v>
      </c>
      <c r="G247" s="92">
        <v>699.67280000000005</v>
      </c>
      <c r="H247" s="92">
        <v>74.300399999999996</v>
      </c>
      <c r="I247" s="92"/>
      <c r="J247" s="93">
        <f t="shared" si="10"/>
        <v>5.1599999999893953E-2</v>
      </c>
    </row>
    <row r="248" spans="2:10" x14ac:dyDescent="0.2">
      <c r="B248" s="92">
        <v>0.33055600000000002</v>
      </c>
      <c r="C248" s="92">
        <v>699.74490000000003</v>
      </c>
      <c r="D248" s="92">
        <v>76.184899999999999</v>
      </c>
      <c r="E248" s="92"/>
      <c r="F248" s="92">
        <v>0.33055600000000002</v>
      </c>
      <c r="G248" s="92">
        <v>699.69799999999998</v>
      </c>
      <c r="H248" s="92">
        <v>74.285499999999999</v>
      </c>
      <c r="I248" s="92"/>
      <c r="J248" s="93">
        <f t="shared" si="10"/>
        <v>4.6900000000050568E-2</v>
      </c>
    </row>
    <row r="249" spans="2:10" x14ac:dyDescent="0.2">
      <c r="B249" s="92">
        <v>0.33194400000000002</v>
      </c>
      <c r="C249" s="92">
        <v>699.71</v>
      </c>
      <c r="D249" s="92">
        <v>76.186499999999995</v>
      </c>
      <c r="E249" s="92"/>
      <c r="F249" s="92">
        <v>0.33194400000000002</v>
      </c>
      <c r="G249" s="92">
        <v>699.6884</v>
      </c>
      <c r="H249" s="92">
        <v>74.278899999999993</v>
      </c>
      <c r="I249" s="92"/>
      <c r="J249" s="93">
        <f t="shared" si="10"/>
        <v>2.1600000000034925E-2</v>
      </c>
    </row>
    <row r="250" spans="2:10" x14ac:dyDescent="0.2">
      <c r="B250" s="92">
        <v>0.33333299999999999</v>
      </c>
      <c r="C250" s="92">
        <v>699.68679999999995</v>
      </c>
      <c r="D250" s="92">
        <v>76.183300000000003</v>
      </c>
      <c r="E250" s="92"/>
      <c r="F250" s="92">
        <v>0.33333299999999999</v>
      </c>
      <c r="G250" s="92">
        <v>699.69449999999995</v>
      </c>
      <c r="H250" s="92">
        <v>74.269000000000005</v>
      </c>
      <c r="I250" s="92"/>
      <c r="J250" s="93">
        <f t="shared" si="10"/>
        <v>7.6999999999998181E-3</v>
      </c>
    </row>
    <row r="251" spans="2:10" x14ac:dyDescent="0.2">
      <c r="B251" s="92">
        <v>0.33472200000000002</v>
      </c>
      <c r="C251" s="92">
        <v>699.71519999999998</v>
      </c>
      <c r="D251" s="92">
        <v>76.186499999999995</v>
      </c>
      <c r="E251" s="92"/>
      <c r="F251" s="92">
        <v>0.33472200000000002</v>
      </c>
      <c r="G251" s="92">
        <v>699.70100000000002</v>
      </c>
      <c r="H251" s="92">
        <v>74.247500000000002</v>
      </c>
      <c r="I251" s="92"/>
      <c r="J251" s="93">
        <f t="shared" si="10"/>
        <v>1.41999999999598E-2</v>
      </c>
    </row>
    <row r="252" spans="2:10" x14ac:dyDescent="0.2">
      <c r="B252" s="92">
        <v>0.33611099999999999</v>
      </c>
      <c r="C252" s="92">
        <v>699.71109999999999</v>
      </c>
      <c r="D252" s="92">
        <v>76.194599999999994</v>
      </c>
      <c r="E252" s="92"/>
      <c r="F252" s="92">
        <v>0.33611099999999999</v>
      </c>
      <c r="G252" s="92">
        <v>699.67129999999997</v>
      </c>
      <c r="H252" s="92">
        <v>74.232600000000005</v>
      </c>
      <c r="I252" s="92"/>
      <c r="J252" s="93">
        <f t="shared" si="10"/>
        <v>3.9800000000013824E-2</v>
      </c>
    </row>
    <row r="253" spans="2:10" x14ac:dyDescent="0.2">
      <c r="B253" s="92">
        <v>0.33750000000000002</v>
      </c>
      <c r="C253" s="92">
        <v>699.7124</v>
      </c>
      <c r="D253" s="92">
        <v>76.196200000000005</v>
      </c>
      <c r="E253" s="92"/>
      <c r="F253" s="92">
        <v>0.33750000000000002</v>
      </c>
      <c r="G253" s="92">
        <v>699.67529999999999</v>
      </c>
      <c r="H253" s="92">
        <v>74.225999999999999</v>
      </c>
      <c r="I253" s="92"/>
      <c r="J253" s="93">
        <f t="shared" si="10"/>
        <v>3.7100000000009459E-2</v>
      </c>
    </row>
    <row r="254" spans="2:10" x14ac:dyDescent="0.2">
      <c r="B254" s="92">
        <v>0.338889</v>
      </c>
      <c r="C254" s="92">
        <v>699.7097</v>
      </c>
      <c r="D254" s="92">
        <v>76.1995</v>
      </c>
      <c r="E254" s="92"/>
      <c r="F254" s="92">
        <v>0.338889</v>
      </c>
      <c r="G254" s="92">
        <v>699.68100000000004</v>
      </c>
      <c r="H254" s="92">
        <v>74.209400000000002</v>
      </c>
      <c r="I254" s="92"/>
      <c r="J254" s="93">
        <f t="shared" si="10"/>
        <v>2.8699999999957981E-2</v>
      </c>
    </row>
    <row r="255" spans="2:10" x14ac:dyDescent="0.2">
      <c r="B255" s="92">
        <v>0.34027800000000002</v>
      </c>
      <c r="C255" s="92">
        <v>699.67089999999996</v>
      </c>
      <c r="D255" s="92">
        <v>76.202699999999993</v>
      </c>
      <c r="E255" s="92"/>
      <c r="F255" s="92">
        <v>0.34027800000000002</v>
      </c>
      <c r="G255" s="92">
        <v>699.67669999999998</v>
      </c>
      <c r="H255" s="92">
        <v>74.197800000000001</v>
      </c>
      <c r="I255" s="92"/>
      <c r="J255" s="93">
        <f t="shared" si="10"/>
        <v>5.8000000000220098E-3</v>
      </c>
    </row>
    <row r="256" spans="2:10" x14ac:dyDescent="0.2">
      <c r="B256" s="92">
        <v>0.341667</v>
      </c>
      <c r="C256" s="92">
        <v>699.70190000000002</v>
      </c>
      <c r="D256" s="92">
        <v>76.202699999999993</v>
      </c>
      <c r="E256" s="92"/>
      <c r="F256" s="92">
        <v>0.341667</v>
      </c>
      <c r="G256" s="92">
        <v>699.6866</v>
      </c>
      <c r="H256" s="92">
        <v>74.192800000000005</v>
      </c>
      <c r="I256" s="92"/>
      <c r="J256" s="93">
        <f t="shared" si="10"/>
        <v>1.5300000000024738E-2</v>
      </c>
    </row>
    <row r="257" spans="2:10" x14ac:dyDescent="0.2">
      <c r="B257" s="92">
        <v>0.34305600000000003</v>
      </c>
      <c r="C257" s="92">
        <v>699.69269999999995</v>
      </c>
      <c r="D257" s="92">
        <v>76.210800000000006</v>
      </c>
      <c r="E257" s="92"/>
      <c r="F257" s="92">
        <v>0.34305600000000003</v>
      </c>
      <c r="G257" s="92">
        <v>699.68190000000004</v>
      </c>
      <c r="H257" s="92">
        <v>74.174599999999998</v>
      </c>
      <c r="I257" s="92"/>
      <c r="J257" s="93">
        <f t="shared" si="10"/>
        <v>1.0799999999903775E-2</v>
      </c>
    </row>
    <row r="258" spans="2:10" x14ac:dyDescent="0.2">
      <c r="B258" s="92">
        <v>0.34444399999999997</v>
      </c>
      <c r="C258" s="92">
        <v>699.71079999999995</v>
      </c>
      <c r="D258" s="92">
        <v>76.214100000000002</v>
      </c>
      <c r="E258" s="92"/>
      <c r="F258" s="92">
        <v>0.34444399999999997</v>
      </c>
      <c r="G258" s="92">
        <v>699.67880000000002</v>
      </c>
      <c r="H258" s="92">
        <v>74.164699999999996</v>
      </c>
      <c r="I258" s="92"/>
      <c r="J258" s="93">
        <f t="shared" si="10"/>
        <v>3.1999999999925421E-2</v>
      </c>
    </row>
    <row r="259" spans="2:10" x14ac:dyDescent="0.2">
      <c r="B259" s="92">
        <v>0.345833</v>
      </c>
      <c r="C259" s="92">
        <v>699.69650000000001</v>
      </c>
      <c r="D259" s="92">
        <v>76.215699999999998</v>
      </c>
      <c r="E259" s="92"/>
      <c r="F259" s="92">
        <v>0.345833</v>
      </c>
      <c r="G259" s="92">
        <v>699.6413</v>
      </c>
      <c r="H259" s="92">
        <v>74.151499999999999</v>
      </c>
      <c r="I259" s="92"/>
      <c r="J259" s="93">
        <f t="shared" si="10"/>
        <v>5.5200000000013461E-2</v>
      </c>
    </row>
    <row r="260" spans="2:10" x14ac:dyDescent="0.2">
      <c r="B260" s="92">
        <v>0.34722199999999998</v>
      </c>
      <c r="C260" s="92">
        <v>699.65920000000006</v>
      </c>
      <c r="D260" s="92">
        <v>76.207599999999999</v>
      </c>
      <c r="E260" s="92"/>
      <c r="F260" s="92">
        <v>0.34722199999999998</v>
      </c>
      <c r="G260" s="92">
        <v>699.6848</v>
      </c>
      <c r="H260" s="92">
        <v>74.136600000000001</v>
      </c>
      <c r="I260" s="92"/>
      <c r="J260" s="93">
        <f t="shared" si="10"/>
        <v>2.5599999999940337E-2</v>
      </c>
    </row>
    <row r="261" spans="2:10" x14ac:dyDescent="0.2">
      <c r="B261" s="92">
        <v>0.348611</v>
      </c>
      <c r="C261" s="92">
        <v>699.66300000000001</v>
      </c>
      <c r="D261" s="92">
        <v>76.212500000000006</v>
      </c>
      <c r="E261" s="92"/>
      <c r="F261" s="92">
        <v>0.348611</v>
      </c>
      <c r="G261" s="92">
        <v>699.68560000000002</v>
      </c>
      <c r="H261" s="92">
        <v>74.131600000000006</v>
      </c>
      <c r="I261" s="92"/>
      <c r="J261" s="93">
        <f t="shared" si="10"/>
        <v>2.2600000000011278E-2</v>
      </c>
    </row>
    <row r="262" spans="2:10" x14ac:dyDescent="0.2">
      <c r="B262" s="92">
        <v>0.35</v>
      </c>
      <c r="C262" s="92">
        <v>699.67989999999998</v>
      </c>
      <c r="D262" s="92">
        <v>76.207599999999999</v>
      </c>
      <c r="E262" s="92"/>
      <c r="F262" s="92">
        <v>0.35</v>
      </c>
      <c r="G262" s="92">
        <v>699.70669999999996</v>
      </c>
      <c r="H262" s="92">
        <v>74.1233</v>
      </c>
      <c r="I262" s="92"/>
      <c r="J262" s="93">
        <f t="shared" si="10"/>
        <v>2.6799999999980173E-2</v>
      </c>
    </row>
    <row r="263" spans="2:10" x14ac:dyDescent="0.2">
      <c r="B263" s="92">
        <v>0.35138900000000001</v>
      </c>
      <c r="C263" s="92">
        <v>699.69920000000002</v>
      </c>
      <c r="D263" s="92">
        <v>76.212500000000006</v>
      </c>
      <c r="E263" s="92"/>
      <c r="F263" s="92">
        <v>0.35138900000000001</v>
      </c>
      <c r="G263" s="92">
        <v>699.67520000000002</v>
      </c>
      <c r="H263" s="92">
        <v>74.100200000000001</v>
      </c>
      <c r="I263" s="92"/>
      <c r="J263" s="93">
        <f t="shared" si="10"/>
        <v>2.4000000000000909E-2</v>
      </c>
    </row>
    <row r="264" spans="2:10" x14ac:dyDescent="0.2">
      <c r="B264" s="92">
        <v>0.35277799999999998</v>
      </c>
      <c r="C264" s="92">
        <v>699.75720000000001</v>
      </c>
      <c r="D264" s="92">
        <v>76.214100000000002</v>
      </c>
      <c r="E264" s="92"/>
      <c r="F264" s="92">
        <v>0.35277799999999998</v>
      </c>
      <c r="G264" s="92">
        <v>699.67219999999998</v>
      </c>
      <c r="H264" s="92">
        <v>74.090199999999996</v>
      </c>
      <c r="I264" s="92"/>
      <c r="J264" s="93">
        <f t="shared" si="10"/>
        <v>8.500000000003638E-2</v>
      </c>
    </row>
    <row r="265" spans="2:10" x14ac:dyDescent="0.2">
      <c r="B265" s="92">
        <v>0.35416700000000001</v>
      </c>
      <c r="C265" s="92">
        <v>699.7056</v>
      </c>
      <c r="D265" s="92">
        <v>76.214100000000002</v>
      </c>
      <c r="E265" s="92"/>
      <c r="F265" s="92">
        <v>0.35416700000000001</v>
      </c>
      <c r="G265" s="92">
        <v>699.69920000000002</v>
      </c>
      <c r="H265" s="92">
        <v>74.083600000000004</v>
      </c>
      <c r="I265" s="92"/>
      <c r="J265" s="93">
        <f t="shared" si="10"/>
        <v>6.3999999999850843E-3</v>
      </c>
    </row>
    <row r="266" spans="2:10" x14ac:dyDescent="0.2">
      <c r="B266" s="92">
        <v>0.35555599999999998</v>
      </c>
      <c r="C266" s="92">
        <v>699.71199999999999</v>
      </c>
      <c r="D266" s="92">
        <v>76.215699999999998</v>
      </c>
      <c r="E266" s="92"/>
      <c r="F266" s="92">
        <v>0.35555599999999998</v>
      </c>
      <c r="G266" s="92">
        <v>699.64660000000003</v>
      </c>
      <c r="H266" s="92">
        <v>74.068700000000007</v>
      </c>
      <c r="I266" s="92"/>
      <c r="J266" s="93">
        <f t="shared" si="10"/>
        <v>6.5399999999954161E-2</v>
      </c>
    </row>
    <row r="267" spans="2:10" x14ac:dyDescent="0.2">
      <c r="B267" s="92">
        <v>0.35694399999999998</v>
      </c>
      <c r="C267" s="92">
        <v>699.69010000000003</v>
      </c>
      <c r="D267" s="92">
        <v>76.214100000000002</v>
      </c>
      <c r="E267" s="92"/>
      <c r="F267" s="92">
        <v>0.35694399999999998</v>
      </c>
      <c r="G267" s="92">
        <v>699.71090000000004</v>
      </c>
      <c r="H267" s="92">
        <v>74.057100000000005</v>
      </c>
      <c r="I267" s="92"/>
      <c r="J267" s="93">
        <f t="shared" ref="J267:J330" si="11">+ABS(G267-C267)</f>
        <v>2.0800000000008367E-2</v>
      </c>
    </row>
    <row r="268" spans="2:10" x14ac:dyDescent="0.2">
      <c r="B268" s="92">
        <v>0.35833300000000001</v>
      </c>
      <c r="C268" s="92">
        <v>699.70429999999999</v>
      </c>
      <c r="D268" s="92">
        <v>76.212500000000006</v>
      </c>
      <c r="E268" s="92"/>
      <c r="F268" s="92">
        <v>0.35833300000000001</v>
      </c>
      <c r="G268" s="92">
        <v>699.63930000000005</v>
      </c>
      <c r="H268" s="92">
        <v>74.047200000000004</v>
      </c>
      <c r="I268" s="92"/>
      <c r="J268" s="93">
        <f t="shared" si="11"/>
        <v>6.4999999999940883E-2</v>
      </c>
    </row>
    <row r="269" spans="2:10" x14ac:dyDescent="0.2">
      <c r="B269" s="92">
        <v>0.35972199999999999</v>
      </c>
      <c r="C269" s="92">
        <v>699.69269999999995</v>
      </c>
      <c r="D269" s="92">
        <v>76.210800000000006</v>
      </c>
      <c r="E269" s="92"/>
      <c r="F269" s="92">
        <v>0.35972199999999999</v>
      </c>
      <c r="G269" s="92">
        <v>699.66120000000001</v>
      </c>
      <c r="H269" s="92">
        <v>74.034000000000006</v>
      </c>
      <c r="I269" s="92"/>
      <c r="J269" s="93">
        <f t="shared" si="11"/>
        <v>3.1499999999937245E-2</v>
      </c>
    </row>
    <row r="270" spans="2:10" x14ac:dyDescent="0.2">
      <c r="B270" s="92">
        <v>0.36111100000000002</v>
      </c>
      <c r="C270" s="92">
        <v>699.69510000000002</v>
      </c>
      <c r="D270" s="92">
        <v>76.220600000000005</v>
      </c>
      <c r="E270" s="92"/>
      <c r="F270" s="92">
        <v>0.36111100000000002</v>
      </c>
      <c r="G270" s="92">
        <v>699.68640000000005</v>
      </c>
      <c r="H270" s="92">
        <v>74.019099999999995</v>
      </c>
      <c r="I270" s="92"/>
      <c r="J270" s="93">
        <f t="shared" si="11"/>
        <v>8.6999999999761712E-3</v>
      </c>
    </row>
    <row r="271" spans="2:10" x14ac:dyDescent="0.2">
      <c r="B271" s="92">
        <v>0.36249999999999999</v>
      </c>
      <c r="C271" s="92">
        <v>699.70680000000004</v>
      </c>
      <c r="D271" s="92">
        <v>76.215699999999998</v>
      </c>
      <c r="E271" s="92"/>
      <c r="F271" s="92">
        <v>0.36249999999999999</v>
      </c>
      <c r="G271" s="92">
        <v>699.65390000000002</v>
      </c>
      <c r="H271" s="92">
        <v>74.0124</v>
      </c>
      <c r="I271" s="92"/>
      <c r="J271" s="93">
        <f t="shared" si="11"/>
        <v>5.2900000000022374E-2</v>
      </c>
    </row>
    <row r="272" spans="2:10" x14ac:dyDescent="0.2">
      <c r="B272" s="92">
        <v>0.36388900000000002</v>
      </c>
      <c r="C272" s="92">
        <v>699.69389999999999</v>
      </c>
      <c r="D272" s="92">
        <v>76.218999999999994</v>
      </c>
      <c r="E272" s="92"/>
      <c r="F272" s="92">
        <v>0.36388900000000002</v>
      </c>
      <c r="G272" s="92">
        <v>699.70119999999997</v>
      </c>
      <c r="H272" s="92">
        <v>74.002499999999998</v>
      </c>
      <c r="I272" s="92"/>
      <c r="J272" s="93">
        <f t="shared" si="11"/>
        <v>7.2999999999865395E-3</v>
      </c>
    </row>
    <row r="273" spans="2:10" x14ac:dyDescent="0.2">
      <c r="B273" s="92">
        <v>0.36527799999999999</v>
      </c>
      <c r="C273" s="92">
        <v>699.6884</v>
      </c>
      <c r="D273" s="92">
        <v>76.231899999999996</v>
      </c>
      <c r="E273" s="92"/>
      <c r="F273" s="92">
        <v>0.36527799999999999</v>
      </c>
      <c r="G273" s="92">
        <v>699.66560000000004</v>
      </c>
      <c r="H273" s="92">
        <v>73.986000000000004</v>
      </c>
      <c r="I273" s="92"/>
      <c r="J273" s="93">
        <f t="shared" si="11"/>
        <v>2.2799999999961074E-2</v>
      </c>
    </row>
    <row r="274" spans="2:10" x14ac:dyDescent="0.2">
      <c r="B274" s="92">
        <v>0.36666700000000002</v>
      </c>
      <c r="C274" s="92">
        <v>699.68870000000004</v>
      </c>
      <c r="D274" s="92">
        <v>76.218999999999994</v>
      </c>
      <c r="E274" s="92"/>
      <c r="F274" s="92">
        <v>0.36666700000000002</v>
      </c>
      <c r="G274" s="92">
        <v>699.65419999999995</v>
      </c>
      <c r="H274" s="92">
        <v>73.971100000000007</v>
      </c>
      <c r="I274" s="92"/>
      <c r="J274" s="93">
        <f t="shared" si="11"/>
        <v>3.4500000000093678E-2</v>
      </c>
    </row>
    <row r="275" spans="2:10" x14ac:dyDescent="0.2">
      <c r="B275" s="92">
        <v>0.36805599999999999</v>
      </c>
      <c r="C275" s="92">
        <v>699.65869999999995</v>
      </c>
      <c r="D275" s="92">
        <v>76.233599999999996</v>
      </c>
      <c r="E275" s="92"/>
      <c r="F275" s="92">
        <v>0.36805599999999999</v>
      </c>
      <c r="G275" s="92">
        <v>699.69029999999998</v>
      </c>
      <c r="H275" s="92">
        <v>73.964399999999998</v>
      </c>
      <c r="I275" s="92"/>
      <c r="J275" s="93">
        <f t="shared" si="11"/>
        <v>3.160000000002583E-2</v>
      </c>
    </row>
    <row r="276" spans="2:10" x14ac:dyDescent="0.2">
      <c r="B276" s="92">
        <v>0.36944399999999999</v>
      </c>
      <c r="C276" s="92">
        <v>699.69759999999997</v>
      </c>
      <c r="D276" s="92">
        <v>76.223799999999997</v>
      </c>
      <c r="E276" s="92"/>
      <c r="F276" s="92">
        <v>0.36944399999999999</v>
      </c>
      <c r="G276" s="92">
        <v>699.6789</v>
      </c>
      <c r="H276" s="92">
        <v>73.9495</v>
      </c>
      <c r="I276" s="92"/>
      <c r="J276" s="93">
        <f t="shared" si="11"/>
        <v>1.8699999999967076E-2</v>
      </c>
    </row>
    <row r="277" spans="2:10" x14ac:dyDescent="0.2">
      <c r="B277" s="92">
        <v>0.37083300000000002</v>
      </c>
      <c r="C277" s="92">
        <v>699.70659999999998</v>
      </c>
      <c r="D277" s="92">
        <v>76.228700000000003</v>
      </c>
      <c r="E277" s="92"/>
      <c r="F277" s="92">
        <v>0.37083300000000002</v>
      </c>
      <c r="G277" s="92">
        <v>699.69929999999999</v>
      </c>
      <c r="H277" s="92">
        <v>73.946200000000005</v>
      </c>
      <c r="I277" s="92"/>
      <c r="J277" s="93">
        <f t="shared" si="11"/>
        <v>7.2999999999865395E-3</v>
      </c>
    </row>
    <row r="278" spans="2:10" x14ac:dyDescent="0.2">
      <c r="B278" s="92">
        <v>0.372222</v>
      </c>
      <c r="C278" s="92">
        <v>699.71820000000002</v>
      </c>
      <c r="D278" s="92">
        <v>76.2303</v>
      </c>
      <c r="E278" s="92"/>
      <c r="F278" s="92">
        <v>0.372222</v>
      </c>
      <c r="G278" s="92">
        <v>699.68629999999996</v>
      </c>
      <c r="H278" s="92">
        <v>73.941299999999998</v>
      </c>
      <c r="I278" s="92"/>
      <c r="J278" s="93">
        <f t="shared" si="11"/>
        <v>3.190000000006421E-2</v>
      </c>
    </row>
    <row r="279" spans="2:10" x14ac:dyDescent="0.2">
      <c r="B279" s="92">
        <v>0.37361100000000003</v>
      </c>
      <c r="C279" s="92">
        <v>699.72329999999999</v>
      </c>
      <c r="D279" s="92">
        <v>76.2303</v>
      </c>
      <c r="E279" s="92"/>
      <c r="F279" s="92">
        <v>0.37361100000000003</v>
      </c>
      <c r="G279" s="92">
        <v>699.66989999999998</v>
      </c>
      <c r="H279" s="92">
        <v>73.919700000000006</v>
      </c>
      <c r="I279" s="92"/>
      <c r="J279" s="93">
        <f t="shared" si="11"/>
        <v>5.340000000001055E-2</v>
      </c>
    </row>
    <row r="280" spans="2:10" x14ac:dyDescent="0.2">
      <c r="B280" s="92">
        <v>0.375</v>
      </c>
      <c r="C280" s="92">
        <v>699.70280000000002</v>
      </c>
      <c r="D280" s="92">
        <v>76.223799999999997</v>
      </c>
      <c r="E280" s="92"/>
      <c r="F280" s="92">
        <v>0.375</v>
      </c>
      <c r="G280" s="92">
        <v>699.66099999999994</v>
      </c>
      <c r="H280" s="92">
        <v>73.908199999999994</v>
      </c>
      <c r="I280" s="92"/>
      <c r="J280" s="93">
        <f t="shared" si="11"/>
        <v>4.1800000000080217E-2</v>
      </c>
    </row>
    <row r="281" spans="2:10" x14ac:dyDescent="0.2">
      <c r="B281" s="92">
        <v>0.37638899999999997</v>
      </c>
      <c r="C281" s="92">
        <v>699.72069999999997</v>
      </c>
      <c r="D281" s="92">
        <v>76.233599999999996</v>
      </c>
      <c r="E281" s="92"/>
      <c r="F281" s="92">
        <v>0.37638899999999997</v>
      </c>
      <c r="G281" s="92">
        <v>699.67219999999998</v>
      </c>
      <c r="H281" s="92">
        <v>73.904799999999994</v>
      </c>
      <c r="I281" s="92"/>
      <c r="J281" s="93">
        <f t="shared" si="11"/>
        <v>4.8499999999989996E-2</v>
      </c>
    </row>
    <row r="282" spans="2:10" x14ac:dyDescent="0.2">
      <c r="B282" s="92">
        <v>0.377778</v>
      </c>
      <c r="C282" s="92">
        <v>699.72590000000002</v>
      </c>
      <c r="D282" s="92">
        <v>76.233599999999996</v>
      </c>
      <c r="E282" s="92"/>
      <c r="F282" s="92">
        <v>0.377778</v>
      </c>
      <c r="G282" s="92">
        <v>699.70169999999996</v>
      </c>
      <c r="H282" s="92">
        <v>73.901499999999999</v>
      </c>
      <c r="I282" s="92"/>
      <c r="J282" s="93">
        <f t="shared" si="11"/>
        <v>2.4200000000064392E-2</v>
      </c>
    </row>
    <row r="283" spans="2:10" x14ac:dyDescent="0.2">
      <c r="B283" s="92">
        <v>0.37916699999999998</v>
      </c>
      <c r="C283" s="92">
        <v>699.66390000000001</v>
      </c>
      <c r="D283" s="92">
        <v>76.233599999999996</v>
      </c>
      <c r="E283" s="92"/>
      <c r="F283" s="92">
        <v>0.37916699999999998</v>
      </c>
      <c r="G283" s="92">
        <v>699.68650000000002</v>
      </c>
      <c r="H283" s="92">
        <v>73.881699999999995</v>
      </c>
      <c r="I283" s="92"/>
      <c r="J283" s="93">
        <f t="shared" si="11"/>
        <v>2.2600000000011278E-2</v>
      </c>
    </row>
    <row r="284" spans="2:10" x14ac:dyDescent="0.2">
      <c r="B284" s="92">
        <v>0.38055600000000001</v>
      </c>
      <c r="C284" s="92">
        <v>699.71299999999997</v>
      </c>
      <c r="D284" s="92">
        <v>76.2303</v>
      </c>
      <c r="E284" s="92"/>
      <c r="F284" s="92">
        <v>0.38055600000000001</v>
      </c>
      <c r="G284" s="92">
        <v>699.64279999999997</v>
      </c>
      <c r="H284" s="92">
        <v>73.878399999999999</v>
      </c>
      <c r="I284" s="92"/>
      <c r="J284" s="93">
        <f t="shared" si="11"/>
        <v>7.0199999999999818E-2</v>
      </c>
    </row>
    <row r="285" spans="2:10" x14ac:dyDescent="0.2">
      <c r="B285" s="92">
        <v>0.38194400000000001</v>
      </c>
      <c r="C285" s="92">
        <v>699.70389999999998</v>
      </c>
      <c r="D285" s="92">
        <v>76.231899999999996</v>
      </c>
      <c r="E285" s="92"/>
      <c r="F285" s="92">
        <v>0.38194400000000001</v>
      </c>
      <c r="G285" s="92">
        <v>699.66970000000003</v>
      </c>
      <c r="H285" s="92">
        <v>73.871700000000004</v>
      </c>
      <c r="I285" s="92"/>
      <c r="J285" s="93">
        <f t="shared" si="11"/>
        <v>3.419999999994161E-2</v>
      </c>
    </row>
    <row r="286" spans="2:10" x14ac:dyDescent="0.2">
      <c r="B286" s="92">
        <v>0.38333299999999998</v>
      </c>
      <c r="C286" s="92">
        <v>699.68579999999997</v>
      </c>
      <c r="D286" s="92">
        <v>76.235200000000006</v>
      </c>
      <c r="E286" s="92"/>
      <c r="F286" s="92">
        <v>0.38333299999999998</v>
      </c>
      <c r="G286" s="92">
        <v>699.66869999999994</v>
      </c>
      <c r="H286" s="92">
        <v>73.858500000000006</v>
      </c>
      <c r="I286" s="92"/>
      <c r="J286" s="93">
        <f t="shared" si="11"/>
        <v>1.7100000000027649E-2</v>
      </c>
    </row>
    <row r="287" spans="2:10" x14ac:dyDescent="0.2">
      <c r="B287" s="92">
        <v>0.38472200000000001</v>
      </c>
      <c r="C287" s="92">
        <v>699.68060000000003</v>
      </c>
      <c r="D287" s="92">
        <v>76.235200000000006</v>
      </c>
      <c r="E287" s="92"/>
      <c r="F287" s="92">
        <v>0.38472200000000001</v>
      </c>
      <c r="G287" s="92">
        <v>699.67510000000004</v>
      </c>
      <c r="H287" s="92">
        <v>73.837000000000003</v>
      </c>
      <c r="I287" s="92"/>
      <c r="J287" s="93">
        <f t="shared" si="11"/>
        <v>5.4999999999836291E-3</v>
      </c>
    </row>
    <row r="288" spans="2:10" x14ac:dyDescent="0.2">
      <c r="B288" s="92">
        <v>0.38611099999999998</v>
      </c>
      <c r="C288" s="92">
        <v>699.66899999999998</v>
      </c>
      <c r="D288" s="92">
        <v>76.233599999999996</v>
      </c>
      <c r="E288" s="92"/>
      <c r="F288" s="92">
        <v>0.38611099999999998</v>
      </c>
      <c r="G288" s="92">
        <v>699.67510000000004</v>
      </c>
      <c r="H288" s="92">
        <v>73.837000000000003</v>
      </c>
      <c r="I288" s="92"/>
      <c r="J288" s="93">
        <f t="shared" si="11"/>
        <v>6.1000000000603904E-3</v>
      </c>
    </row>
    <row r="289" spans="2:10" x14ac:dyDescent="0.2">
      <c r="B289" s="92">
        <v>0.38750000000000001</v>
      </c>
      <c r="C289" s="92">
        <v>699.71410000000003</v>
      </c>
      <c r="D289" s="92">
        <v>76.238399999999999</v>
      </c>
      <c r="E289" s="92"/>
      <c r="F289" s="92">
        <v>0.38750000000000001</v>
      </c>
      <c r="G289" s="92">
        <v>699.66300000000001</v>
      </c>
      <c r="H289" s="92">
        <v>73.827100000000002</v>
      </c>
      <c r="I289" s="92"/>
      <c r="J289" s="93">
        <f t="shared" si="11"/>
        <v>5.1100000000019463E-2</v>
      </c>
    </row>
    <row r="290" spans="2:10" x14ac:dyDescent="0.2">
      <c r="B290" s="92">
        <v>0.38888899999999998</v>
      </c>
      <c r="C290" s="92">
        <v>699.71040000000005</v>
      </c>
      <c r="D290" s="92">
        <v>76.233599999999996</v>
      </c>
      <c r="E290" s="92"/>
      <c r="F290" s="92">
        <v>0.38888899999999998</v>
      </c>
      <c r="G290" s="92">
        <v>699.64160000000004</v>
      </c>
      <c r="H290" s="92">
        <v>73.817099999999996</v>
      </c>
      <c r="I290" s="92"/>
      <c r="J290" s="93">
        <f t="shared" si="11"/>
        <v>6.8800000000010186E-2</v>
      </c>
    </row>
    <row r="291" spans="2:10" x14ac:dyDescent="0.2">
      <c r="B291" s="92">
        <v>0.39027800000000001</v>
      </c>
      <c r="C291" s="92">
        <v>699.69600000000003</v>
      </c>
      <c r="D291" s="92">
        <v>76.241699999999994</v>
      </c>
      <c r="E291" s="92"/>
      <c r="F291" s="92">
        <v>0.39027800000000001</v>
      </c>
      <c r="G291" s="92">
        <v>699.65110000000004</v>
      </c>
      <c r="H291" s="92">
        <v>73.805499999999995</v>
      </c>
      <c r="I291" s="92"/>
      <c r="J291" s="93">
        <f t="shared" si="11"/>
        <v>4.4899999999984175E-2</v>
      </c>
    </row>
    <row r="292" spans="2:10" x14ac:dyDescent="0.2">
      <c r="B292" s="92">
        <v>0.39166699999999999</v>
      </c>
      <c r="C292" s="92">
        <v>699.69349999999997</v>
      </c>
      <c r="D292" s="92">
        <v>76.238399999999999</v>
      </c>
      <c r="E292" s="92"/>
      <c r="F292" s="92">
        <v>0.39166699999999999</v>
      </c>
      <c r="G292" s="92">
        <v>699.68539999999996</v>
      </c>
      <c r="H292" s="92">
        <v>73.790599999999998</v>
      </c>
      <c r="I292" s="92"/>
      <c r="J292" s="93">
        <f t="shared" si="11"/>
        <v>8.1000000000130967E-3</v>
      </c>
    </row>
    <row r="293" spans="2:10" x14ac:dyDescent="0.2">
      <c r="B293" s="92">
        <v>0.39305600000000002</v>
      </c>
      <c r="C293" s="92">
        <v>699.76059999999995</v>
      </c>
      <c r="D293" s="92">
        <v>76.238399999999999</v>
      </c>
      <c r="E293" s="92"/>
      <c r="F293" s="92">
        <v>0.39305600000000002</v>
      </c>
      <c r="G293" s="92">
        <v>699.67650000000003</v>
      </c>
      <c r="H293" s="92">
        <v>73.778999999999996</v>
      </c>
      <c r="I293" s="92"/>
      <c r="J293" s="93">
        <f t="shared" si="11"/>
        <v>8.4099999999921238E-2</v>
      </c>
    </row>
    <row r="294" spans="2:10" x14ac:dyDescent="0.2">
      <c r="B294" s="92">
        <v>0.39444400000000002</v>
      </c>
      <c r="C294" s="92">
        <v>699.68690000000004</v>
      </c>
      <c r="D294" s="92">
        <v>76.243300000000005</v>
      </c>
      <c r="E294" s="92"/>
      <c r="F294" s="92">
        <v>0.39444400000000002</v>
      </c>
      <c r="G294" s="92">
        <v>699.64400000000001</v>
      </c>
      <c r="H294" s="92">
        <v>73.772400000000005</v>
      </c>
      <c r="I294" s="92"/>
      <c r="J294" s="93">
        <f t="shared" si="11"/>
        <v>4.2900000000031469E-2</v>
      </c>
    </row>
    <row r="295" spans="2:10" x14ac:dyDescent="0.2">
      <c r="B295" s="92">
        <v>0.39583299999999999</v>
      </c>
      <c r="C295" s="92">
        <v>699.68190000000004</v>
      </c>
      <c r="D295" s="92">
        <v>76.236800000000002</v>
      </c>
      <c r="E295" s="92"/>
      <c r="F295" s="92">
        <v>0.39583299999999999</v>
      </c>
      <c r="G295" s="92">
        <v>699.67380000000003</v>
      </c>
      <c r="H295" s="92">
        <v>73.757499999999993</v>
      </c>
      <c r="I295" s="92"/>
      <c r="J295" s="93">
        <f t="shared" si="11"/>
        <v>8.1000000000130967E-3</v>
      </c>
    </row>
    <row r="296" spans="2:10" x14ac:dyDescent="0.2">
      <c r="B296" s="92">
        <v>0.39722200000000002</v>
      </c>
      <c r="C296" s="92">
        <v>699.71789999999999</v>
      </c>
      <c r="D296" s="92">
        <v>76.243300000000005</v>
      </c>
      <c r="E296" s="92"/>
      <c r="F296" s="92">
        <v>0.39722200000000002</v>
      </c>
      <c r="G296" s="92">
        <v>699.69539999999995</v>
      </c>
      <c r="H296" s="92">
        <v>73.755899999999997</v>
      </c>
      <c r="I296" s="92"/>
      <c r="J296" s="93">
        <f t="shared" si="11"/>
        <v>2.250000000003638E-2</v>
      </c>
    </row>
    <row r="297" spans="2:10" x14ac:dyDescent="0.2">
      <c r="B297" s="92">
        <v>0.39861099999999999</v>
      </c>
      <c r="C297" s="92">
        <v>699.71540000000005</v>
      </c>
      <c r="D297" s="92">
        <v>76.239999999999995</v>
      </c>
      <c r="E297" s="92"/>
      <c r="F297" s="92">
        <v>0.39861099999999999</v>
      </c>
      <c r="G297" s="92">
        <v>699.66030000000001</v>
      </c>
      <c r="H297" s="92">
        <v>73.745900000000006</v>
      </c>
      <c r="I297" s="92"/>
      <c r="J297" s="93">
        <f t="shared" si="11"/>
        <v>5.5100000000038563E-2</v>
      </c>
    </row>
    <row r="298" spans="2:10" x14ac:dyDescent="0.2">
      <c r="B298" s="92">
        <v>0.4</v>
      </c>
      <c r="C298" s="92">
        <v>699.6173</v>
      </c>
      <c r="D298" s="92">
        <v>76.239999999999995</v>
      </c>
      <c r="E298" s="92"/>
      <c r="F298" s="92">
        <v>0.4</v>
      </c>
      <c r="G298" s="92">
        <v>699.69060000000002</v>
      </c>
      <c r="H298" s="92">
        <v>73.737700000000004</v>
      </c>
      <c r="I298" s="92"/>
      <c r="J298" s="93">
        <f t="shared" si="11"/>
        <v>7.3300000000017462E-2</v>
      </c>
    </row>
    <row r="299" spans="2:10" x14ac:dyDescent="0.2">
      <c r="B299" s="92">
        <v>0.401389</v>
      </c>
      <c r="C299" s="92">
        <v>699.70240000000001</v>
      </c>
      <c r="D299" s="92">
        <v>76.243300000000005</v>
      </c>
      <c r="E299" s="92"/>
      <c r="F299" s="92">
        <v>0.401389</v>
      </c>
      <c r="G299" s="92">
        <v>699.65679999999998</v>
      </c>
      <c r="H299" s="92">
        <v>73.729399999999998</v>
      </c>
      <c r="I299" s="92"/>
      <c r="J299" s="93">
        <f t="shared" si="11"/>
        <v>4.5600000000035834E-2</v>
      </c>
    </row>
    <row r="300" spans="2:10" x14ac:dyDescent="0.2">
      <c r="B300" s="92">
        <v>0.40277800000000002</v>
      </c>
      <c r="C300" s="92">
        <v>699.68039999999996</v>
      </c>
      <c r="D300" s="92">
        <v>76.248199999999997</v>
      </c>
      <c r="E300" s="92"/>
      <c r="F300" s="92">
        <v>0.40277800000000002</v>
      </c>
      <c r="G300" s="92">
        <v>699.68709999999999</v>
      </c>
      <c r="H300" s="92">
        <v>73.721100000000007</v>
      </c>
      <c r="I300" s="92"/>
      <c r="J300" s="93">
        <f t="shared" si="11"/>
        <v>6.700000000023465E-3</v>
      </c>
    </row>
    <row r="301" spans="2:10" x14ac:dyDescent="0.2">
      <c r="B301" s="92">
        <v>0.404167</v>
      </c>
      <c r="C301" s="92">
        <v>699.67269999999996</v>
      </c>
      <c r="D301" s="92">
        <v>76.244900000000001</v>
      </c>
      <c r="E301" s="92"/>
      <c r="F301" s="92">
        <v>0.404167</v>
      </c>
      <c r="G301" s="92">
        <v>699.70159999999998</v>
      </c>
      <c r="H301" s="92">
        <v>73.716099999999997</v>
      </c>
      <c r="I301" s="92"/>
      <c r="J301" s="93">
        <f t="shared" si="11"/>
        <v>2.8900000000021464E-2</v>
      </c>
    </row>
    <row r="302" spans="2:10" x14ac:dyDescent="0.2">
      <c r="B302" s="92">
        <v>0.40555600000000003</v>
      </c>
      <c r="C302" s="92">
        <v>699.70630000000006</v>
      </c>
      <c r="D302" s="92">
        <v>76.241699999999994</v>
      </c>
      <c r="E302" s="92"/>
      <c r="F302" s="92">
        <v>0.40555600000000003</v>
      </c>
      <c r="G302" s="92">
        <v>699.68399999999997</v>
      </c>
      <c r="H302" s="92">
        <v>73.711200000000005</v>
      </c>
      <c r="I302" s="92"/>
      <c r="J302" s="93">
        <f t="shared" si="11"/>
        <v>2.2300000000086584E-2</v>
      </c>
    </row>
    <row r="303" spans="2:10" x14ac:dyDescent="0.2">
      <c r="B303" s="92">
        <v>0.40694399999999997</v>
      </c>
      <c r="C303" s="92">
        <v>699.68299999999999</v>
      </c>
      <c r="D303" s="92">
        <v>76.244900000000001</v>
      </c>
      <c r="E303" s="92"/>
      <c r="F303" s="92">
        <v>0.40694399999999997</v>
      </c>
      <c r="G303" s="92">
        <v>699.6182</v>
      </c>
      <c r="H303" s="92">
        <v>73.7029</v>
      </c>
      <c r="I303" s="92"/>
      <c r="J303" s="93">
        <f t="shared" si="11"/>
        <v>6.4799999999991087E-2</v>
      </c>
    </row>
    <row r="304" spans="2:10" x14ac:dyDescent="0.2">
      <c r="B304" s="92">
        <v>0.408333</v>
      </c>
      <c r="C304" s="92">
        <v>699.6585</v>
      </c>
      <c r="D304" s="92">
        <v>76.246499999999997</v>
      </c>
      <c r="E304" s="92"/>
      <c r="F304" s="92">
        <v>0.408333</v>
      </c>
      <c r="G304" s="92">
        <v>699.63879999999995</v>
      </c>
      <c r="H304" s="92">
        <v>73.688000000000002</v>
      </c>
      <c r="I304" s="92"/>
      <c r="J304" s="93">
        <f t="shared" si="11"/>
        <v>1.9700000000057116E-2</v>
      </c>
    </row>
    <row r="305" spans="2:10" x14ac:dyDescent="0.2">
      <c r="B305" s="92">
        <v>0.40972199999999998</v>
      </c>
      <c r="C305" s="92">
        <v>699.70749999999998</v>
      </c>
      <c r="D305" s="92">
        <v>76.249799999999993</v>
      </c>
      <c r="E305" s="92"/>
      <c r="F305" s="92">
        <v>0.40972199999999998</v>
      </c>
      <c r="G305" s="92">
        <v>699.67290000000003</v>
      </c>
      <c r="H305" s="92">
        <v>73.684700000000007</v>
      </c>
      <c r="I305" s="92"/>
      <c r="J305" s="93">
        <f t="shared" si="11"/>
        <v>3.4599999999954889E-2</v>
      </c>
    </row>
    <row r="306" spans="2:10" x14ac:dyDescent="0.2">
      <c r="B306" s="92">
        <v>0.411111</v>
      </c>
      <c r="C306" s="92">
        <v>699.7192</v>
      </c>
      <c r="D306" s="92">
        <v>76.244900000000001</v>
      </c>
      <c r="E306" s="92"/>
      <c r="F306" s="92">
        <v>0.411111</v>
      </c>
      <c r="G306" s="92">
        <v>699.67060000000004</v>
      </c>
      <c r="H306" s="92">
        <v>73.669799999999995</v>
      </c>
      <c r="I306" s="92"/>
      <c r="J306" s="93">
        <f t="shared" si="11"/>
        <v>4.8599999999964894E-2</v>
      </c>
    </row>
    <row r="307" spans="2:10" x14ac:dyDescent="0.2">
      <c r="B307" s="92">
        <v>0.41249999999999998</v>
      </c>
      <c r="C307" s="92">
        <v>699.65470000000005</v>
      </c>
      <c r="D307" s="92">
        <v>76.241699999999994</v>
      </c>
      <c r="E307" s="92"/>
      <c r="F307" s="92">
        <v>0.41249999999999998</v>
      </c>
      <c r="G307" s="92">
        <v>699.68060000000003</v>
      </c>
      <c r="H307" s="92">
        <v>73.6648</v>
      </c>
      <c r="I307" s="92"/>
      <c r="J307" s="93">
        <f t="shared" si="11"/>
        <v>2.5899999999978718E-2</v>
      </c>
    </row>
    <row r="308" spans="2:10" x14ac:dyDescent="0.2">
      <c r="B308" s="92">
        <v>0.41388900000000001</v>
      </c>
      <c r="C308" s="92">
        <v>699.69079999999997</v>
      </c>
      <c r="D308" s="92">
        <v>76.241699999999994</v>
      </c>
      <c r="E308" s="92"/>
      <c r="F308" s="92">
        <v>0.41388900000000001</v>
      </c>
      <c r="G308" s="92">
        <v>699.66099999999994</v>
      </c>
      <c r="H308" s="92">
        <v>73.663200000000003</v>
      </c>
      <c r="I308" s="92"/>
      <c r="J308" s="93">
        <f t="shared" si="11"/>
        <v>2.9800000000022919E-2</v>
      </c>
    </row>
    <row r="309" spans="2:10" x14ac:dyDescent="0.2">
      <c r="B309" s="92">
        <v>0.41527799999999998</v>
      </c>
      <c r="C309" s="92">
        <v>699.68299999999999</v>
      </c>
      <c r="D309" s="92">
        <v>76.244900000000001</v>
      </c>
      <c r="E309" s="92"/>
      <c r="F309" s="92">
        <v>0.41527799999999998</v>
      </c>
      <c r="G309" s="92">
        <v>699.64499999999998</v>
      </c>
      <c r="H309" s="92">
        <v>73.648300000000006</v>
      </c>
      <c r="I309" s="92"/>
      <c r="J309" s="93">
        <f t="shared" si="11"/>
        <v>3.8000000000010914E-2</v>
      </c>
    </row>
    <row r="310" spans="2:10" x14ac:dyDescent="0.2">
      <c r="B310" s="92">
        <v>0.41666700000000001</v>
      </c>
      <c r="C310" s="92">
        <v>699.69989999999996</v>
      </c>
      <c r="D310" s="92">
        <v>76.239999999999995</v>
      </c>
      <c r="E310" s="92"/>
      <c r="F310" s="92">
        <v>0.41666700000000001</v>
      </c>
      <c r="G310" s="92">
        <v>699.67070000000001</v>
      </c>
      <c r="H310" s="92">
        <v>73.64</v>
      </c>
      <c r="I310" s="92"/>
      <c r="J310" s="93">
        <f t="shared" si="11"/>
        <v>2.9199999999946158E-2</v>
      </c>
    </row>
    <row r="311" spans="2:10" x14ac:dyDescent="0.2">
      <c r="B311" s="92">
        <v>0.41805599999999998</v>
      </c>
      <c r="C311" s="92">
        <v>699.71680000000003</v>
      </c>
      <c r="D311" s="92">
        <v>76.235200000000006</v>
      </c>
      <c r="E311" s="92"/>
      <c r="F311" s="92">
        <v>0.41805599999999998</v>
      </c>
      <c r="G311" s="92">
        <v>699.64559999999994</v>
      </c>
      <c r="H311" s="92">
        <v>73.625100000000003</v>
      </c>
      <c r="I311" s="92"/>
      <c r="J311" s="93">
        <f t="shared" si="11"/>
        <v>7.1200000000089858E-2</v>
      </c>
    </row>
    <row r="312" spans="2:10" x14ac:dyDescent="0.2">
      <c r="B312" s="92">
        <v>0.41944399999999998</v>
      </c>
      <c r="C312" s="92">
        <v>699.68190000000004</v>
      </c>
      <c r="D312" s="92">
        <v>76.236800000000002</v>
      </c>
      <c r="E312" s="92"/>
      <c r="F312" s="92">
        <v>0.41944399999999998</v>
      </c>
      <c r="G312" s="92">
        <v>699.68089999999995</v>
      </c>
      <c r="H312" s="92">
        <v>73.623500000000007</v>
      </c>
      <c r="I312" s="92"/>
      <c r="J312" s="93">
        <f t="shared" si="11"/>
        <v>1.00000000009004E-3</v>
      </c>
    </row>
    <row r="313" spans="2:10" x14ac:dyDescent="0.2">
      <c r="B313" s="92">
        <v>0.42083300000000001</v>
      </c>
      <c r="C313" s="92">
        <v>699.76189999999997</v>
      </c>
      <c r="D313" s="92">
        <v>76.239999999999995</v>
      </c>
      <c r="E313" s="92"/>
      <c r="F313" s="92">
        <v>0.42083300000000001</v>
      </c>
      <c r="G313" s="92">
        <v>699.7731</v>
      </c>
      <c r="H313" s="92">
        <v>73.618499999999997</v>
      </c>
      <c r="I313" s="92"/>
      <c r="J313" s="93">
        <f t="shared" si="11"/>
        <v>1.1200000000030741E-2</v>
      </c>
    </row>
    <row r="314" spans="2:10" x14ac:dyDescent="0.2">
      <c r="B314" s="92">
        <v>0.42222199999999999</v>
      </c>
      <c r="C314" s="92">
        <v>699.82770000000005</v>
      </c>
      <c r="D314" s="92">
        <v>76.244900000000001</v>
      </c>
      <c r="E314" s="92"/>
      <c r="F314" s="92">
        <v>0.42222199999999999</v>
      </c>
      <c r="G314" s="92">
        <v>699.85519999999997</v>
      </c>
      <c r="H314" s="92">
        <v>73.630099999999999</v>
      </c>
      <c r="I314" s="92"/>
      <c r="J314" s="93">
        <f t="shared" si="11"/>
        <v>2.7499999999918145E-2</v>
      </c>
    </row>
    <row r="315" spans="2:10" x14ac:dyDescent="0.2">
      <c r="B315" s="92">
        <v>0.42361100000000002</v>
      </c>
      <c r="C315" s="92">
        <v>699.93780000000004</v>
      </c>
      <c r="D315" s="92">
        <v>76.293599999999998</v>
      </c>
      <c r="E315" s="92"/>
      <c r="F315" s="92">
        <v>0.42361100000000002</v>
      </c>
      <c r="G315" s="92">
        <v>700.00930000000005</v>
      </c>
      <c r="H315" s="92">
        <v>73.717799999999997</v>
      </c>
      <c r="I315" s="92"/>
      <c r="J315" s="93">
        <f t="shared" si="11"/>
        <v>7.1500000000014552E-2</v>
      </c>
    </row>
    <row r="316" spans="2:10" x14ac:dyDescent="0.2">
      <c r="B316" s="92">
        <v>0.42499999999999999</v>
      </c>
      <c r="C316" s="92">
        <v>700.00350000000003</v>
      </c>
      <c r="D316" s="92">
        <v>76.4315</v>
      </c>
      <c r="E316" s="92"/>
      <c r="F316" s="92">
        <v>0.42499999999999999</v>
      </c>
      <c r="G316" s="92">
        <v>700.04179999999997</v>
      </c>
      <c r="H316" s="92">
        <v>73.861800000000002</v>
      </c>
      <c r="I316" s="92"/>
      <c r="J316" s="93">
        <f t="shared" si="11"/>
        <v>3.8299999999935608E-2</v>
      </c>
    </row>
    <row r="317" spans="2:10" x14ac:dyDescent="0.2">
      <c r="B317" s="92">
        <v>0.42638900000000002</v>
      </c>
      <c r="C317" s="92">
        <v>700.15710000000001</v>
      </c>
      <c r="D317" s="92">
        <v>76.629499999999993</v>
      </c>
      <c r="E317" s="92"/>
      <c r="F317" s="92">
        <v>0.42638900000000002</v>
      </c>
      <c r="G317" s="92">
        <v>700.17660000000001</v>
      </c>
      <c r="H317" s="92">
        <v>74.073700000000002</v>
      </c>
      <c r="I317" s="92"/>
      <c r="J317" s="93">
        <f t="shared" si="11"/>
        <v>1.9499999999993634E-2</v>
      </c>
    </row>
    <row r="318" spans="2:10" x14ac:dyDescent="0.2">
      <c r="B318" s="92">
        <v>0.42777799999999999</v>
      </c>
      <c r="C318" s="92">
        <v>700.19989999999996</v>
      </c>
      <c r="D318" s="92">
        <v>76.871399999999994</v>
      </c>
      <c r="E318" s="92"/>
      <c r="F318" s="92">
        <v>0.42777799999999999</v>
      </c>
      <c r="G318" s="92">
        <v>700.22400000000005</v>
      </c>
      <c r="H318" s="92">
        <v>74.326899999999995</v>
      </c>
      <c r="I318" s="92"/>
      <c r="J318" s="93">
        <f t="shared" si="11"/>
        <v>2.4100000000089494E-2</v>
      </c>
    </row>
    <row r="319" spans="2:10" x14ac:dyDescent="0.2">
      <c r="B319" s="92">
        <v>0.42916700000000002</v>
      </c>
      <c r="C319" s="92">
        <v>700.28210000000001</v>
      </c>
      <c r="D319" s="92">
        <v>77.144099999999995</v>
      </c>
      <c r="E319" s="92"/>
      <c r="F319" s="92">
        <v>0.42916700000000002</v>
      </c>
      <c r="G319" s="92">
        <v>700.34910000000002</v>
      </c>
      <c r="H319" s="92">
        <v>74.609899999999996</v>
      </c>
      <c r="I319" s="92"/>
      <c r="J319" s="93">
        <f t="shared" si="11"/>
        <v>6.7000000000007276E-2</v>
      </c>
    </row>
    <row r="320" spans="2:10" x14ac:dyDescent="0.2">
      <c r="B320" s="92">
        <v>0.43055599999999999</v>
      </c>
      <c r="C320" s="92">
        <v>700.39449999999999</v>
      </c>
      <c r="D320" s="92">
        <v>77.442800000000005</v>
      </c>
      <c r="E320" s="92"/>
      <c r="F320" s="92">
        <v>0.43055599999999999</v>
      </c>
      <c r="G320" s="92">
        <v>700.43960000000004</v>
      </c>
      <c r="H320" s="92">
        <v>74.907799999999995</v>
      </c>
      <c r="I320" s="92"/>
      <c r="J320" s="93">
        <f t="shared" si="11"/>
        <v>4.5100000000047658E-2</v>
      </c>
    </row>
    <row r="321" spans="2:10" x14ac:dyDescent="0.2">
      <c r="B321" s="92">
        <v>0.43194399999999999</v>
      </c>
      <c r="C321" s="92">
        <v>700.44960000000003</v>
      </c>
      <c r="D321" s="92">
        <v>77.754599999999996</v>
      </c>
      <c r="E321" s="92"/>
      <c r="F321" s="92">
        <v>0.43194399999999999</v>
      </c>
      <c r="G321" s="92">
        <v>700.55930000000001</v>
      </c>
      <c r="H321" s="92">
        <v>75.232200000000006</v>
      </c>
      <c r="I321" s="92"/>
      <c r="J321" s="93">
        <f t="shared" si="11"/>
        <v>0.10969999999997526</v>
      </c>
    </row>
    <row r="322" spans="2:10" x14ac:dyDescent="0.2">
      <c r="B322" s="92">
        <v>0.43333300000000002</v>
      </c>
      <c r="C322" s="92">
        <v>700.58579999999995</v>
      </c>
      <c r="D322" s="92">
        <v>78.077699999999993</v>
      </c>
      <c r="E322" s="92"/>
      <c r="F322" s="92">
        <v>0.43333300000000002</v>
      </c>
      <c r="G322" s="92">
        <v>700.65139999999997</v>
      </c>
      <c r="H322" s="92">
        <v>75.556600000000003</v>
      </c>
      <c r="I322" s="92"/>
      <c r="J322" s="93">
        <f t="shared" si="11"/>
        <v>6.5600000000017644E-2</v>
      </c>
    </row>
    <row r="323" spans="2:10" x14ac:dyDescent="0.2">
      <c r="B323" s="92">
        <v>0.434722</v>
      </c>
      <c r="C323" s="92">
        <v>700.65329999999994</v>
      </c>
      <c r="D323" s="92">
        <v>78.392799999999994</v>
      </c>
      <c r="E323" s="92"/>
      <c r="F323" s="92">
        <v>0.434722</v>
      </c>
      <c r="G323" s="92">
        <v>700.72950000000003</v>
      </c>
      <c r="H323" s="92">
        <v>75.881</v>
      </c>
      <c r="I323" s="92"/>
      <c r="J323" s="93">
        <f t="shared" si="11"/>
        <v>7.6200000000085311E-2</v>
      </c>
    </row>
    <row r="324" spans="2:10" x14ac:dyDescent="0.2">
      <c r="B324" s="92">
        <v>0.43611100000000003</v>
      </c>
      <c r="C324" s="92">
        <v>700.75840000000005</v>
      </c>
      <c r="D324" s="92">
        <v>78.703100000000006</v>
      </c>
      <c r="E324" s="92"/>
      <c r="F324" s="92">
        <v>0.43611100000000003</v>
      </c>
      <c r="G324" s="92">
        <v>700.82659999999998</v>
      </c>
      <c r="H324" s="92">
        <v>76.200299999999999</v>
      </c>
      <c r="I324" s="92"/>
      <c r="J324" s="93">
        <f t="shared" si="11"/>
        <v>6.8199999999933425E-2</v>
      </c>
    </row>
    <row r="325" spans="2:10" x14ac:dyDescent="0.2">
      <c r="B325" s="92">
        <v>0.4375</v>
      </c>
      <c r="C325" s="92">
        <v>700.81669999999997</v>
      </c>
      <c r="D325" s="92">
        <v>79.013400000000004</v>
      </c>
      <c r="E325" s="92"/>
      <c r="F325" s="92">
        <v>0.4375</v>
      </c>
      <c r="G325" s="92">
        <v>700.96979999999996</v>
      </c>
      <c r="H325" s="92">
        <v>76.526300000000006</v>
      </c>
      <c r="I325" s="92"/>
      <c r="J325" s="93">
        <f t="shared" si="11"/>
        <v>0.15309999999999491</v>
      </c>
    </row>
    <row r="326" spans="2:10" x14ac:dyDescent="0.2">
      <c r="B326" s="92">
        <v>0.43888899999999997</v>
      </c>
      <c r="C326" s="92">
        <v>700.9606</v>
      </c>
      <c r="D326" s="92">
        <v>79.313999999999993</v>
      </c>
      <c r="E326" s="92"/>
      <c r="F326" s="92">
        <v>0.43888899999999997</v>
      </c>
      <c r="G326" s="92">
        <v>701.07280000000003</v>
      </c>
      <c r="H326" s="92">
        <v>76.835800000000006</v>
      </c>
      <c r="I326" s="92"/>
      <c r="J326" s="93">
        <f t="shared" si="11"/>
        <v>0.11220000000002983</v>
      </c>
    </row>
    <row r="327" spans="2:10" x14ac:dyDescent="0.2">
      <c r="B327" s="92">
        <v>0.440278</v>
      </c>
      <c r="C327" s="92">
        <v>701.05499999999995</v>
      </c>
      <c r="D327" s="92">
        <v>79.617800000000003</v>
      </c>
      <c r="E327" s="92"/>
      <c r="F327" s="92">
        <v>0.440278</v>
      </c>
      <c r="G327" s="92">
        <v>701.16970000000003</v>
      </c>
      <c r="H327" s="92">
        <v>77.143500000000003</v>
      </c>
      <c r="I327" s="92"/>
      <c r="J327" s="93">
        <f t="shared" si="11"/>
        <v>0.1147000000000844</v>
      </c>
    </row>
    <row r="328" spans="2:10" x14ac:dyDescent="0.2">
      <c r="B328" s="92">
        <v>0.44166699999999998</v>
      </c>
      <c r="C328" s="92">
        <v>701.16880000000003</v>
      </c>
      <c r="D328" s="92">
        <v>79.920100000000005</v>
      </c>
      <c r="E328" s="92"/>
      <c r="F328" s="92">
        <v>0.44166699999999998</v>
      </c>
      <c r="G328" s="92">
        <v>701.3338</v>
      </c>
      <c r="H328" s="92">
        <v>77.461200000000005</v>
      </c>
      <c r="I328" s="92"/>
      <c r="J328" s="93">
        <f t="shared" si="11"/>
        <v>0.16499999999996362</v>
      </c>
    </row>
    <row r="329" spans="2:10" x14ac:dyDescent="0.2">
      <c r="B329" s="92">
        <v>0.44305600000000001</v>
      </c>
      <c r="C329" s="92">
        <v>701.30709999999999</v>
      </c>
      <c r="D329" s="92">
        <v>80.220799999999997</v>
      </c>
      <c r="E329" s="92"/>
      <c r="F329" s="92">
        <v>0.44305600000000001</v>
      </c>
      <c r="G329" s="92">
        <v>701.41800000000001</v>
      </c>
      <c r="H329" s="92">
        <v>77.788799999999995</v>
      </c>
      <c r="I329" s="92"/>
      <c r="J329" s="93">
        <f t="shared" si="11"/>
        <v>0.1109000000000151</v>
      </c>
    </row>
    <row r="330" spans="2:10" x14ac:dyDescent="0.2">
      <c r="B330" s="92">
        <v>0.44444400000000001</v>
      </c>
      <c r="C330" s="92">
        <v>701.42960000000005</v>
      </c>
      <c r="D330" s="92">
        <v>80.528000000000006</v>
      </c>
      <c r="E330" s="92"/>
      <c r="F330" s="92">
        <v>0.44444400000000001</v>
      </c>
      <c r="G330" s="92">
        <v>701.56470000000002</v>
      </c>
      <c r="H330" s="92">
        <v>78.108199999999997</v>
      </c>
      <c r="I330" s="92"/>
      <c r="J330" s="93">
        <f t="shared" si="11"/>
        <v>0.1350999999999658</v>
      </c>
    </row>
    <row r="331" spans="2:10" x14ac:dyDescent="0.2">
      <c r="B331" s="92">
        <v>0.44583299999999998</v>
      </c>
      <c r="C331" s="92">
        <v>701.54660000000001</v>
      </c>
      <c r="D331" s="92">
        <v>80.841800000000006</v>
      </c>
      <c r="E331" s="92"/>
      <c r="F331" s="92">
        <v>0.44583299999999998</v>
      </c>
      <c r="G331" s="92">
        <v>701.66200000000003</v>
      </c>
      <c r="H331" s="92">
        <v>78.447299999999998</v>
      </c>
      <c r="I331" s="92"/>
      <c r="J331" s="93">
        <f t="shared" ref="J331:J394" si="12">+ABS(G331-C331)</f>
        <v>0.11540000000002237</v>
      </c>
    </row>
    <row r="332" spans="2:10" x14ac:dyDescent="0.2">
      <c r="B332" s="92">
        <v>0.44722200000000001</v>
      </c>
      <c r="C332" s="92">
        <v>701.70129999999995</v>
      </c>
      <c r="D332" s="92">
        <v>81.150800000000004</v>
      </c>
      <c r="E332" s="92"/>
      <c r="F332" s="92">
        <v>0.44722200000000001</v>
      </c>
      <c r="G332" s="92">
        <v>701.84119999999996</v>
      </c>
      <c r="H332" s="92">
        <v>78.791499999999999</v>
      </c>
      <c r="I332" s="92"/>
      <c r="J332" s="93">
        <f t="shared" si="12"/>
        <v>0.13990000000001146</v>
      </c>
    </row>
    <row r="333" spans="2:10" x14ac:dyDescent="0.2">
      <c r="B333" s="92">
        <v>0.44861099999999998</v>
      </c>
      <c r="C333" s="92">
        <v>701.82669999999996</v>
      </c>
      <c r="D333" s="92">
        <v>81.475999999999999</v>
      </c>
      <c r="E333" s="92"/>
      <c r="F333" s="92">
        <v>0.44861099999999998</v>
      </c>
      <c r="G333" s="92">
        <v>701.90970000000004</v>
      </c>
      <c r="H333" s="92">
        <v>79.135599999999997</v>
      </c>
      <c r="I333" s="92"/>
      <c r="J333" s="93">
        <f t="shared" si="12"/>
        <v>8.3000000000083674E-2</v>
      </c>
    </row>
    <row r="334" spans="2:10" x14ac:dyDescent="0.2">
      <c r="B334" s="92">
        <v>0.45</v>
      </c>
      <c r="C334" s="92">
        <v>701.93650000000002</v>
      </c>
      <c r="D334" s="92">
        <v>81.801299999999998</v>
      </c>
      <c r="E334" s="92"/>
      <c r="F334" s="92">
        <v>0.45</v>
      </c>
      <c r="G334" s="92">
        <v>702.09569999999997</v>
      </c>
      <c r="H334" s="92">
        <v>79.501199999999997</v>
      </c>
      <c r="I334" s="92"/>
      <c r="J334" s="93">
        <f t="shared" si="12"/>
        <v>0.15919999999994161</v>
      </c>
    </row>
    <row r="335" spans="2:10" x14ac:dyDescent="0.2">
      <c r="B335" s="92">
        <v>0.45138899999999998</v>
      </c>
      <c r="C335" s="92">
        <v>702.06420000000003</v>
      </c>
      <c r="D335" s="92">
        <v>82.129900000000006</v>
      </c>
      <c r="E335" s="92"/>
      <c r="F335" s="92">
        <v>0.45138899999999998</v>
      </c>
      <c r="G335" s="92">
        <v>702.21990000000005</v>
      </c>
      <c r="H335" s="92">
        <v>79.858500000000006</v>
      </c>
      <c r="I335" s="92"/>
      <c r="J335" s="93">
        <f t="shared" si="12"/>
        <v>0.15570000000002437</v>
      </c>
    </row>
    <row r="336" spans="2:10" x14ac:dyDescent="0.2">
      <c r="B336" s="92">
        <v>0.45277800000000001</v>
      </c>
      <c r="C336" s="92">
        <v>702.21529999999996</v>
      </c>
      <c r="D336" s="92">
        <v>82.455200000000005</v>
      </c>
      <c r="E336" s="92"/>
      <c r="F336" s="92">
        <v>0.45277800000000001</v>
      </c>
      <c r="G336" s="92">
        <v>702.36749999999995</v>
      </c>
      <c r="H336" s="92">
        <v>80.222499999999997</v>
      </c>
      <c r="I336" s="92"/>
      <c r="J336" s="93">
        <f t="shared" si="12"/>
        <v>0.15219999999999345</v>
      </c>
    </row>
    <row r="337" spans="2:10" x14ac:dyDescent="0.2">
      <c r="B337" s="92">
        <v>0.45416699999999999</v>
      </c>
      <c r="C337" s="92">
        <v>702.33349999999996</v>
      </c>
      <c r="D337" s="92">
        <v>82.785499999999999</v>
      </c>
      <c r="E337" s="92"/>
      <c r="F337" s="92">
        <v>0.45416699999999999</v>
      </c>
      <c r="G337" s="92">
        <v>702.45410000000004</v>
      </c>
      <c r="H337" s="92">
        <v>80.591399999999993</v>
      </c>
      <c r="I337" s="92"/>
      <c r="J337" s="93">
        <f t="shared" si="12"/>
        <v>0.12060000000008131</v>
      </c>
    </row>
    <row r="338" spans="2:10" x14ac:dyDescent="0.2">
      <c r="B338" s="92">
        <v>0.45555600000000002</v>
      </c>
      <c r="C338" s="92">
        <v>702.49069999999995</v>
      </c>
      <c r="D338" s="92">
        <v>83.119100000000003</v>
      </c>
      <c r="E338" s="92"/>
      <c r="F338" s="92">
        <v>0.45555600000000002</v>
      </c>
      <c r="G338" s="92">
        <v>702.65129999999999</v>
      </c>
      <c r="H338" s="92">
        <v>80.960300000000004</v>
      </c>
      <c r="I338" s="92"/>
      <c r="J338" s="93">
        <f t="shared" si="12"/>
        <v>0.16060000000004493</v>
      </c>
    </row>
    <row r="339" spans="2:10" x14ac:dyDescent="0.2">
      <c r="B339" s="92">
        <v>0.45694400000000002</v>
      </c>
      <c r="C339" s="92">
        <v>702.62180000000001</v>
      </c>
      <c r="D339" s="92">
        <v>83.446299999999994</v>
      </c>
      <c r="E339" s="92"/>
      <c r="F339" s="92">
        <v>0.45694400000000002</v>
      </c>
      <c r="G339" s="92">
        <v>702.74419999999998</v>
      </c>
      <c r="H339" s="92">
        <v>81.325900000000004</v>
      </c>
      <c r="I339" s="92"/>
      <c r="J339" s="93">
        <f t="shared" si="12"/>
        <v>0.12239999999997053</v>
      </c>
    </row>
    <row r="340" spans="2:10" x14ac:dyDescent="0.2">
      <c r="B340" s="92">
        <v>0.45833299999999999</v>
      </c>
      <c r="C340" s="92">
        <v>702.8365</v>
      </c>
      <c r="D340" s="92">
        <v>83.766999999999996</v>
      </c>
      <c r="E340" s="92"/>
      <c r="F340" s="92">
        <v>0.45833299999999999</v>
      </c>
      <c r="G340" s="92">
        <v>702.90210000000002</v>
      </c>
      <c r="H340" s="92">
        <v>81.679900000000004</v>
      </c>
      <c r="I340" s="92"/>
      <c r="J340" s="93">
        <f t="shared" si="12"/>
        <v>6.5600000000017644E-2</v>
      </c>
    </row>
    <row r="341" spans="2:10" x14ac:dyDescent="0.2">
      <c r="B341" s="92">
        <v>0.45972200000000002</v>
      </c>
      <c r="C341" s="92">
        <v>702.94330000000002</v>
      </c>
      <c r="D341" s="92">
        <v>84.076300000000003</v>
      </c>
      <c r="E341" s="92"/>
      <c r="F341" s="92">
        <v>0.45972200000000002</v>
      </c>
      <c r="G341" s="92">
        <v>703.07079999999996</v>
      </c>
      <c r="H341" s="92">
        <v>82.023899999999998</v>
      </c>
      <c r="I341" s="92"/>
      <c r="J341" s="93">
        <f t="shared" si="12"/>
        <v>0.12749999999994088</v>
      </c>
    </row>
    <row r="342" spans="2:10" x14ac:dyDescent="0.2">
      <c r="B342" s="92">
        <v>0.46111099999999999</v>
      </c>
      <c r="C342" s="92">
        <v>703.05790000000002</v>
      </c>
      <c r="D342" s="92">
        <v>84.382400000000004</v>
      </c>
      <c r="E342" s="92"/>
      <c r="F342" s="92">
        <v>0.46111099999999999</v>
      </c>
      <c r="G342" s="92">
        <v>703.23109999999997</v>
      </c>
      <c r="H342" s="92">
        <v>82.363</v>
      </c>
      <c r="I342" s="92"/>
      <c r="J342" s="93">
        <f t="shared" si="12"/>
        <v>0.17319999999995161</v>
      </c>
    </row>
    <row r="343" spans="2:10" x14ac:dyDescent="0.2">
      <c r="B343" s="92">
        <v>0.46250000000000002</v>
      </c>
      <c r="C343" s="92">
        <v>703.26779999999997</v>
      </c>
      <c r="D343" s="92">
        <v>84.683599999999998</v>
      </c>
      <c r="E343" s="92"/>
      <c r="F343" s="92">
        <v>0.46250000000000002</v>
      </c>
      <c r="G343" s="92">
        <v>703.39419999999996</v>
      </c>
      <c r="H343" s="92">
        <v>82.693799999999996</v>
      </c>
      <c r="I343" s="92"/>
      <c r="J343" s="93">
        <f t="shared" si="12"/>
        <v>0.12639999999998963</v>
      </c>
    </row>
    <row r="344" spans="2:10" x14ac:dyDescent="0.2">
      <c r="B344" s="92">
        <v>0.463889</v>
      </c>
      <c r="C344" s="92">
        <v>703.34389999999996</v>
      </c>
      <c r="D344" s="92">
        <v>84.966999999999999</v>
      </c>
      <c r="E344" s="92"/>
      <c r="F344" s="92">
        <v>0.463889</v>
      </c>
      <c r="G344" s="92">
        <v>703.54679999999996</v>
      </c>
      <c r="H344" s="92">
        <v>83.004800000000003</v>
      </c>
      <c r="I344" s="92"/>
      <c r="J344" s="93">
        <f t="shared" si="12"/>
        <v>0.20289999999999964</v>
      </c>
    </row>
    <row r="345" spans="2:10" x14ac:dyDescent="0.2">
      <c r="B345" s="92">
        <v>0.46527800000000002</v>
      </c>
      <c r="C345" s="92">
        <v>703.52419999999995</v>
      </c>
      <c r="D345" s="92">
        <v>85.256900000000002</v>
      </c>
      <c r="E345" s="92"/>
      <c r="F345" s="92">
        <v>0.46527800000000002</v>
      </c>
      <c r="G345" s="92">
        <v>703.67560000000003</v>
      </c>
      <c r="H345" s="92">
        <v>83.327299999999994</v>
      </c>
      <c r="I345" s="92"/>
      <c r="J345" s="93">
        <f t="shared" si="12"/>
        <v>0.15140000000008058</v>
      </c>
    </row>
    <row r="346" spans="2:10" x14ac:dyDescent="0.2">
      <c r="B346" s="92">
        <v>0.466667</v>
      </c>
      <c r="C346" s="92">
        <v>703.64110000000005</v>
      </c>
      <c r="D346" s="92">
        <v>85.525700000000001</v>
      </c>
      <c r="E346" s="92"/>
      <c r="F346" s="92">
        <v>0.466667</v>
      </c>
      <c r="G346" s="92">
        <v>703.85919999999999</v>
      </c>
      <c r="H346" s="92">
        <v>83.636600000000001</v>
      </c>
      <c r="I346" s="92"/>
      <c r="J346" s="93">
        <f t="shared" si="12"/>
        <v>0.21809999999993579</v>
      </c>
    </row>
    <row r="347" spans="2:10" x14ac:dyDescent="0.2">
      <c r="B347" s="92">
        <v>0.46805600000000003</v>
      </c>
      <c r="C347" s="92">
        <v>703.85080000000005</v>
      </c>
      <c r="D347" s="92">
        <v>85.792900000000003</v>
      </c>
      <c r="E347" s="92"/>
      <c r="F347" s="92">
        <v>0.46805600000000003</v>
      </c>
      <c r="G347" s="92">
        <v>703.99480000000005</v>
      </c>
      <c r="H347" s="92">
        <v>83.937600000000003</v>
      </c>
      <c r="I347" s="92"/>
      <c r="J347" s="93">
        <f t="shared" si="12"/>
        <v>0.14400000000000546</v>
      </c>
    </row>
    <row r="348" spans="2:10" x14ac:dyDescent="0.2">
      <c r="B348" s="92">
        <v>0.46944399999999997</v>
      </c>
      <c r="C348" s="92">
        <v>703.99649999999997</v>
      </c>
      <c r="D348" s="92">
        <v>86.058499999999995</v>
      </c>
      <c r="E348" s="92"/>
      <c r="F348" s="92">
        <v>0.46944399999999997</v>
      </c>
      <c r="G348" s="92">
        <v>704.16269999999997</v>
      </c>
      <c r="H348" s="92">
        <v>84.238699999999994</v>
      </c>
      <c r="I348" s="92"/>
      <c r="J348" s="93">
        <f t="shared" si="12"/>
        <v>0.16620000000000346</v>
      </c>
    </row>
    <row r="349" spans="2:10" x14ac:dyDescent="0.2">
      <c r="B349" s="92">
        <v>0.470833</v>
      </c>
      <c r="C349" s="92">
        <v>704.15039999999999</v>
      </c>
      <c r="D349" s="92">
        <v>86.314300000000003</v>
      </c>
      <c r="E349" s="92"/>
      <c r="F349" s="92">
        <v>0.470833</v>
      </c>
      <c r="G349" s="92">
        <v>704.30330000000004</v>
      </c>
      <c r="H349" s="92">
        <v>84.528099999999995</v>
      </c>
      <c r="I349" s="92"/>
      <c r="J349" s="93">
        <f t="shared" si="12"/>
        <v>0.15290000000004511</v>
      </c>
    </row>
    <row r="350" spans="2:10" x14ac:dyDescent="0.2">
      <c r="B350" s="92">
        <v>0.47222199999999998</v>
      </c>
      <c r="C350" s="92">
        <v>704.31920000000002</v>
      </c>
      <c r="D350" s="92">
        <v>86.555499999999995</v>
      </c>
      <c r="E350" s="92"/>
      <c r="F350" s="92">
        <v>0.47222199999999998</v>
      </c>
      <c r="G350" s="92">
        <v>704.49450000000002</v>
      </c>
      <c r="H350" s="92">
        <v>84.810900000000004</v>
      </c>
      <c r="I350" s="92"/>
      <c r="J350" s="93">
        <f t="shared" si="12"/>
        <v>0.17529999999999291</v>
      </c>
    </row>
    <row r="351" spans="2:10" x14ac:dyDescent="0.2">
      <c r="B351" s="92">
        <v>0.473611</v>
      </c>
      <c r="C351" s="92">
        <v>704.50519999999995</v>
      </c>
      <c r="D351" s="92">
        <v>86.791799999999995</v>
      </c>
      <c r="E351" s="92"/>
      <c r="F351" s="92">
        <v>0.473611</v>
      </c>
      <c r="G351" s="92">
        <v>704.62699999999995</v>
      </c>
      <c r="H351" s="92">
        <v>85.083799999999997</v>
      </c>
      <c r="I351" s="92"/>
      <c r="J351" s="93">
        <f t="shared" si="12"/>
        <v>0.12180000000000746</v>
      </c>
    </row>
    <row r="352" spans="2:10" x14ac:dyDescent="0.2">
      <c r="B352" s="92">
        <v>0.47499999999999998</v>
      </c>
      <c r="C352" s="92">
        <v>704.6585</v>
      </c>
      <c r="D352" s="92">
        <v>87.026600000000002</v>
      </c>
      <c r="E352" s="92"/>
      <c r="F352" s="92">
        <v>0.47499999999999998</v>
      </c>
      <c r="G352" s="92">
        <v>704.79960000000005</v>
      </c>
      <c r="H352" s="92">
        <v>85.366699999999994</v>
      </c>
      <c r="I352" s="92"/>
      <c r="J352" s="93">
        <f t="shared" si="12"/>
        <v>0.1411000000000513</v>
      </c>
    </row>
    <row r="353" spans="2:10" x14ac:dyDescent="0.2">
      <c r="B353" s="92">
        <v>0.47638900000000001</v>
      </c>
      <c r="C353" s="92">
        <v>704.78840000000002</v>
      </c>
      <c r="D353" s="92">
        <v>87.258099999999999</v>
      </c>
      <c r="E353" s="92"/>
      <c r="F353" s="92">
        <v>0.47638900000000001</v>
      </c>
      <c r="G353" s="92">
        <v>704.92880000000002</v>
      </c>
      <c r="H353" s="92">
        <v>85.623000000000005</v>
      </c>
      <c r="I353" s="92"/>
      <c r="J353" s="93">
        <f t="shared" si="12"/>
        <v>0.14039999999999964</v>
      </c>
    </row>
    <row r="354" spans="2:10" x14ac:dyDescent="0.2">
      <c r="B354" s="92">
        <v>0.47777799999999998</v>
      </c>
      <c r="C354" s="92">
        <v>704.98839999999996</v>
      </c>
      <c r="D354" s="92">
        <v>87.471599999999995</v>
      </c>
      <c r="E354" s="92"/>
      <c r="F354" s="92">
        <v>0.47777799999999998</v>
      </c>
      <c r="G354" s="92">
        <v>705.14200000000005</v>
      </c>
      <c r="H354" s="92">
        <v>85.885999999999996</v>
      </c>
      <c r="I354" s="92"/>
      <c r="J354" s="93">
        <f t="shared" si="12"/>
        <v>0.15360000000009677</v>
      </c>
    </row>
    <row r="355" spans="2:10" x14ac:dyDescent="0.2">
      <c r="B355" s="92">
        <v>0.47916700000000001</v>
      </c>
      <c r="C355" s="92">
        <v>705.09929999999997</v>
      </c>
      <c r="D355" s="92">
        <v>87.685199999999995</v>
      </c>
      <c r="E355" s="92"/>
      <c r="F355" s="92">
        <v>0.47916700000000001</v>
      </c>
      <c r="G355" s="92">
        <v>705.27719999999999</v>
      </c>
      <c r="H355" s="92">
        <v>86.125799999999998</v>
      </c>
      <c r="I355" s="92"/>
      <c r="J355" s="93">
        <f t="shared" si="12"/>
        <v>0.17790000000002237</v>
      </c>
    </row>
    <row r="356" spans="2:10" x14ac:dyDescent="0.2">
      <c r="B356" s="92">
        <v>0.48055599999999998</v>
      </c>
      <c r="C356" s="92">
        <v>705.29169999999999</v>
      </c>
      <c r="D356" s="92">
        <v>87.888999999999996</v>
      </c>
      <c r="E356" s="92"/>
      <c r="F356" s="92">
        <v>0.48055599999999998</v>
      </c>
      <c r="G356" s="92">
        <v>705.41120000000001</v>
      </c>
      <c r="H356" s="92">
        <v>86.364000000000004</v>
      </c>
      <c r="I356" s="92"/>
      <c r="J356" s="93">
        <f t="shared" si="12"/>
        <v>0.11950000000001637</v>
      </c>
    </row>
    <row r="357" spans="2:10" x14ac:dyDescent="0.2">
      <c r="B357" s="92">
        <v>0.48194399999999998</v>
      </c>
      <c r="C357" s="92">
        <v>705.46249999999998</v>
      </c>
      <c r="D357" s="92">
        <v>88.078199999999995</v>
      </c>
      <c r="E357" s="92"/>
      <c r="F357" s="92">
        <v>0.48194399999999998</v>
      </c>
      <c r="G357" s="92">
        <v>705.63430000000005</v>
      </c>
      <c r="H357" s="92">
        <v>86.597200000000001</v>
      </c>
      <c r="I357" s="92"/>
      <c r="J357" s="93">
        <f t="shared" si="12"/>
        <v>0.17180000000007567</v>
      </c>
    </row>
    <row r="358" spans="2:10" x14ac:dyDescent="0.2">
      <c r="B358" s="92">
        <v>0.48333300000000001</v>
      </c>
      <c r="C358" s="92">
        <v>705.62540000000001</v>
      </c>
      <c r="D358" s="92">
        <v>88.270700000000005</v>
      </c>
      <c r="E358" s="92"/>
      <c r="F358" s="92">
        <v>0.48333300000000001</v>
      </c>
      <c r="G358" s="92">
        <v>705.78399999999999</v>
      </c>
      <c r="H358" s="92">
        <v>86.825400000000002</v>
      </c>
      <c r="I358" s="92"/>
      <c r="J358" s="93">
        <f t="shared" si="12"/>
        <v>0.15859999999997854</v>
      </c>
    </row>
    <row r="359" spans="2:10" x14ac:dyDescent="0.2">
      <c r="B359" s="92">
        <v>0.48472199999999999</v>
      </c>
      <c r="C359" s="92">
        <v>705.80139999999994</v>
      </c>
      <c r="D359" s="92">
        <v>88.459900000000005</v>
      </c>
      <c r="E359" s="92"/>
      <c r="F359" s="92">
        <v>0.48472199999999999</v>
      </c>
      <c r="G359" s="92">
        <v>705.96119999999996</v>
      </c>
      <c r="H359" s="92">
        <v>87.046999999999997</v>
      </c>
      <c r="I359" s="92"/>
      <c r="J359" s="93">
        <f t="shared" si="12"/>
        <v>0.15980000000001837</v>
      </c>
    </row>
    <row r="360" spans="2:10" x14ac:dyDescent="0.2">
      <c r="B360" s="92">
        <v>0.48611100000000002</v>
      </c>
      <c r="C360" s="92">
        <v>705.98829999999998</v>
      </c>
      <c r="D360" s="92">
        <v>88.642499999999998</v>
      </c>
      <c r="E360" s="92"/>
      <c r="F360" s="92">
        <v>0.48611100000000002</v>
      </c>
      <c r="G360" s="92">
        <v>706.15859999999998</v>
      </c>
      <c r="H360" s="92">
        <v>87.276899999999998</v>
      </c>
      <c r="I360" s="92"/>
      <c r="J360" s="93">
        <f t="shared" si="12"/>
        <v>0.17029999999999745</v>
      </c>
    </row>
    <row r="361" spans="2:10" x14ac:dyDescent="0.2">
      <c r="B361" s="92">
        <v>0.48749999999999999</v>
      </c>
      <c r="C361" s="92">
        <v>706.15610000000004</v>
      </c>
      <c r="D361" s="92">
        <v>88.8416</v>
      </c>
      <c r="E361" s="92"/>
      <c r="F361" s="92">
        <v>0.48749999999999999</v>
      </c>
      <c r="G361" s="92">
        <v>706.27449999999999</v>
      </c>
      <c r="H361" s="92">
        <v>87.503500000000003</v>
      </c>
      <c r="I361" s="92"/>
      <c r="J361" s="93">
        <f t="shared" si="12"/>
        <v>0.11839999999995143</v>
      </c>
    </row>
    <row r="362" spans="2:10" x14ac:dyDescent="0.2">
      <c r="B362" s="92">
        <v>0.48888900000000002</v>
      </c>
      <c r="C362" s="92">
        <v>706.29219999999998</v>
      </c>
      <c r="D362" s="92">
        <v>89.0471</v>
      </c>
      <c r="E362" s="92"/>
      <c r="F362" s="92">
        <v>0.48888900000000002</v>
      </c>
      <c r="G362" s="92">
        <v>706.43129999999996</v>
      </c>
      <c r="H362" s="92">
        <v>87.735100000000003</v>
      </c>
      <c r="I362" s="92"/>
      <c r="J362" s="93">
        <f t="shared" si="12"/>
        <v>0.1390999999999849</v>
      </c>
    </row>
    <row r="363" spans="2:10" x14ac:dyDescent="0.2">
      <c r="B363" s="92">
        <v>0.49027799999999999</v>
      </c>
      <c r="C363" s="92">
        <v>706.40940000000001</v>
      </c>
      <c r="D363" s="92">
        <v>89.234700000000004</v>
      </c>
      <c r="E363" s="92"/>
      <c r="F363" s="92">
        <v>0.49027799999999999</v>
      </c>
      <c r="G363" s="92">
        <v>706.52809999999999</v>
      </c>
      <c r="H363" s="92">
        <v>87.954999999999998</v>
      </c>
      <c r="I363" s="92"/>
      <c r="J363" s="93">
        <f t="shared" si="12"/>
        <v>0.11869999999998981</v>
      </c>
    </row>
    <row r="364" spans="2:10" x14ac:dyDescent="0.2">
      <c r="B364" s="92">
        <v>0.49166700000000002</v>
      </c>
      <c r="C364" s="92">
        <v>706.53740000000005</v>
      </c>
      <c r="D364" s="92">
        <v>89.443600000000004</v>
      </c>
      <c r="E364" s="92"/>
      <c r="F364" s="92">
        <v>0.49166700000000002</v>
      </c>
      <c r="G364" s="92">
        <v>706.69380000000001</v>
      </c>
      <c r="H364" s="92">
        <v>88.18</v>
      </c>
      <c r="I364" s="92"/>
      <c r="J364" s="93">
        <f t="shared" si="12"/>
        <v>0.15639999999996235</v>
      </c>
    </row>
    <row r="365" spans="2:10" x14ac:dyDescent="0.2">
      <c r="B365" s="92">
        <v>0.49305599999999999</v>
      </c>
      <c r="C365" s="92">
        <v>706.69880000000001</v>
      </c>
      <c r="D365" s="92">
        <v>89.641000000000005</v>
      </c>
      <c r="E365" s="92"/>
      <c r="F365" s="92">
        <v>0.49305599999999999</v>
      </c>
      <c r="G365" s="92">
        <v>706.84310000000005</v>
      </c>
      <c r="H365" s="92">
        <v>88.401600000000002</v>
      </c>
      <c r="I365" s="92"/>
      <c r="J365" s="93">
        <f t="shared" si="12"/>
        <v>0.14430000000004384</v>
      </c>
    </row>
    <row r="366" spans="2:10" x14ac:dyDescent="0.2">
      <c r="B366" s="92">
        <v>0.49444399999999999</v>
      </c>
      <c r="C366" s="92">
        <v>706.84410000000003</v>
      </c>
      <c r="D366" s="92">
        <v>89.844999999999999</v>
      </c>
      <c r="E366" s="92"/>
      <c r="F366" s="92">
        <v>0.49444399999999999</v>
      </c>
      <c r="G366" s="92">
        <v>706.98739999999998</v>
      </c>
      <c r="H366" s="92">
        <v>88.616600000000005</v>
      </c>
      <c r="I366" s="92"/>
      <c r="J366" s="93">
        <f t="shared" si="12"/>
        <v>0.1432999999999538</v>
      </c>
    </row>
    <row r="367" spans="2:10" x14ac:dyDescent="0.2">
      <c r="B367" s="92">
        <v>0.49583300000000002</v>
      </c>
      <c r="C367" s="92">
        <v>706.96439999999996</v>
      </c>
      <c r="D367" s="92">
        <v>90.050700000000006</v>
      </c>
      <c r="E367" s="92"/>
      <c r="F367" s="92">
        <v>0.49583300000000002</v>
      </c>
      <c r="G367" s="92">
        <v>707.10400000000004</v>
      </c>
      <c r="H367" s="92">
        <v>88.838200000000001</v>
      </c>
      <c r="I367" s="92"/>
      <c r="J367" s="93">
        <f t="shared" si="12"/>
        <v>0.13960000000008677</v>
      </c>
    </row>
    <row r="368" spans="2:10" x14ac:dyDescent="0.2">
      <c r="B368" s="92">
        <v>0.497222</v>
      </c>
      <c r="C368" s="92">
        <v>707.09649999999999</v>
      </c>
      <c r="D368" s="92">
        <v>90.257999999999996</v>
      </c>
      <c r="E368" s="92"/>
      <c r="F368" s="92">
        <v>0.497222</v>
      </c>
      <c r="G368" s="92">
        <v>707.25329999999997</v>
      </c>
      <c r="H368" s="92">
        <v>89.059799999999996</v>
      </c>
      <c r="I368" s="92"/>
      <c r="J368" s="93">
        <f t="shared" si="12"/>
        <v>0.15679999999997563</v>
      </c>
    </row>
    <row r="369" spans="2:10" x14ac:dyDescent="0.2">
      <c r="B369" s="92">
        <v>0.49861100000000003</v>
      </c>
      <c r="C369" s="92">
        <v>707.197</v>
      </c>
      <c r="D369" s="92">
        <v>90.465299999999999</v>
      </c>
      <c r="E369" s="92"/>
      <c r="F369" s="92">
        <v>0.49861100000000003</v>
      </c>
      <c r="G369" s="92">
        <v>707.40380000000005</v>
      </c>
      <c r="H369" s="92">
        <v>89.283100000000005</v>
      </c>
      <c r="I369" s="92"/>
      <c r="J369" s="93">
        <f t="shared" si="12"/>
        <v>0.20680000000004384</v>
      </c>
    </row>
    <row r="370" spans="2:10" x14ac:dyDescent="0.2">
      <c r="B370" s="92">
        <v>0.5</v>
      </c>
      <c r="C370" s="92">
        <v>707.38589999999999</v>
      </c>
      <c r="D370" s="92">
        <v>90.664500000000004</v>
      </c>
      <c r="E370" s="92"/>
      <c r="F370" s="92">
        <v>0.5</v>
      </c>
      <c r="G370" s="92">
        <v>707.54300000000001</v>
      </c>
      <c r="H370" s="92">
        <v>89.491500000000002</v>
      </c>
      <c r="I370" s="92"/>
      <c r="J370" s="93">
        <f t="shared" si="12"/>
        <v>0.15710000000001401</v>
      </c>
    </row>
    <row r="371" spans="2:10" x14ac:dyDescent="0.2">
      <c r="B371" s="92">
        <v>0.50138899999999997</v>
      </c>
      <c r="C371" s="92">
        <v>707.54949999999997</v>
      </c>
      <c r="D371" s="92">
        <v>90.871799999999993</v>
      </c>
      <c r="E371" s="92"/>
      <c r="F371" s="92">
        <v>0.50138899999999997</v>
      </c>
      <c r="G371" s="92">
        <v>707.70719999999994</v>
      </c>
      <c r="H371" s="92">
        <v>89.708200000000005</v>
      </c>
      <c r="I371" s="92"/>
      <c r="J371" s="93">
        <f t="shared" si="12"/>
        <v>0.15769999999997708</v>
      </c>
    </row>
    <row r="372" spans="2:10" x14ac:dyDescent="0.2">
      <c r="B372" s="92">
        <v>0.50277799999999995</v>
      </c>
      <c r="C372" s="92">
        <v>707.7124</v>
      </c>
      <c r="D372" s="92">
        <v>91.064499999999995</v>
      </c>
      <c r="E372" s="92"/>
      <c r="F372" s="92">
        <v>0.50277799999999995</v>
      </c>
      <c r="G372" s="92">
        <v>707.8999</v>
      </c>
      <c r="H372" s="92">
        <v>89.913200000000003</v>
      </c>
      <c r="I372" s="92"/>
      <c r="J372" s="93">
        <f t="shared" si="12"/>
        <v>0.1875</v>
      </c>
    </row>
    <row r="373" spans="2:10" x14ac:dyDescent="0.2">
      <c r="B373" s="92">
        <v>0.50416700000000003</v>
      </c>
      <c r="C373" s="92">
        <v>707.90419999999995</v>
      </c>
      <c r="D373" s="92">
        <v>91.260400000000004</v>
      </c>
      <c r="E373" s="92"/>
      <c r="F373" s="92">
        <v>0.50416700000000003</v>
      </c>
      <c r="G373" s="92">
        <v>708.07939999999996</v>
      </c>
      <c r="H373" s="92">
        <v>90.131600000000006</v>
      </c>
      <c r="I373" s="92"/>
      <c r="J373" s="93">
        <f t="shared" si="12"/>
        <v>0.17520000000001801</v>
      </c>
    </row>
    <row r="374" spans="2:10" x14ac:dyDescent="0.2">
      <c r="B374" s="92">
        <v>0.50555600000000001</v>
      </c>
      <c r="C374" s="92">
        <v>708.14210000000003</v>
      </c>
      <c r="D374" s="92">
        <v>91.454800000000006</v>
      </c>
      <c r="E374" s="92"/>
      <c r="F374" s="92">
        <v>0.50555600000000001</v>
      </c>
      <c r="G374" s="92">
        <v>708.27250000000004</v>
      </c>
      <c r="H374" s="92">
        <v>90.343299999999999</v>
      </c>
      <c r="I374" s="92"/>
      <c r="J374" s="93">
        <f t="shared" si="12"/>
        <v>0.13040000000000873</v>
      </c>
    </row>
    <row r="375" spans="2:10" x14ac:dyDescent="0.2">
      <c r="B375" s="92">
        <v>0.50694399999999995</v>
      </c>
      <c r="C375" s="92">
        <v>708.29669999999999</v>
      </c>
      <c r="D375" s="92">
        <v>91.657300000000006</v>
      </c>
      <c r="E375" s="92"/>
      <c r="F375" s="92">
        <v>0.50694399999999995</v>
      </c>
      <c r="G375" s="92">
        <v>708.43119999999999</v>
      </c>
      <c r="H375" s="92">
        <v>90.564899999999994</v>
      </c>
      <c r="I375" s="92"/>
      <c r="J375" s="93">
        <f t="shared" si="12"/>
        <v>0.13450000000000273</v>
      </c>
    </row>
    <row r="376" spans="2:10" x14ac:dyDescent="0.2">
      <c r="B376" s="92">
        <v>0.50833300000000003</v>
      </c>
      <c r="C376" s="92">
        <v>708.50429999999994</v>
      </c>
      <c r="D376" s="92">
        <v>91.853300000000004</v>
      </c>
      <c r="E376" s="92"/>
      <c r="F376" s="92">
        <v>0.50833300000000003</v>
      </c>
      <c r="G376" s="92">
        <v>708.62720000000002</v>
      </c>
      <c r="H376" s="92">
        <v>90.786500000000004</v>
      </c>
      <c r="I376" s="92"/>
      <c r="J376" s="93">
        <f t="shared" si="12"/>
        <v>0.1229000000000724</v>
      </c>
    </row>
    <row r="377" spans="2:10" x14ac:dyDescent="0.2">
      <c r="B377" s="92">
        <v>0.50972200000000001</v>
      </c>
      <c r="C377" s="92">
        <v>708.71950000000004</v>
      </c>
      <c r="D377" s="92">
        <v>92.059100000000001</v>
      </c>
      <c r="E377" s="92"/>
      <c r="F377" s="92">
        <v>0.50972200000000001</v>
      </c>
      <c r="G377" s="92">
        <v>708.88869999999997</v>
      </c>
      <c r="H377" s="92">
        <v>91.008200000000002</v>
      </c>
      <c r="I377" s="92"/>
      <c r="J377" s="93">
        <f t="shared" si="12"/>
        <v>0.16919999999993252</v>
      </c>
    </row>
    <row r="378" spans="2:10" x14ac:dyDescent="0.2">
      <c r="B378" s="92">
        <v>0.51111099999999998</v>
      </c>
      <c r="C378" s="92">
        <v>708.86620000000005</v>
      </c>
      <c r="D378" s="92">
        <v>92.264899999999997</v>
      </c>
      <c r="E378" s="92"/>
      <c r="F378" s="92">
        <v>0.51111099999999998</v>
      </c>
      <c r="G378" s="92">
        <v>709.0231</v>
      </c>
      <c r="H378" s="92">
        <v>91.234700000000004</v>
      </c>
      <c r="I378" s="92"/>
      <c r="J378" s="93">
        <f t="shared" si="12"/>
        <v>0.15689999999995052</v>
      </c>
    </row>
    <row r="379" spans="2:10" x14ac:dyDescent="0.2">
      <c r="B379" s="92">
        <v>0.51249999999999996</v>
      </c>
      <c r="C379" s="92">
        <v>709.08259999999996</v>
      </c>
      <c r="D379" s="92">
        <v>92.472399999999993</v>
      </c>
      <c r="E379" s="92"/>
      <c r="F379" s="92">
        <v>0.51249999999999996</v>
      </c>
      <c r="G379" s="92">
        <v>709.26509999999996</v>
      </c>
      <c r="H379" s="92">
        <v>91.461299999999994</v>
      </c>
      <c r="I379" s="92"/>
      <c r="J379" s="93">
        <f t="shared" si="12"/>
        <v>0.18250000000000455</v>
      </c>
    </row>
    <row r="380" spans="2:10" x14ac:dyDescent="0.2">
      <c r="B380" s="92">
        <v>0.51388900000000004</v>
      </c>
      <c r="C380" s="92">
        <v>709.24879999999996</v>
      </c>
      <c r="D380" s="92">
        <v>92.6554</v>
      </c>
      <c r="E380" s="92"/>
      <c r="F380" s="92">
        <v>0.51388900000000004</v>
      </c>
      <c r="G380" s="92">
        <v>709.44669999999996</v>
      </c>
      <c r="H380" s="92">
        <v>91.694599999999994</v>
      </c>
      <c r="I380" s="92"/>
      <c r="J380" s="93">
        <f t="shared" si="12"/>
        <v>0.19790000000000418</v>
      </c>
    </row>
    <row r="381" spans="2:10" x14ac:dyDescent="0.2">
      <c r="B381" s="92">
        <v>0.51527800000000001</v>
      </c>
      <c r="C381" s="92">
        <v>709.50340000000006</v>
      </c>
      <c r="D381" s="92">
        <v>92.864599999999996</v>
      </c>
      <c r="E381" s="92"/>
      <c r="F381" s="92">
        <v>0.51527800000000001</v>
      </c>
      <c r="G381" s="92">
        <v>709.68399999999997</v>
      </c>
      <c r="H381" s="92">
        <v>91.921199999999999</v>
      </c>
      <c r="I381" s="92"/>
      <c r="J381" s="93">
        <f t="shared" si="12"/>
        <v>0.18059999999991305</v>
      </c>
    </row>
    <row r="382" spans="2:10" x14ac:dyDescent="0.2">
      <c r="B382" s="92">
        <v>0.51666699999999999</v>
      </c>
      <c r="C382" s="92">
        <v>709.70420000000001</v>
      </c>
      <c r="D382" s="92">
        <v>93.072100000000006</v>
      </c>
      <c r="E382" s="92"/>
      <c r="F382" s="92">
        <v>0.51666699999999999</v>
      </c>
      <c r="G382" s="92">
        <v>709.88310000000001</v>
      </c>
      <c r="H382" s="92">
        <v>92.152699999999996</v>
      </c>
      <c r="I382" s="92"/>
      <c r="J382" s="93">
        <f t="shared" si="12"/>
        <v>0.17889999999999873</v>
      </c>
    </row>
    <row r="383" spans="2:10" x14ac:dyDescent="0.2">
      <c r="B383" s="92">
        <v>0.51805599999999996</v>
      </c>
      <c r="C383" s="92">
        <v>709.94370000000004</v>
      </c>
      <c r="D383" s="92">
        <v>93.268199999999993</v>
      </c>
      <c r="E383" s="92"/>
      <c r="F383" s="92">
        <v>0.51805599999999996</v>
      </c>
      <c r="G383" s="92">
        <v>710.10659999999996</v>
      </c>
      <c r="H383" s="92">
        <v>92.379300000000001</v>
      </c>
      <c r="I383" s="92"/>
      <c r="J383" s="93">
        <f t="shared" si="12"/>
        <v>0.16289999999992233</v>
      </c>
    </row>
    <row r="384" spans="2:10" x14ac:dyDescent="0.2">
      <c r="B384" s="92">
        <v>0.51944400000000002</v>
      </c>
      <c r="C384" s="92">
        <v>710.14110000000005</v>
      </c>
      <c r="D384" s="92">
        <v>93.464399999999998</v>
      </c>
      <c r="E384" s="92"/>
      <c r="F384" s="92">
        <v>0.51944400000000002</v>
      </c>
      <c r="G384" s="92">
        <v>710.31439999999998</v>
      </c>
      <c r="H384" s="92">
        <v>92.597700000000003</v>
      </c>
      <c r="I384" s="92"/>
      <c r="J384" s="93">
        <f t="shared" si="12"/>
        <v>0.17329999999992651</v>
      </c>
    </row>
    <row r="385" spans="2:10" x14ac:dyDescent="0.2">
      <c r="B385" s="92">
        <v>0.52083299999999999</v>
      </c>
      <c r="C385" s="92">
        <v>710.36360000000002</v>
      </c>
      <c r="D385" s="92">
        <v>93.658900000000003</v>
      </c>
      <c r="E385" s="92"/>
      <c r="F385" s="92">
        <v>0.52083299999999999</v>
      </c>
      <c r="G385" s="92">
        <v>710.52139999999997</v>
      </c>
      <c r="H385" s="92">
        <v>92.820999999999998</v>
      </c>
      <c r="I385" s="92"/>
      <c r="J385" s="93">
        <f t="shared" si="12"/>
        <v>0.15779999999995198</v>
      </c>
    </row>
    <row r="386" spans="2:10" x14ac:dyDescent="0.2">
      <c r="B386" s="92">
        <v>0.52222199999999996</v>
      </c>
      <c r="C386" s="92">
        <v>710.62159999999994</v>
      </c>
      <c r="D386" s="92">
        <v>93.8583</v>
      </c>
      <c r="E386" s="92"/>
      <c r="F386" s="92">
        <v>0.52222199999999996</v>
      </c>
      <c r="G386" s="92">
        <v>710.79610000000002</v>
      </c>
      <c r="H386" s="92">
        <v>93.040899999999993</v>
      </c>
      <c r="I386" s="92"/>
      <c r="J386" s="93">
        <f t="shared" si="12"/>
        <v>0.17450000000008004</v>
      </c>
    </row>
    <row r="387" spans="2:10" x14ac:dyDescent="0.2">
      <c r="B387" s="92">
        <v>0.52361100000000005</v>
      </c>
      <c r="C387" s="92">
        <v>710.79139999999995</v>
      </c>
      <c r="D387" s="92">
        <v>94.052800000000005</v>
      </c>
      <c r="E387" s="92"/>
      <c r="F387" s="92">
        <v>0.52361100000000005</v>
      </c>
      <c r="G387" s="92">
        <v>710.98950000000002</v>
      </c>
      <c r="H387" s="92">
        <v>93.270899999999997</v>
      </c>
      <c r="I387" s="92"/>
      <c r="J387" s="93">
        <f t="shared" si="12"/>
        <v>0.19810000000006767</v>
      </c>
    </row>
    <row r="388" spans="2:10" x14ac:dyDescent="0.2">
      <c r="B388" s="92">
        <v>0.52500000000000002</v>
      </c>
      <c r="C388" s="92">
        <v>711.02809999999999</v>
      </c>
      <c r="D388" s="92">
        <v>94.258899999999997</v>
      </c>
      <c r="E388" s="92"/>
      <c r="F388" s="92">
        <v>0.52500000000000002</v>
      </c>
      <c r="G388" s="92">
        <v>711.18899999999996</v>
      </c>
      <c r="H388" s="92">
        <v>93.484200000000001</v>
      </c>
      <c r="I388" s="92"/>
      <c r="J388" s="93">
        <f t="shared" si="12"/>
        <v>0.16089999999996962</v>
      </c>
    </row>
    <row r="389" spans="2:10" x14ac:dyDescent="0.2">
      <c r="B389" s="92">
        <v>0.526389</v>
      </c>
      <c r="C389" s="92">
        <v>711.27980000000002</v>
      </c>
      <c r="D389" s="92">
        <v>94.456699999999998</v>
      </c>
      <c r="E389" s="92"/>
      <c r="F389" s="92">
        <v>0.526389</v>
      </c>
      <c r="G389" s="92">
        <v>711.43550000000005</v>
      </c>
      <c r="H389" s="92">
        <v>93.697599999999994</v>
      </c>
      <c r="I389" s="92"/>
      <c r="J389" s="93">
        <f t="shared" si="12"/>
        <v>0.15570000000002437</v>
      </c>
    </row>
    <row r="390" spans="2:10" x14ac:dyDescent="0.2">
      <c r="B390" s="92">
        <v>0.52777799999999997</v>
      </c>
      <c r="C390" s="92">
        <v>711.48419999999999</v>
      </c>
      <c r="D390" s="92">
        <v>94.647999999999996</v>
      </c>
      <c r="E390" s="92"/>
      <c r="F390" s="92">
        <v>0.52777799999999997</v>
      </c>
      <c r="G390" s="92">
        <v>711.66330000000005</v>
      </c>
      <c r="H390" s="92">
        <v>93.911000000000001</v>
      </c>
      <c r="I390" s="92"/>
      <c r="J390" s="93">
        <f t="shared" si="12"/>
        <v>0.17910000000006221</v>
      </c>
    </row>
    <row r="391" spans="2:10" x14ac:dyDescent="0.2">
      <c r="B391" s="92">
        <v>0.52916700000000005</v>
      </c>
      <c r="C391" s="92">
        <v>711.70920000000001</v>
      </c>
      <c r="D391" s="92">
        <v>94.852500000000006</v>
      </c>
      <c r="E391" s="92"/>
      <c r="F391" s="92">
        <v>0.52916700000000005</v>
      </c>
      <c r="G391" s="92">
        <v>711.8877</v>
      </c>
      <c r="H391" s="92">
        <v>94.126099999999994</v>
      </c>
      <c r="I391" s="92"/>
      <c r="J391" s="93">
        <f t="shared" si="12"/>
        <v>0.17849999999998545</v>
      </c>
    </row>
    <row r="392" spans="2:10" x14ac:dyDescent="0.2">
      <c r="B392" s="92">
        <v>0.53055600000000003</v>
      </c>
      <c r="C392" s="92">
        <v>711.9348</v>
      </c>
      <c r="D392" s="92">
        <v>95.043800000000005</v>
      </c>
      <c r="E392" s="92"/>
      <c r="F392" s="92">
        <v>0.53055600000000003</v>
      </c>
      <c r="G392" s="92">
        <v>712.13750000000005</v>
      </c>
      <c r="H392" s="92">
        <v>94.331199999999995</v>
      </c>
      <c r="I392" s="92"/>
      <c r="J392" s="93">
        <f t="shared" si="12"/>
        <v>0.20270000000004984</v>
      </c>
    </row>
    <row r="393" spans="2:10" x14ac:dyDescent="0.2">
      <c r="B393" s="92">
        <v>0.53194399999999997</v>
      </c>
      <c r="C393" s="92">
        <v>712.14440000000002</v>
      </c>
      <c r="D393" s="92">
        <v>95.241699999999994</v>
      </c>
      <c r="E393" s="92"/>
      <c r="F393" s="92">
        <v>0.53194399999999997</v>
      </c>
      <c r="G393" s="92">
        <v>712.3066</v>
      </c>
      <c r="H393" s="92">
        <v>94.541300000000007</v>
      </c>
      <c r="I393" s="92"/>
      <c r="J393" s="93">
        <f t="shared" si="12"/>
        <v>0.16219999999998436</v>
      </c>
    </row>
    <row r="394" spans="2:10" x14ac:dyDescent="0.2">
      <c r="B394" s="92">
        <v>0.53333299999999995</v>
      </c>
      <c r="C394" s="92">
        <v>712.24220000000003</v>
      </c>
      <c r="D394" s="92">
        <v>95.424899999999994</v>
      </c>
      <c r="E394" s="92"/>
      <c r="F394" s="92">
        <v>0.53333299999999995</v>
      </c>
      <c r="G394" s="92">
        <v>712.27390000000003</v>
      </c>
      <c r="H394" s="92">
        <v>94.751300000000001</v>
      </c>
      <c r="I394" s="92"/>
      <c r="J394" s="93">
        <f t="shared" si="12"/>
        <v>3.1700000000000728E-2</v>
      </c>
    </row>
    <row r="395" spans="2:10" x14ac:dyDescent="0.2">
      <c r="B395" s="92">
        <v>0.53472200000000003</v>
      </c>
      <c r="C395" s="92">
        <v>712.23360000000002</v>
      </c>
      <c r="D395" s="92">
        <v>95.621200000000002</v>
      </c>
      <c r="E395" s="92"/>
      <c r="F395" s="92">
        <v>0.53472200000000003</v>
      </c>
      <c r="G395" s="92">
        <v>712.32749999999999</v>
      </c>
      <c r="H395" s="92">
        <v>94.951499999999996</v>
      </c>
      <c r="I395" s="92"/>
      <c r="J395" s="93">
        <f t="shared" ref="J395:J458" si="13">+ABS(G395-C395)</f>
        <v>9.3899999999962347E-2</v>
      </c>
    </row>
    <row r="396" spans="2:10" x14ac:dyDescent="0.2">
      <c r="B396" s="92">
        <v>0.536111</v>
      </c>
      <c r="C396" s="92">
        <v>712.19849999999997</v>
      </c>
      <c r="D396" s="92">
        <v>95.7898</v>
      </c>
      <c r="E396" s="92"/>
      <c r="F396" s="92">
        <v>0.536111</v>
      </c>
      <c r="G396" s="92">
        <v>712.30169999999998</v>
      </c>
      <c r="H396" s="92">
        <v>95.115300000000005</v>
      </c>
      <c r="I396" s="92"/>
      <c r="J396" s="93">
        <f t="shared" si="13"/>
        <v>0.10320000000001528</v>
      </c>
    </row>
    <row r="397" spans="2:10" x14ac:dyDescent="0.2">
      <c r="B397" s="92">
        <v>0.53749999999999998</v>
      </c>
      <c r="C397" s="92">
        <v>712.25210000000004</v>
      </c>
      <c r="D397" s="92">
        <v>95.922300000000007</v>
      </c>
      <c r="E397" s="92"/>
      <c r="F397" s="92">
        <v>0.53749999999999998</v>
      </c>
      <c r="G397" s="92">
        <v>712.30370000000005</v>
      </c>
      <c r="H397" s="92">
        <v>95.247600000000006</v>
      </c>
      <c r="I397" s="92"/>
      <c r="J397" s="93">
        <f t="shared" si="13"/>
        <v>5.160000000000764E-2</v>
      </c>
    </row>
    <row r="398" spans="2:10" x14ac:dyDescent="0.2">
      <c r="B398" s="92">
        <v>0.53888899999999995</v>
      </c>
      <c r="C398" s="92">
        <v>712.17970000000003</v>
      </c>
      <c r="D398" s="92">
        <v>96.035200000000003</v>
      </c>
      <c r="E398" s="92"/>
      <c r="F398" s="92">
        <v>0.53888899999999995</v>
      </c>
      <c r="G398" s="92">
        <v>712.33119999999997</v>
      </c>
      <c r="H398" s="92">
        <v>95.351799999999997</v>
      </c>
      <c r="I398" s="92"/>
      <c r="J398" s="93">
        <f t="shared" si="13"/>
        <v>0.15149999999994179</v>
      </c>
    </row>
    <row r="399" spans="2:10" x14ac:dyDescent="0.2">
      <c r="B399" s="92">
        <v>0.54027800000000004</v>
      </c>
      <c r="C399" s="92">
        <v>712.23630000000003</v>
      </c>
      <c r="D399" s="92">
        <v>96.130099999999999</v>
      </c>
      <c r="E399" s="92"/>
      <c r="F399" s="92">
        <v>0.54027800000000004</v>
      </c>
      <c r="G399" s="92">
        <v>712.30139999999994</v>
      </c>
      <c r="H399" s="92">
        <v>95.436199999999999</v>
      </c>
      <c r="I399" s="92"/>
      <c r="J399" s="93">
        <f t="shared" si="13"/>
        <v>6.5099999999915781E-2</v>
      </c>
    </row>
    <row r="400" spans="2:10" x14ac:dyDescent="0.2">
      <c r="B400" s="92">
        <v>0.54166700000000001</v>
      </c>
      <c r="C400" s="92">
        <v>712.22149999999999</v>
      </c>
      <c r="D400" s="92">
        <v>96.193899999999999</v>
      </c>
      <c r="E400" s="92"/>
      <c r="F400" s="92">
        <v>0.54166700000000001</v>
      </c>
      <c r="G400" s="92">
        <v>712.29629999999997</v>
      </c>
      <c r="H400" s="92">
        <v>95.522199999999998</v>
      </c>
      <c r="I400" s="92"/>
      <c r="J400" s="93">
        <f t="shared" si="13"/>
        <v>7.4799999999981992E-2</v>
      </c>
    </row>
    <row r="401" spans="2:10" x14ac:dyDescent="0.2">
      <c r="B401" s="92">
        <v>0.54305599999999998</v>
      </c>
      <c r="C401" s="92">
        <v>712.22889999999995</v>
      </c>
      <c r="D401" s="92">
        <v>96.265900000000002</v>
      </c>
      <c r="E401" s="92"/>
      <c r="F401" s="92">
        <v>0.54305599999999998</v>
      </c>
      <c r="G401" s="92">
        <v>712.29579999999999</v>
      </c>
      <c r="H401" s="92">
        <v>95.583399999999997</v>
      </c>
      <c r="I401" s="92"/>
      <c r="J401" s="93">
        <f t="shared" si="13"/>
        <v>6.6900000000032378E-2</v>
      </c>
    </row>
    <row r="402" spans="2:10" x14ac:dyDescent="0.2">
      <c r="B402" s="92">
        <v>0.54444400000000004</v>
      </c>
      <c r="C402" s="92">
        <v>712.20659999999998</v>
      </c>
      <c r="D402" s="92">
        <v>96.319900000000004</v>
      </c>
      <c r="E402" s="92"/>
      <c r="F402" s="92">
        <v>0.54444400000000004</v>
      </c>
      <c r="G402" s="92">
        <v>712.27679999999998</v>
      </c>
      <c r="H402" s="92">
        <v>95.626499999999993</v>
      </c>
      <c r="I402" s="92"/>
      <c r="J402" s="93">
        <f t="shared" si="13"/>
        <v>7.0199999999999818E-2</v>
      </c>
    </row>
    <row r="403" spans="2:10" x14ac:dyDescent="0.2">
      <c r="B403" s="92">
        <v>0.54583300000000001</v>
      </c>
      <c r="C403" s="92">
        <v>712.24009999999998</v>
      </c>
      <c r="D403" s="92">
        <v>96.370599999999996</v>
      </c>
      <c r="E403" s="92"/>
      <c r="F403" s="92">
        <v>0.54583300000000001</v>
      </c>
      <c r="G403" s="92">
        <v>712.29949999999997</v>
      </c>
      <c r="H403" s="92">
        <v>95.680999999999997</v>
      </c>
      <c r="I403" s="92"/>
      <c r="J403" s="93">
        <f t="shared" si="13"/>
        <v>5.9399999999982356E-2</v>
      </c>
    </row>
    <row r="404" spans="2:10" x14ac:dyDescent="0.2">
      <c r="B404" s="92">
        <v>0.54722199999999999</v>
      </c>
      <c r="C404" s="92">
        <v>712.25829999999996</v>
      </c>
      <c r="D404" s="92">
        <v>96.408299999999997</v>
      </c>
      <c r="E404" s="92"/>
      <c r="F404" s="92">
        <v>0.54722199999999999</v>
      </c>
      <c r="G404" s="92">
        <v>712.24570000000006</v>
      </c>
      <c r="H404" s="92">
        <v>95.709199999999996</v>
      </c>
      <c r="I404" s="92"/>
      <c r="J404" s="93">
        <f t="shared" si="13"/>
        <v>1.2599999999906686E-2</v>
      </c>
    </row>
    <row r="405" spans="2:10" x14ac:dyDescent="0.2">
      <c r="B405" s="92">
        <v>0.54861099999999996</v>
      </c>
      <c r="C405" s="92">
        <v>712.22069999999997</v>
      </c>
      <c r="D405" s="92">
        <v>96.449200000000005</v>
      </c>
      <c r="E405" s="92"/>
      <c r="F405" s="92">
        <v>0.54861099999999996</v>
      </c>
      <c r="G405" s="92">
        <v>712.30880000000002</v>
      </c>
      <c r="H405" s="92">
        <v>95.748900000000006</v>
      </c>
      <c r="I405" s="92"/>
      <c r="J405" s="93">
        <f t="shared" si="13"/>
        <v>8.8100000000054024E-2</v>
      </c>
    </row>
    <row r="406" spans="2:10" x14ac:dyDescent="0.2">
      <c r="B406" s="92">
        <v>0.55000000000000004</v>
      </c>
      <c r="C406" s="92">
        <v>712.1902</v>
      </c>
      <c r="D406" s="92">
        <v>96.478700000000003</v>
      </c>
      <c r="E406" s="92"/>
      <c r="F406" s="92">
        <v>0.55000000000000004</v>
      </c>
      <c r="G406" s="92">
        <v>712.27030000000002</v>
      </c>
      <c r="H406" s="92">
        <v>95.778599999999997</v>
      </c>
      <c r="I406" s="92"/>
      <c r="J406" s="93">
        <f t="shared" si="13"/>
        <v>8.0100000000015825E-2</v>
      </c>
    </row>
    <row r="407" spans="2:10" x14ac:dyDescent="0.2">
      <c r="B407" s="92">
        <v>0.55138900000000002</v>
      </c>
      <c r="C407" s="92">
        <v>712.25890000000004</v>
      </c>
      <c r="D407" s="92">
        <v>96.513000000000005</v>
      </c>
      <c r="E407" s="92"/>
      <c r="F407" s="92">
        <v>0.55138900000000002</v>
      </c>
      <c r="G407" s="92">
        <v>712.27570000000003</v>
      </c>
      <c r="H407" s="92">
        <v>95.816699999999997</v>
      </c>
      <c r="I407" s="92"/>
      <c r="J407" s="93">
        <f t="shared" si="13"/>
        <v>1.6799999999989268E-2</v>
      </c>
    </row>
    <row r="408" spans="2:10" x14ac:dyDescent="0.2">
      <c r="B408" s="92">
        <v>0.55277799999999999</v>
      </c>
      <c r="C408" s="92">
        <v>712.25329999999997</v>
      </c>
      <c r="D408" s="92">
        <v>96.547399999999996</v>
      </c>
      <c r="E408" s="92"/>
      <c r="F408" s="92">
        <v>0.55277799999999999</v>
      </c>
      <c r="G408" s="92">
        <v>712.31209999999999</v>
      </c>
      <c r="H408" s="92">
        <v>95.8399</v>
      </c>
      <c r="I408" s="92"/>
      <c r="J408" s="93">
        <f t="shared" si="13"/>
        <v>5.8800000000019281E-2</v>
      </c>
    </row>
    <row r="409" spans="2:10" x14ac:dyDescent="0.2">
      <c r="B409" s="92">
        <v>0.55416699999999997</v>
      </c>
      <c r="C409" s="92">
        <v>712.22850000000005</v>
      </c>
      <c r="D409" s="92">
        <v>96.570300000000003</v>
      </c>
      <c r="E409" s="92"/>
      <c r="F409" s="92">
        <v>0.55416699999999997</v>
      </c>
      <c r="G409" s="92">
        <v>712.31</v>
      </c>
      <c r="H409" s="92">
        <v>95.867999999999995</v>
      </c>
      <c r="I409" s="92"/>
      <c r="J409" s="93">
        <f t="shared" si="13"/>
        <v>8.149999999989177E-2</v>
      </c>
    </row>
    <row r="410" spans="2:10" x14ac:dyDescent="0.2">
      <c r="B410" s="92">
        <v>0.55555600000000005</v>
      </c>
      <c r="C410" s="92">
        <v>712.29359999999997</v>
      </c>
      <c r="D410" s="92">
        <v>96.593199999999996</v>
      </c>
      <c r="E410" s="92"/>
      <c r="F410" s="92">
        <v>0.55555600000000005</v>
      </c>
      <c r="G410" s="92">
        <v>712.3125</v>
      </c>
      <c r="H410" s="92">
        <v>95.896100000000004</v>
      </c>
      <c r="I410" s="92"/>
      <c r="J410" s="93">
        <f t="shared" si="13"/>
        <v>1.8900000000030559E-2</v>
      </c>
    </row>
    <row r="411" spans="2:10" x14ac:dyDescent="0.2">
      <c r="B411" s="92">
        <v>0.55694399999999999</v>
      </c>
      <c r="C411" s="92">
        <v>712.26440000000002</v>
      </c>
      <c r="D411" s="92">
        <v>96.624300000000005</v>
      </c>
      <c r="E411" s="92"/>
      <c r="F411" s="92">
        <v>0.55694399999999999</v>
      </c>
      <c r="G411" s="92">
        <v>712.31259999999997</v>
      </c>
      <c r="H411" s="92">
        <v>95.920900000000003</v>
      </c>
      <c r="I411" s="92"/>
      <c r="J411" s="93">
        <f t="shared" si="13"/>
        <v>4.8199999999951615E-2</v>
      </c>
    </row>
    <row r="412" spans="2:10" x14ac:dyDescent="0.2">
      <c r="B412" s="92">
        <v>0.55833299999999997</v>
      </c>
      <c r="C412" s="92">
        <v>712.26289999999995</v>
      </c>
      <c r="D412" s="92">
        <v>96.656999999999996</v>
      </c>
      <c r="E412" s="92"/>
      <c r="F412" s="92">
        <v>0.55833299999999997</v>
      </c>
      <c r="G412" s="92">
        <v>712.29190000000006</v>
      </c>
      <c r="H412" s="92">
        <v>95.930800000000005</v>
      </c>
      <c r="I412" s="92"/>
      <c r="J412" s="93">
        <f t="shared" si="13"/>
        <v>2.9000000000110049E-2</v>
      </c>
    </row>
    <row r="413" spans="2:10" x14ac:dyDescent="0.2">
      <c r="B413" s="92">
        <v>0.55972200000000005</v>
      </c>
      <c r="C413" s="92">
        <v>712.26110000000006</v>
      </c>
      <c r="D413" s="92">
        <v>96.668499999999995</v>
      </c>
      <c r="E413" s="92"/>
      <c r="F413" s="92">
        <v>0.55972200000000005</v>
      </c>
      <c r="G413" s="92">
        <v>712.28510000000006</v>
      </c>
      <c r="H413" s="92">
        <v>95.959000000000003</v>
      </c>
      <c r="I413" s="92"/>
      <c r="J413" s="93">
        <f t="shared" si="13"/>
        <v>2.4000000000000909E-2</v>
      </c>
    </row>
    <row r="414" spans="2:10" x14ac:dyDescent="0.2">
      <c r="B414" s="92">
        <v>0.56111100000000003</v>
      </c>
      <c r="C414" s="92">
        <v>712.25869999999998</v>
      </c>
      <c r="D414" s="92">
        <v>96.693100000000001</v>
      </c>
      <c r="E414" s="92"/>
      <c r="F414" s="92">
        <v>0.56111100000000003</v>
      </c>
      <c r="G414" s="92">
        <v>712.35410000000002</v>
      </c>
      <c r="H414" s="92">
        <v>95.975499999999997</v>
      </c>
      <c r="I414" s="92"/>
      <c r="J414" s="93">
        <f t="shared" si="13"/>
        <v>9.5400000000040563E-2</v>
      </c>
    </row>
    <row r="415" spans="2:10" x14ac:dyDescent="0.2">
      <c r="B415" s="92">
        <v>0.5625</v>
      </c>
      <c r="C415" s="92">
        <v>712.21410000000003</v>
      </c>
      <c r="D415" s="92">
        <v>96.711100000000002</v>
      </c>
      <c r="E415" s="92"/>
      <c r="F415" s="92">
        <v>0.5625</v>
      </c>
      <c r="G415" s="92">
        <v>712.32</v>
      </c>
      <c r="H415" s="92">
        <v>95.998699999999999</v>
      </c>
      <c r="I415" s="92"/>
      <c r="J415" s="93">
        <f t="shared" si="13"/>
        <v>0.10590000000001965</v>
      </c>
    </row>
    <row r="416" spans="2:10" x14ac:dyDescent="0.2">
      <c r="B416" s="92">
        <v>0.56388899999999997</v>
      </c>
      <c r="C416" s="92">
        <v>712.27809999999999</v>
      </c>
      <c r="D416" s="92">
        <v>96.732299999999995</v>
      </c>
      <c r="E416" s="92"/>
      <c r="F416" s="92">
        <v>0.56388899999999997</v>
      </c>
      <c r="G416" s="92">
        <v>712.31370000000004</v>
      </c>
      <c r="H416" s="92">
        <v>96.015199999999993</v>
      </c>
      <c r="I416" s="92"/>
      <c r="J416" s="93">
        <f t="shared" si="13"/>
        <v>3.5600000000044929E-2</v>
      </c>
    </row>
    <row r="417" spans="2:10" x14ac:dyDescent="0.2">
      <c r="B417" s="92">
        <v>0.56527799999999995</v>
      </c>
      <c r="C417" s="92">
        <v>712.21360000000004</v>
      </c>
      <c r="D417" s="92">
        <v>96.751999999999995</v>
      </c>
      <c r="E417" s="92"/>
      <c r="F417" s="92">
        <v>0.56527799999999995</v>
      </c>
      <c r="G417" s="92">
        <v>712.30870000000004</v>
      </c>
      <c r="H417" s="92">
        <v>96.0334</v>
      </c>
      <c r="I417" s="92"/>
      <c r="J417" s="93">
        <f t="shared" si="13"/>
        <v>9.5100000000002183E-2</v>
      </c>
    </row>
    <row r="418" spans="2:10" x14ac:dyDescent="0.2">
      <c r="B418" s="92">
        <v>0.56666700000000003</v>
      </c>
      <c r="C418" s="92">
        <v>712.23170000000005</v>
      </c>
      <c r="D418" s="92">
        <v>96.761799999999994</v>
      </c>
      <c r="E418" s="92"/>
      <c r="F418" s="92">
        <v>0.56666700000000003</v>
      </c>
      <c r="G418" s="92">
        <v>712.29909999999995</v>
      </c>
      <c r="H418" s="92">
        <v>96.051599999999993</v>
      </c>
      <c r="I418" s="92"/>
      <c r="J418" s="93">
        <f t="shared" si="13"/>
        <v>6.7399999999906868E-2</v>
      </c>
    </row>
    <row r="419" spans="2:10" x14ac:dyDescent="0.2">
      <c r="B419" s="92">
        <v>0.56805600000000001</v>
      </c>
      <c r="C419" s="92">
        <v>712.27689999999996</v>
      </c>
      <c r="D419" s="92">
        <v>96.786299999999997</v>
      </c>
      <c r="E419" s="92"/>
      <c r="F419" s="92">
        <v>0.56805600000000001</v>
      </c>
      <c r="G419" s="92">
        <v>712.27779999999996</v>
      </c>
      <c r="H419" s="92">
        <v>96.073099999999997</v>
      </c>
      <c r="I419" s="92"/>
      <c r="J419" s="93">
        <f t="shared" si="13"/>
        <v>9.0000000000145519E-4</v>
      </c>
    </row>
    <row r="420" spans="2:10" x14ac:dyDescent="0.2">
      <c r="B420" s="92">
        <v>0.56944399999999995</v>
      </c>
      <c r="C420" s="92">
        <v>712.25609999999995</v>
      </c>
      <c r="D420" s="92">
        <v>96.807599999999994</v>
      </c>
      <c r="E420" s="92"/>
      <c r="F420" s="92">
        <v>0.56944399999999995</v>
      </c>
      <c r="G420" s="92">
        <v>712.30290000000002</v>
      </c>
      <c r="H420" s="92">
        <v>96.081400000000002</v>
      </c>
      <c r="I420" s="92"/>
      <c r="J420" s="93">
        <f t="shared" si="13"/>
        <v>4.680000000007567E-2</v>
      </c>
    </row>
    <row r="421" spans="2:10" x14ac:dyDescent="0.2">
      <c r="B421" s="92">
        <v>0.57083300000000003</v>
      </c>
      <c r="C421" s="92">
        <v>712.29510000000005</v>
      </c>
      <c r="D421" s="92">
        <v>96.823999999999998</v>
      </c>
      <c r="E421" s="92"/>
      <c r="F421" s="92">
        <v>0.57083300000000003</v>
      </c>
      <c r="G421" s="92">
        <v>712.31449999999995</v>
      </c>
      <c r="H421" s="92">
        <v>96.102900000000005</v>
      </c>
      <c r="I421" s="92"/>
      <c r="J421" s="93">
        <f t="shared" si="13"/>
        <v>1.9399999999905049E-2</v>
      </c>
    </row>
    <row r="422" spans="2:10" x14ac:dyDescent="0.2">
      <c r="B422" s="92">
        <v>0.57222200000000001</v>
      </c>
      <c r="C422" s="92">
        <v>712.26400000000001</v>
      </c>
      <c r="D422" s="92">
        <v>96.838700000000003</v>
      </c>
      <c r="E422" s="92"/>
      <c r="F422" s="92">
        <v>0.57222200000000001</v>
      </c>
      <c r="G422" s="92">
        <v>712.30889999999999</v>
      </c>
      <c r="H422" s="92">
        <v>96.107900000000001</v>
      </c>
      <c r="I422" s="92"/>
      <c r="J422" s="93">
        <f t="shared" si="13"/>
        <v>4.4899999999984175E-2</v>
      </c>
    </row>
    <row r="423" spans="2:10" x14ac:dyDescent="0.2">
      <c r="B423" s="92">
        <v>0.57361099999999998</v>
      </c>
      <c r="C423" s="92">
        <v>712.28330000000005</v>
      </c>
      <c r="D423" s="92">
        <v>96.850200000000001</v>
      </c>
      <c r="E423" s="92"/>
      <c r="F423" s="92">
        <v>0.57361099999999998</v>
      </c>
      <c r="G423" s="92">
        <v>712.32870000000003</v>
      </c>
      <c r="H423" s="92">
        <v>96.127700000000004</v>
      </c>
      <c r="I423" s="92"/>
      <c r="J423" s="93">
        <f t="shared" si="13"/>
        <v>4.5399999999972351E-2</v>
      </c>
    </row>
    <row r="424" spans="2:10" x14ac:dyDescent="0.2">
      <c r="B424" s="92">
        <v>0.57499999999999996</v>
      </c>
      <c r="C424" s="92">
        <v>712.29179999999997</v>
      </c>
      <c r="D424" s="92">
        <v>96.868200000000002</v>
      </c>
      <c r="E424" s="92"/>
      <c r="F424" s="92">
        <v>0.57499999999999996</v>
      </c>
      <c r="G424" s="92">
        <v>712.30489999999998</v>
      </c>
      <c r="H424" s="92">
        <v>96.145899999999997</v>
      </c>
      <c r="I424" s="92"/>
      <c r="J424" s="93">
        <f t="shared" si="13"/>
        <v>1.3100000000008549E-2</v>
      </c>
    </row>
    <row r="425" spans="2:10" x14ac:dyDescent="0.2">
      <c r="B425" s="92">
        <v>0.57638900000000004</v>
      </c>
      <c r="C425" s="92">
        <v>712.28459999999995</v>
      </c>
      <c r="D425" s="92">
        <v>96.879599999999996</v>
      </c>
      <c r="E425" s="92"/>
      <c r="F425" s="92">
        <v>0.57638900000000004</v>
      </c>
      <c r="G425" s="92">
        <v>712.29359999999997</v>
      </c>
      <c r="H425" s="92">
        <v>96.155799999999999</v>
      </c>
      <c r="I425" s="92"/>
      <c r="J425" s="93">
        <f t="shared" si="13"/>
        <v>9.0000000000145519E-3</v>
      </c>
    </row>
    <row r="426" spans="2:10" x14ac:dyDescent="0.2">
      <c r="B426" s="92">
        <v>0.57777800000000001</v>
      </c>
      <c r="C426" s="92">
        <v>712.30740000000003</v>
      </c>
      <c r="D426" s="92">
        <v>96.902600000000007</v>
      </c>
      <c r="E426" s="92"/>
      <c r="F426" s="92">
        <v>0.57777800000000001</v>
      </c>
      <c r="G426" s="92">
        <v>712.30020000000002</v>
      </c>
      <c r="H426" s="92">
        <v>96.170699999999997</v>
      </c>
      <c r="I426" s="92"/>
      <c r="J426" s="93">
        <f t="shared" si="13"/>
        <v>7.2000000000116415E-3</v>
      </c>
    </row>
    <row r="427" spans="2:10" x14ac:dyDescent="0.2">
      <c r="B427" s="92">
        <v>0.57916699999999999</v>
      </c>
      <c r="C427" s="92">
        <v>712.27380000000005</v>
      </c>
      <c r="D427" s="92">
        <v>96.914000000000001</v>
      </c>
      <c r="E427" s="92"/>
      <c r="F427" s="92">
        <v>0.57916699999999999</v>
      </c>
      <c r="G427" s="92">
        <v>712.33759999999995</v>
      </c>
      <c r="H427" s="92">
        <v>96.188900000000004</v>
      </c>
      <c r="I427" s="92"/>
      <c r="J427" s="93">
        <f t="shared" si="13"/>
        <v>6.3799999999901047E-2</v>
      </c>
    </row>
    <row r="428" spans="2:10" x14ac:dyDescent="0.2">
      <c r="B428" s="92">
        <v>0.58055599999999996</v>
      </c>
      <c r="C428" s="92">
        <v>712.26790000000005</v>
      </c>
      <c r="D428" s="92">
        <v>96.927099999999996</v>
      </c>
      <c r="E428" s="92"/>
      <c r="F428" s="92">
        <v>0.58055599999999996</v>
      </c>
      <c r="G428" s="92">
        <v>712.30119999999999</v>
      </c>
      <c r="H428" s="92">
        <v>96.190600000000003</v>
      </c>
      <c r="I428" s="92"/>
      <c r="J428" s="93">
        <f t="shared" si="13"/>
        <v>3.3299999999940155E-2</v>
      </c>
    </row>
    <row r="429" spans="2:10" x14ac:dyDescent="0.2">
      <c r="B429" s="92">
        <v>0.58194400000000002</v>
      </c>
      <c r="C429" s="92">
        <v>712.25289999999995</v>
      </c>
      <c r="D429" s="92">
        <v>96.935299999999998</v>
      </c>
      <c r="E429" s="92"/>
      <c r="F429" s="92">
        <v>0.58194400000000002</v>
      </c>
      <c r="G429" s="92">
        <v>712.30939999999998</v>
      </c>
      <c r="H429" s="92">
        <v>96.213700000000003</v>
      </c>
      <c r="I429" s="92"/>
      <c r="J429" s="93">
        <f t="shared" si="13"/>
        <v>5.6500000000028194E-2</v>
      </c>
    </row>
    <row r="430" spans="2:10" x14ac:dyDescent="0.2">
      <c r="B430" s="92">
        <v>0.58333299999999999</v>
      </c>
      <c r="C430" s="92">
        <v>712.26509999999996</v>
      </c>
      <c r="D430" s="92">
        <v>96.958200000000005</v>
      </c>
      <c r="E430" s="92"/>
      <c r="F430" s="92">
        <v>0.58333299999999999</v>
      </c>
      <c r="G430" s="92">
        <v>712.34860000000003</v>
      </c>
      <c r="H430" s="92">
        <v>96.221999999999994</v>
      </c>
      <c r="I430" s="92"/>
      <c r="J430" s="93">
        <f t="shared" si="13"/>
        <v>8.350000000007185E-2</v>
      </c>
    </row>
    <row r="431" spans="2:10" x14ac:dyDescent="0.2">
      <c r="B431" s="92">
        <v>0.58472199999999996</v>
      </c>
      <c r="C431" s="92">
        <v>712.22799999999995</v>
      </c>
      <c r="D431" s="92">
        <v>96.958200000000005</v>
      </c>
      <c r="E431" s="92"/>
      <c r="F431" s="92">
        <v>0.58472199999999996</v>
      </c>
      <c r="G431" s="92">
        <v>712.30690000000004</v>
      </c>
      <c r="H431" s="92">
        <v>96.235299999999995</v>
      </c>
      <c r="I431" s="92"/>
      <c r="J431" s="93">
        <f t="shared" si="13"/>
        <v>7.8900000000089676E-2</v>
      </c>
    </row>
    <row r="432" spans="2:10" x14ac:dyDescent="0.2">
      <c r="B432" s="92">
        <v>0.58611100000000005</v>
      </c>
      <c r="C432" s="92">
        <v>712.27729999999997</v>
      </c>
      <c r="D432" s="92">
        <v>96.981099999999998</v>
      </c>
      <c r="E432" s="92"/>
      <c r="F432" s="92">
        <v>0.58611100000000005</v>
      </c>
      <c r="G432" s="92">
        <v>712.31010000000003</v>
      </c>
      <c r="H432" s="92">
        <v>96.251800000000003</v>
      </c>
      <c r="I432" s="92"/>
      <c r="J432" s="93">
        <f t="shared" si="13"/>
        <v>3.2800000000065666E-2</v>
      </c>
    </row>
    <row r="433" spans="2:10" x14ac:dyDescent="0.2">
      <c r="B433" s="92">
        <v>0.58750000000000002</v>
      </c>
      <c r="C433" s="92">
        <v>712.30319999999995</v>
      </c>
      <c r="D433" s="92">
        <v>96.994200000000006</v>
      </c>
      <c r="E433" s="92"/>
      <c r="F433" s="92">
        <v>0.58750000000000002</v>
      </c>
      <c r="G433" s="92">
        <v>712.34900000000005</v>
      </c>
      <c r="H433" s="92">
        <v>96.253500000000003</v>
      </c>
      <c r="I433" s="92"/>
      <c r="J433" s="93">
        <f t="shared" si="13"/>
        <v>4.5800000000099317E-2</v>
      </c>
    </row>
    <row r="434" spans="2:10" x14ac:dyDescent="0.2">
      <c r="B434" s="92">
        <v>0.588889</v>
      </c>
      <c r="C434" s="92">
        <v>712.26020000000005</v>
      </c>
      <c r="D434" s="92">
        <v>97.007300000000001</v>
      </c>
      <c r="E434" s="92"/>
      <c r="F434" s="92">
        <v>0.588889</v>
      </c>
      <c r="G434" s="92">
        <v>712.33330000000001</v>
      </c>
      <c r="H434" s="92">
        <v>96.27</v>
      </c>
      <c r="I434" s="92"/>
      <c r="J434" s="93">
        <f t="shared" si="13"/>
        <v>7.309999999995398E-2</v>
      </c>
    </row>
    <row r="435" spans="2:10" x14ac:dyDescent="0.2">
      <c r="B435" s="92">
        <v>0.59027799999999997</v>
      </c>
      <c r="C435" s="92">
        <v>712.28210000000001</v>
      </c>
      <c r="D435" s="92">
        <v>97.022099999999995</v>
      </c>
      <c r="E435" s="92"/>
      <c r="F435" s="92">
        <v>0.59027799999999997</v>
      </c>
      <c r="G435" s="92">
        <v>712.31039999999996</v>
      </c>
      <c r="H435" s="92">
        <v>96.283199999999994</v>
      </c>
      <c r="I435" s="92"/>
      <c r="J435" s="93">
        <f t="shared" si="13"/>
        <v>2.8299999999944703E-2</v>
      </c>
    </row>
    <row r="436" spans="2:10" x14ac:dyDescent="0.2">
      <c r="B436" s="92">
        <v>0.59166700000000005</v>
      </c>
      <c r="C436" s="92">
        <v>712.29240000000004</v>
      </c>
      <c r="D436" s="92">
        <v>97.028599999999997</v>
      </c>
      <c r="E436" s="92"/>
      <c r="F436" s="92">
        <v>0.59166700000000005</v>
      </c>
      <c r="G436" s="92">
        <v>712.32140000000004</v>
      </c>
      <c r="H436" s="92">
        <v>96.291499999999999</v>
      </c>
      <c r="I436" s="92"/>
      <c r="J436" s="93">
        <f t="shared" si="13"/>
        <v>2.8999999999996362E-2</v>
      </c>
    </row>
    <row r="437" spans="2:10" x14ac:dyDescent="0.2">
      <c r="B437" s="92">
        <v>0.59305600000000003</v>
      </c>
      <c r="C437" s="92">
        <v>712.29020000000003</v>
      </c>
      <c r="D437" s="92">
        <v>97.046599999999998</v>
      </c>
      <c r="E437" s="92"/>
      <c r="F437" s="92">
        <v>0.59305600000000003</v>
      </c>
      <c r="G437" s="92">
        <v>712.32650000000001</v>
      </c>
      <c r="H437" s="92">
        <v>96.298100000000005</v>
      </c>
      <c r="I437" s="92"/>
      <c r="J437" s="93">
        <f t="shared" si="13"/>
        <v>3.6299999999982901E-2</v>
      </c>
    </row>
    <row r="438" spans="2:10" x14ac:dyDescent="0.2">
      <c r="B438" s="92">
        <v>0.59444399999999997</v>
      </c>
      <c r="C438" s="92">
        <v>712.30709999999999</v>
      </c>
      <c r="D438" s="92">
        <v>97.0548</v>
      </c>
      <c r="E438" s="92"/>
      <c r="F438" s="92">
        <v>0.59444399999999997</v>
      </c>
      <c r="G438" s="92">
        <v>712.34370000000001</v>
      </c>
      <c r="H438" s="92">
        <v>96.314700000000002</v>
      </c>
      <c r="I438" s="92"/>
      <c r="J438" s="93">
        <f t="shared" si="13"/>
        <v>3.6600000000021282E-2</v>
      </c>
    </row>
    <row r="439" spans="2:10" x14ac:dyDescent="0.2">
      <c r="B439" s="92">
        <v>0.59583299999999995</v>
      </c>
      <c r="C439" s="92">
        <v>712.30930000000001</v>
      </c>
      <c r="D439" s="92">
        <v>97.064599999999999</v>
      </c>
      <c r="E439" s="92"/>
      <c r="F439" s="92">
        <v>0.59583299999999995</v>
      </c>
      <c r="G439" s="92">
        <v>712.3356</v>
      </c>
      <c r="H439" s="92">
        <v>96.316299999999998</v>
      </c>
      <c r="I439" s="92"/>
      <c r="J439" s="93">
        <f t="shared" si="13"/>
        <v>2.6299999999991996E-2</v>
      </c>
    </row>
    <row r="440" spans="2:10" x14ac:dyDescent="0.2">
      <c r="B440" s="92">
        <v>0.59722200000000003</v>
      </c>
      <c r="C440" s="92">
        <v>712.30489999999998</v>
      </c>
      <c r="D440" s="92">
        <v>97.072800000000001</v>
      </c>
      <c r="E440" s="92"/>
      <c r="F440" s="92">
        <v>0.59722200000000003</v>
      </c>
      <c r="G440" s="92">
        <v>712.30460000000005</v>
      </c>
      <c r="H440" s="92">
        <v>96.331199999999995</v>
      </c>
      <c r="I440" s="92"/>
      <c r="J440" s="93">
        <f t="shared" si="13"/>
        <v>2.9999999992469384E-4</v>
      </c>
    </row>
    <row r="441" spans="2:10" x14ac:dyDescent="0.2">
      <c r="B441" s="92">
        <v>0.598611</v>
      </c>
      <c r="C441" s="92">
        <v>712.31089999999995</v>
      </c>
      <c r="D441" s="92">
        <v>97.087500000000006</v>
      </c>
      <c r="E441" s="92"/>
      <c r="F441" s="92">
        <v>0.598611</v>
      </c>
      <c r="G441" s="92">
        <v>712.32280000000003</v>
      </c>
      <c r="H441" s="92">
        <v>96.342799999999997</v>
      </c>
      <c r="I441" s="92"/>
      <c r="J441" s="93">
        <f t="shared" si="13"/>
        <v>1.19000000000824E-2</v>
      </c>
    </row>
    <row r="442" spans="2:10" x14ac:dyDescent="0.2">
      <c r="B442" s="92">
        <v>0.6</v>
      </c>
      <c r="C442" s="92">
        <v>712.29560000000004</v>
      </c>
      <c r="D442" s="92">
        <v>97.1023</v>
      </c>
      <c r="E442" s="92"/>
      <c r="F442" s="92">
        <v>0.6</v>
      </c>
      <c r="G442" s="92">
        <v>712.33500000000004</v>
      </c>
      <c r="H442" s="92">
        <v>96.352699999999999</v>
      </c>
      <c r="I442" s="92"/>
      <c r="J442" s="93">
        <f t="shared" si="13"/>
        <v>3.9400000000000546E-2</v>
      </c>
    </row>
    <row r="443" spans="2:10" x14ac:dyDescent="0.2">
      <c r="B443" s="92">
        <v>0.60138899999999995</v>
      </c>
      <c r="C443" s="92">
        <v>712.25819999999999</v>
      </c>
      <c r="D443" s="92">
        <v>97.108800000000002</v>
      </c>
      <c r="E443" s="92"/>
      <c r="F443" s="92">
        <v>0.60138899999999995</v>
      </c>
      <c r="G443" s="92">
        <v>712.31780000000003</v>
      </c>
      <c r="H443" s="92">
        <v>96.361000000000004</v>
      </c>
      <c r="I443" s="92"/>
      <c r="J443" s="93">
        <f t="shared" si="13"/>
        <v>5.9600000000045839E-2</v>
      </c>
    </row>
    <row r="444" spans="2:10" x14ac:dyDescent="0.2">
      <c r="B444" s="92">
        <v>0.60277800000000004</v>
      </c>
      <c r="C444" s="92">
        <v>712.29600000000005</v>
      </c>
      <c r="D444" s="92">
        <v>97.123599999999996</v>
      </c>
      <c r="E444" s="92"/>
      <c r="F444" s="92">
        <v>0.60277800000000004</v>
      </c>
      <c r="G444" s="92">
        <v>712.30899999999997</v>
      </c>
      <c r="H444" s="92">
        <v>96.374200000000002</v>
      </c>
      <c r="I444" s="92"/>
      <c r="J444" s="93">
        <f t="shared" si="13"/>
        <v>1.2999999999919964E-2</v>
      </c>
    </row>
    <row r="445" spans="2:10" x14ac:dyDescent="0.2">
      <c r="B445" s="92">
        <v>0.60416700000000001</v>
      </c>
      <c r="C445" s="92">
        <v>712.29570000000001</v>
      </c>
      <c r="D445" s="92">
        <v>97.130099999999999</v>
      </c>
      <c r="E445" s="92"/>
      <c r="F445" s="92">
        <v>0.60416700000000001</v>
      </c>
      <c r="G445" s="92">
        <v>712.34699999999998</v>
      </c>
      <c r="H445" s="92">
        <v>96.380799999999994</v>
      </c>
      <c r="I445" s="92"/>
      <c r="J445" s="93">
        <f t="shared" si="13"/>
        <v>5.1299999999969259E-2</v>
      </c>
    </row>
    <row r="446" spans="2:10" x14ac:dyDescent="0.2">
      <c r="B446" s="92">
        <v>0.60555599999999998</v>
      </c>
      <c r="C446" s="92">
        <v>712.29790000000003</v>
      </c>
      <c r="D446" s="92">
        <v>97.139899999999997</v>
      </c>
      <c r="E446" s="92"/>
      <c r="F446" s="92">
        <v>0.60555599999999998</v>
      </c>
      <c r="G446" s="92">
        <v>712.32280000000003</v>
      </c>
      <c r="H446" s="92">
        <v>96.392399999999995</v>
      </c>
      <c r="I446" s="92"/>
      <c r="J446" s="93">
        <f t="shared" si="13"/>
        <v>2.4900000000002365E-2</v>
      </c>
    </row>
    <row r="447" spans="2:10" x14ac:dyDescent="0.2">
      <c r="B447" s="92">
        <v>0.60694400000000004</v>
      </c>
      <c r="C447" s="92">
        <v>712.30909999999994</v>
      </c>
      <c r="D447" s="92">
        <v>97.154700000000005</v>
      </c>
      <c r="E447" s="92"/>
      <c r="F447" s="92">
        <v>0.60694400000000004</v>
      </c>
      <c r="G447" s="92">
        <v>712.32910000000004</v>
      </c>
      <c r="H447" s="92">
        <v>96.400700000000001</v>
      </c>
      <c r="I447" s="92"/>
      <c r="J447" s="93">
        <f t="shared" si="13"/>
        <v>2.0000000000095497E-2</v>
      </c>
    </row>
    <row r="448" spans="2:10" x14ac:dyDescent="0.2">
      <c r="B448" s="92">
        <v>0.60833300000000001</v>
      </c>
      <c r="C448" s="92">
        <v>712.24929999999995</v>
      </c>
      <c r="D448" s="92">
        <v>97.159599999999998</v>
      </c>
      <c r="E448" s="92"/>
      <c r="F448" s="92">
        <v>0.60833300000000001</v>
      </c>
      <c r="G448" s="92">
        <v>712.32510000000002</v>
      </c>
      <c r="H448" s="92">
        <v>96.413899999999998</v>
      </c>
      <c r="I448" s="92"/>
      <c r="J448" s="93">
        <f t="shared" si="13"/>
        <v>7.5800000000072032E-2</v>
      </c>
    </row>
    <row r="449" spans="2:10" x14ac:dyDescent="0.2">
      <c r="B449" s="92">
        <v>0.60972199999999999</v>
      </c>
      <c r="C449" s="92">
        <v>712.26859999999999</v>
      </c>
      <c r="D449" s="92">
        <v>97.171000000000006</v>
      </c>
      <c r="E449" s="92"/>
      <c r="F449" s="92">
        <v>0.60972199999999999</v>
      </c>
      <c r="G449" s="92">
        <v>712.32410000000004</v>
      </c>
      <c r="H449" s="92">
        <v>96.418899999999994</v>
      </c>
      <c r="I449" s="92"/>
      <c r="J449" s="93">
        <f t="shared" si="13"/>
        <v>5.5500000000051841E-2</v>
      </c>
    </row>
    <row r="450" spans="2:10" x14ac:dyDescent="0.2">
      <c r="B450" s="92">
        <v>0.61111099999999996</v>
      </c>
      <c r="C450" s="92">
        <v>712.2627</v>
      </c>
      <c r="D450" s="92">
        <v>97.184100000000001</v>
      </c>
      <c r="E450" s="92"/>
      <c r="F450" s="92">
        <v>0.61111099999999996</v>
      </c>
      <c r="G450" s="92">
        <v>712.3646</v>
      </c>
      <c r="H450" s="92">
        <v>96.428799999999995</v>
      </c>
      <c r="I450" s="92"/>
      <c r="J450" s="93">
        <f t="shared" si="13"/>
        <v>0.10190000000000055</v>
      </c>
    </row>
    <row r="451" spans="2:10" x14ac:dyDescent="0.2">
      <c r="B451" s="92">
        <v>0.61250000000000004</v>
      </c>
      <c r="C451" s="92">
        <v>712.31669999999997</v>
      </c>
      <c r="D451" s="92">
        <v>97.192300000000003</v>
      </c>
      <c r="E451" s="92"/>
      <c r="F451" s="92">
        <v>0.61250000000000004</v>
      </c>
      <c r="G451" s="92">
        <v>712.29600000000005</v>
      </c>
      <c r="H451" s="92">
        <v>96.443700000000007</v>
      </c>
      <c r="I451" s="92"/>
      <c r="J451" s="93">
        <f t="shared" si="13"/>
        <v>2.0699999999919783E-2</v>
      </c>
    </row>
    <row r="452" spans="2:10" x14ac:dyDescent="0.2">
      <c r="B452" s="92">
        <v>0.61388900000000002</v>
      </c>
      <c r="C452" s="92">
        <v>712.28859999999997</v>
      </c>
      <c r="D452" s="92">
        <v>97.197199999999995</v>
      </c>
      <c r="E452" s="92"/>
      <c r="F452" s="92">
        <v>0.61388900000000002</v>
      </c>
      <c r="G452" s="92">
        <v>712.327</v>
      </c>
      <c r="H452" s="92">
        <v>96.453599999999994</v>
      </c>
      <c r="I452" s="92"/>
      <c r="J452" s="93">
        <f t="shared" si="13"/>
        <v>3.8400000000024193E-2</v>
      </c>
    </row>
    <row r="453" spans="2:10" x14ac:dyDescent="0.2">
      <c r="B453" s="92">
        <v>0.61527799999999999</v>
      </c>
      <c r="C453" s="92">
        <v>712.24559999999997</v>
      </c>
      <c r="D453" s="92">
        <v>97.210300000000004</v>
      </c>
      <c r="E453" s="92"/>
      <c r="F453" s="92">
        <v>0.61527799999999999</v>
      </c>
      <c r="G453" s="92">
        <v>712.37689999999998</v>
      </c>
      <c r="H453" s="92">
        <v>96.4636</v>
      </c>
      <c r="I453" s="92"/>
      <c r="J453" s="93">
        <f t="shared" si="13"/>
        <v>0.13130000000001019</v>
      </c>
    </row>
    <row r="454" spans="2:10" x14ac:dyDescent="0.2">
      <c r="B454" s="92">
        <v>0.61666699999999997</v>
      </c>
      <c r="C454" s="92">
        <v>712.33140000000003</v>
      </c>
      <c r="D454" s="92">
        <v>97.218500000000006</v>
      </c>
      <c r="E454" s="92"/>
      <c r="F454" s="92">
        <v>0.61666699999999997</v>
      </c>
      <c r="G454" s="92">
        <v>712.31140000000005</v>
      </c>
      <c r="H454" s="92">
        <v>96.470200000000006</v>
      </c>
      <c r="I454" s="92"/>
      <c r="J454" s="93">
        <f t="shared" si="13"/>
        <v>1.999999999998181E-2</v>
      </c>
    </row>
    <row r="455" spans="2:10" x14ac:dyDescent="0.2">
      <c r="B455" s="92">
        <v>0.61805600000000005</v>
      </c>
      <c r="C455" s="92">
        <v>712.29610000000002</v>
      </c>
      <c r="D455" s="92">
        <v>97.234899999999996</v>
      </c>
      <c r="E455" s="92"/>
      <c r="F455" s="92">
        <v>0.61805600000000005</v>
      </c>
      <c r="G455" s="92">
        <v>712.3424</v>
      </c>
      <c r="H455" s="92">
        <v>96.480099999999993</v>
      </c>
      <c r="I455" s="92"/>
      <c r="J455" s="93">
        <f t="shared" si="13"/>
        <v>4.6299999999973807E-2</v>
      </c>
    </row>
    <row r="456" spans="2:10" x14ac:dyDescent="0.2">
      <c r="B456" s="92">
        <v>0.61944399999999999</v>
      </c>
      <c r="C456" s="92">
        <v>712.28399999999999</v>
      </c>
      <c r="D456" s="92">
        <v>97.239800000000002</v>
      </c>
      <c r="E456" s="92"/>
      <c r="F456" s="92">
        <v>0.61944399999999999</v>
      </c>
      <c r="G456" s="92">
        <v>712.31579999999997</v>
      </c>
      <c r="H456" s="92">
        <v>96.488399999999999</v>
      </c>
      <c r="I456" s="92"/>
      <c r="J456" s="93">
        <f t="shared" si="13"/>
        <v>3.1799999999975626E-2</v>
      </c>
    </row>
    <row r="457" spans="2:10" x14ac:dyDescent="0.2">
      <c r="B457" s="92">
        <v>0.62083299999999997</v>
      </c>
      <c r="C457" s="92">
        <v>712.29020000000003</v>
      </c>
      <c r="D457" s="92">
        <v>97.248000000000005</v>
      </c>
      <c r="E457" s="92"/>
      <c r="F457" s="92">
        <v>0.62083299999999997</v>
      </c>
      <c r="G457" s="92">
        <v>712.31989999999996</v>
      </c>
      <c r="H457" s="92">
        <v>96.5</v>
      </c>
      <c r="I457" s="92"/>
      <c r="J457" s="93">
        <f t="shared" si="13"/>
        <v>2.9699999999934334E-2</v>
      </c>
    </row>
    <row r="458" spans="2:10" x14ac:dyDescent="0.2">
      <c r="B458" s="92">
        <v>0.62222200000000005</v>
      </c>
      <c r="C458" s="92">
        <v>712.25250000000005</v>
      </c>
      <c r="D458" s="92">
        <v>97.261099999999999</v>
      </c>
      <c r="E458" s="92"/>
      <c r="F458" s="92">
        <v>0.62222200000000005</v>
      </c>
      <c r="G458" s="92">
        <v>712.33929999999998</v>
      </c>
      <c r="H458" s="92">
        <v>96.513199999999998</v>
      </c>
      <c r="I458" s="92"/>
      <c r="J458" s="93">
        <f t="shared" si="13"/>
        <v>8.6799999999925603E-2</v>
      </c>
    </row>
    <row r="459" spans="2:10" x14ac:dyDescent="0.2">
      <c r="B459" s="92">
        <v>0.62361100000000003</v>
      </c>
      <c r="C459" s="92">
        <v>712.29870000000005</v>
      </c>
      <c r="D459" s="92">
        <v>97.266000000000005</v>
      </c>
      <c r="E459" s="92"/>
      <c r="F459" s="92">
        <v>0.62361100000000003</v>
      </c>
      <c r="G459" s="92">
        <v>712.33590000000004</v>
      </c>
      <c r="H459" s="92">
        <v>96.514799999999994</v>
      </c>
      <c r="I459" s="92"/>
      <c r="J459" s="93">
        <f t="shared" ref="J459:J522" si="14">+ABS(G459-C459)</f>
        <v>3.7199999999984357E-2</v>
      </c>
    </row>
    <row r="460" spans="2:10" x14ac:dyDescent="0.2">
      <c r="B460" s="92">
        <v>0.625</v>
      </c>
      <c r="C460" s="92">
        <v>712.27059999999994</v>
      </c>
      <c r="D460" s="92">
        <v>97.270899999999997</v>
      </c>
      <c r="E460" s="92"/>
      <c r="F460" s="92">
        <v>0.625</v>
      </c>
      <c r="G460" s="92">
        <v>712.31299999999999</v>
      </c>
      <c r="H460" s="92">
        <v>96.528099999999995</v>
      </c>
      <c r="I460" s="92"/>
      <c r="J460" s="93">
        <f t="shared" si="14"/>
        <v>4.2400000000043292E-2</v>
      </c>
    </row>
    <row r="461" spans="2:10" x14ac:dyDescent="0.2">
      <c r="B461" s="92">
        <v>0.62638899999999997</v>
      </c>
      <c r="C461" s="92">
        <v>712.23699999999997</v>
      </c>
      <c r="D461" s="92">
        <v>97.282300000000006</v>
      </c>
      <c r="E461" s="92"/>
      <c r="F461" s="92">
        <v>0.62638899999999997</v>
      </c>
      <c r="G461" s="92">
        <v>712.32870000000003</v>
      </c>
      <c r="H461" s="92">
        <v>96.5364</v>
      </c>
      <c r="I461" s="92"/>
      <c r="J461" s="93">
        <f t="shared" si="14"/>
        <v>9.1700000000059845E-2</v>
      </c>
    </row>
    <row r="462" spans="2:10" x14ac:dyDescent="0.2">
      <c r="B462" s="92">
        <v>0.62777799999999995</v>
      </c>
      <c r="C462" s="92">
        <v>712.2894</v>
      </c>
      <c r="D462" s="92">
        <v>97.295400000000001</v>
      </c>
      <c r="E462" s="92"/>
      <c r="F462" s="92">
        <v>0.62777799999999995</v>
      </c>
      <c r="G462" s="92">
        <v>712.32809999999995</v>
      </c>
      <c r="H462" s="92">
        <v>96.547899999999998</v>
      </c>
      <c r="I462" s="92"/>
      <c r="J462" s="93">
        <f t="shared" si="14"/>
        <v>3.8699999999948886E-2</v>
      </c>
    </row>
    <row r="463" spans="2:10" x14ac:dyDescent="0.2">
      <c r="B463" s="92">
        <v>0.62916700000000003</v>
      </c>
      <c r="C463" s="92">
        <v>712.2663</v>
      </c>
      <c r="D463" s="92">
        <v>97.306899999999999</v>
      </c>
      <c r="E463" s="92"/>
      <c r="F463" s="92">
        <v>0.62916700000000003</v>
      </c>
      <c r="G463" s="92">
        <v>712.36379999999997</v>
      </c>
      <c r="H463" s="92">
        <v>96.557900000000004</v>
      </c>
      <c r="I463" s="92"/>
      <c r="J463" s="93">
        <f t="shared" si="14"/>
        <v>9.7499999999968168E-2</v>
      </c>
    </row>
    <row r="464" spans="2:10" x14ac:dyDescent="0.2">
      <c r="B464" s="92">
        <v>0.63055600000000001</v>
      </c>
      <c r="C464" s="92">
        <v>712.27409999999998</v>
      </c>
      <c r="D464" s="92">
        <v>97.310199999999995</v>
      </c>
      <c r="E464" s="92"/>
      <c r="F464" s="92">
        <v>0.63055600000000001</v>
      </c>
      <c r="G464" s="92">
        <v>712.31809999999996</v>
      </c>
      <c r="H464" s="92">
        <v>96.5595</v>
      </c>
      <c r="I464" s="92"/>
      <c r="J464" s="93">
        <f t="shared" si="14"/>
        <v>4.399999999998272E-2</v>
      </c>
    </row>
    <row r="465" spans="2:10" x14ac:dyDescent="0.2">
      <c r="B465" s="92">
        <v>0.63194399999999995</v>
      </c>
      <c r="C465" s="92">
        <v>712.28290000000004</v>
      </c>
      <c r="D465" s="92">
        <v>97.321600000000004</v>
      </c>
      <c r="E465" s="92"/>
      <c r="F465" s="92">
        <v>0.63194399999999995</v>
      </c>
      <c r="G465" s="92">
        <v>712.34320000000002</v>
      </c>
      <c r="H465" s="92">
        <v>96.567800000000005</v>
      </c>
      <c r="I465" s="92"/>
      <c r="J465" s="93">
        <f t="shared" si="14"/>
        <v>6.0299999999983811E-2</v>
      </c>
    </row>
    <row r="466" spans="2:10" x14ac:dyDescent="0.2">
      <c r="B466" s="92">
        <v>0.63333300000000003</v>
      </c>
      <c r="C466" s="92">
        <v>712.30380000000002</v>
      </c>
      <c r="D466" s="92">
        <v>97.328199999999995</v>
      </c>
      <c r="E466" s="92"/>
      <c r="F466" s="92">
        <v>0.63333300000000003</v>
      </c>
      <c r="G466" s="92">
        <v>712.28610000000003</v>
      </c>
      <c r="H466" s="92">
        <v>96.579400000000007</v>
      </c>
      <c r="I466" s="92"/>
      <c r="J466" s="93">
        <f t="shared" si="14"/>
        <v>1.7699999999990723E-2</v>
      </c>
    </row>
    <row r="467" spans="2:10" x14ac:dyDescent="0.2">
      <c r="B467" s="92">
        <v>0.63472200000000001</v>
      </c>
      <c r="C467" s="92">
        <v>712.25289999999995</v>
      </c>
      <c r="D467" s="92">
        <v>97.337999999999994</v>
      </c>
      <c r="E467" s="92"/>
      <c r="F467" s="92">
        <v>0.63472200000000001</v>
      </c>
      <c r="G467" s="92">
        <v>712.31560000000002</v>
      </c>
      <c r="H467" s="92">
        <v>96.581000000000003</v>
      </c>
      <c r="I467" s="92"/>
      <c r="J467" s="93">
        <f t="shared" si="14"/>
        <v>6.2700000000063483E-2</v>
      </c>
    </row>
    <row r="468" spans="2:10" x14ac:dyDescent="0.2">
      <c r="B468" s="92">
        <v>0.63611099999999998</v>
      </c>
      <c r="C468" s="92">
        <v>712.29909999999995</v>
      </c>
      <c r="D468" s="92">
        <v>97.3429</v>
      </c>
      <c r="E468" s="92"/>
      <c r="F468" s="92">
        <v>0.63611099999999998</v>
      </c>
      <c r="G468" s="92">
        <v>712.30769999999995</v>
      </c>
      <c r="H468" s="92">
        <v>96.589299999999994</v>
      </c>
      <c r="I468" s="92"/>
      <c r="J468" s="93">
        <f t="shared" si="14"/>
        <v>8.6000000000012733E-3</v>
      </c>
    </row>
    <row r="469" spans="2:10" x14ac:dyDescent="0.2">
      <c r="B469" s="92">
        <v>0.63749999999999996</v>
      </c>
      <c r="C469" s="92">
        <v>712.30129999999997</v>
      </c>
      <c r="D469" s="92">
        <v>97.352699999999999</v>
      </c>
      <c r="E469" s="92"/>
      <c r="F469" s="92">
        <v>0.63749999999999996</v>
      </c>
      <c r="G469" s="92">
        <v>712.29679999999996</v>
      </c>
      <c r="H469" s="92">
        <v>96.605800000000002</v>
      </c>
      <c r="I469" s="92"/>
      <c r="J469" s="93">
        <f t="shared" si="14"/>
        <v>4.500000000007276E-3</v>
      </c>
    </row>
    <row r="470" spans="2:10" x14ac:dyDescent="0.2">
      <c r="B470" s="92">
        <v>0.63888900000000004</v>
      </c>
      <c r="C470" s="92">
        <v>712.27819999999997</v>
      </c>
      <c r="D470" s="92">
        <v>97.364199999999997</v>
      </c>
      <c r="E470" s="92"/>
      <c r="F470" s="92">
        <v>0.63888900000000004</v>
      </c>
      <c r="G470" s="92">
        <v>712.3075</v>
      </c>
      <c r="H470" s="92">
        <v>96.607500000000002</v>
      </c>
      <c r="I470" s="92"/>
      <c r="J470" s="93">
        <f t="shared" si="14"/>
        <v>2.9300000000034743E-2</v>
      </c>
    </row>
    <row r="471" spans="2:10" x14ac:dyDescent="0.2">
      <c r="B471" s="92">
        <v>0.64027800000000001</v>
      </c>
      <c r="C471" s="92">
        <v>712.29790000000003</v>
      </c>
      <c r="D471" s="92">
        <v>97.369100000000003</v>
      </c>
      <c r="E471" s="92"/>
      <c r="F471" s="92">
        <v>0.64027800000000001</v>
      </c>
      <c r="G471" s="92">
        <v>712.32100000000003</v>
      </c>
      <c r="H471" s="92">
        <v>96.619100000000003</v>
      </c>
      <c r="I471" s="92"/>
      <c r="J471" s="93">
        <f t="shared" si="14"/>
        <v>2.3099999999999454E-2</v>
      </c>
    </row>
    <row r="472" spans="2:10" x14ac:dyDescent="0.2">
      <c r="B472" s="92">
        <v>0.64166699999999999</v>
      </c>
      <c r="C472" s="92">
        <v>712.30129999999997</v>
      </c>
      <c r="D472" s="92">
        <v>97.380600000000001</v>
      </c>
      <c r="E472" s="92"/>
      <c r="F472" s="92">
        <v>0.64166699999999999</v>
      </c>
      <c r="G472" s="92">
        <v>712.33759999999995</v>
      </c>
      <c r="H472" s="92">
        <v>96.622399999999999</v>
      </c>
      <c r="I472" s="92"/>
      <c r="J472" s="93">
        <f t="shared" si="14"/>
        <v>3.6299999999982901E-2</v>
      </c>
    </row>
    <row r="473" spans="2:10" x14ac:dyDescent="0.2">
      <c r="B473" s="92">
        <v>0.64305599999999996</v>
      </c>
      <c r="C473" s="92">
        <v>712.28859999999997</v>
      </c>
      <c r="D473" s="92">
        <v>97.398600000000002</v>
      </c>
      <c r="E473" s="92"/>
      <c r="F473" s="92">
        <v>0.64305599999999996</v>
      </c>
      <c r="G473" s="92">
        <v>712.30179999999996</v>
      </c>
      <c r="H473" s="92">
        <v>96.637299999999996</v>
      </c>
      <c r="I473" s="92"/>
      <c r="J473" s="93">
        <f t="shared" si="14"/>
        <v>1.3199999999983447E-2</v>
      </c>
    </row>
    <row r="474" spans="2:10" x14ac:dyDescent="0.2">
      <c r="B474" s="92">
        <v>0.64444400000000002</v>
      </c>
      <c r="C474" s="92">
        <v>712.29110000000003</v>
      </c>
      <c r="D474" s="92">
        <v>97.401899999999998</v>
      </c>
      <c r="E474" s="92"/>
      <c r="F474" s="92">
        <v>0.64444400000000002</v>
      </c>
      <c r="G474" s="92">
        <v>712.31529999999998</v>
      </c>
      <c r="H474" s="92">
        <v>96.648899999999998</v>
      </c>
      <c r="I474" s="92"/>
      <c r="J474" s="93">
        <f t="shared" si="14"/>
        <v>2.4199999999950705E-2</v>
      </c>
    </row>
    <row r="475" spans="2:10" x14ac:dyDescent="0.2">
      <c r="B475" s="92">
        <v>0.64583299999999999</v>
      </c>
      <c r="C475" s="92">
        <v>712.32820000000004</v>
      </c>
      <c r="D475" s="92">
        <v>97.401899999999998</v>
      </c>
      <c r="E475" s="92"/>
      <c r="F475" s="92">
        <v>0.64583299999999999</v>
      </c>
      <c r="G475" s="92">
        <v>712.36109999999996</v>
      </c>
      <c r="H475" s="92">
        <v>96.647199999999998</v>
      </c>
      <c r="I475" s="92"/>
      <c r="J475" s="93">
        <f t="shared" si="14"/>
        <v>3.2899999999926877E-2</v>
      </c>
    </row>
    <row r="476" spans="2:10" x14ac:dyDescent="0.2">
      <c r="B476" s="92">
        <v>0.64722199999999996</v>
      </c>
      <c r="C476" s="92">
        <v>712.27710000000002</v>
      </c>
      <c r="D476" s="92">
        <v>97.418199999999999</v>
      </c>
      <c r="E476" s="92"/>
      <c r="F476" s="92">
        <v>0.64722199999999996</v>
      </c>
      <c r="G476" s="92">
        <v>712.34389999999996</v>
      </c>
      <c r="H476" s="92">
        <v>96.655500000000004</v>
      </c>
      <c r="I476" s="92"/>
      <c r="J476" s="93">
        <f t="shared" si="14"/>
        <v>6.6799999999943793E-2</v>
      </c>
    </row>
    <row r="477" spans="2:10" x14ac:dyDescent="0.2">
      <c r="B477" s="92">
        <v>0.64861100000000005</v>
      </c>
      <c r="C477" s="92">
        <v>712.31259999999997</v>
      </c>
      <c r="D477" s="92">
        <v>97.423100000000005</v>
      </c>
      <c r="E477" s="92"/>
      <c r="F477" s="92">
        <v>0.64861100000000005</v>
      </c>
      <c r="G477" s="92">
        <v>712.34450000000004</v>
      </c>
      <c r="H477" s="92">
        <v>96.668700000000001</v>
      </c>
      <c r="I477" s="92"/>
      <c r="J477" s="93">
        <f t="shared" si="14"/>
        <v>3.190000000006421E-2</v>
      </c>
    </row>
    <row r="478" spans="2:10" x14ac:dyDescent="0.2">
      <c r="B478" s="92">
        <v>0.65</v>
      </c>
      <c r="C478" s="92">
        <v>712.32950000000005</v>
      </c>
      <c r="D478" s="92">
        <v>97.431299999999993</v>
      </c>
      <c r="E478" s="92"/>
      <c r="F478" s="92">
        <v>0.65</v>
      </c>
      <c r="G478" s="92">
        <v>712.28020000000004</v>
      </c>
      <c r="H478" s="92">
        <v>96.677000000000007</v>
      </c>
      <c r="I478" s="92"/>
      <c r="J478" s="93">
        <f t="shared" si="14"/>
        <v>4.9300000000016553E-2</v>
      </c>
    </row>
    <row r="479" spans="2:10" x14ac:dyDescent="0.2">
      <c r="B479" s="92">
        <v>0.651389</v>
      </c>
      <c r="C479" s="92">
        <v>712.27059999999994</v>
      </c>
      <c r="D479" s="92">
        <v>97.444400000000002</v>
      </c>
      <c r="E479" s="92"/>
      <c r="F479" s="92">
        <v>0.651389</v>
      </c>
      <c r="G479" s="92">
        <v>712.32730000000004</v>
      </c>
      <c r="H479" s="92">
        <v>96.677000000000007</v>
      </c>
      <c r="I479" s="92"/>
      <c r="J479" s="93">
        <f t="shared" si="14"/>
        <v>5.6700000000091677E-2</v>
      </c>
    </row>
    <row r="480" spans="2:10" x14ac:dyDescent="0.2">
      <c r="B480" s="92">
        <v>0.65277799999999997</v>
      </c>
      <c r="C480" s="92">
        <v>712.28399999999999</v>
      </c>
      <c r="D480" s="92">
        <v>97.441199999999995</v>
      </c>
      <c r="E480" s="92"/>
      <c r="F480" s="92">
        <v>0.65277799999999997</v>
      </c>
      <c r="G480" s="92">
        <v>712.29589999999996</v>
      </c>
      <c r="H480" s="92">
        <v>96.685299999999998</v>
      </c>
      <c r="I480" s="92"/>
      <c r="J480" s="93">
        <f t="shared" si="14"/>
        <v>1.1899999999968713E-2</v>
      </c>
    </row>
    <row r="481" spans="2:10" x14ac:dyDescent="0.2">
      <c r="B481" s="92">
        <v>0.65416700000000005</v>
      </c>
      <c r="C481" s="92">
        <v>712.2568</v>
      </c>
      <c r="D481" s="92">
        <v>97.454300000000003</v>
      </c>
      <c r="E481" s="92"/>
      <c r="F481" s="92">
        <v>0.65416700000000005</v>
      </c>
      <c r="G481" s="92">
        <v>712.31629999999996</v>
      </c>
      <c r="H481" s="92">
        <v>96.6935</v>
      </c>
      <c r="I481" s="92"/>
      <c r="J481" s="93">
        <f t="shared" si="14"/>
        <v>5.9499999999957254E-2</v>
      </c>
    </row>
    <row r="482" spans="2:10" x14ac:dyDescent="0.2">
      <c r="B482" s="92">
        <v>0.65555600000000003</v>
      </c>
      <c r="C482" s="92">
        <v>712.28959999999995</v>
      </c>
      <c r="D482" s="92">
        <v>97.462400000000002</v>
      </c>
      <c r="E482" s="92"/>
      <c r="F482" s="92">
        <v>0.65555600000000003</v>
      </c>
      <c r="G482" s="92">
        <v>712.31100000000004</v>
      </c>
      <c r="H482" s="92">
        <v>96.705100000000002</v>
      </c>
      <c r="I482" s="92"/>
      <c r="J482" s="93">
        <f t="shared" si="14"/>
        <v>2.1400000000085129E-2</v>
      </c>
    </row>
    <row r="483" spans="2:10" x14ac:dyDescent="0.2">
      <c r="B483" s="92">
        <v>0.65694399999999997</v>
      </c>
      <c r="C483" s="92">
        <v>712.27589999999998</v>
      </c>
      <c r="D483" s="92">
        <v>97.472300000000004</v>
      </c>
      <c r="E483" s="92"/>
      <c r="F483" s="92">
        <v>0.65694399999999997</v>
      </c>
      <c r="G483" s="92">
        <v>712.32069999999999</v>
      </c>
      <c r="H483" s="92">
        <v>96.711699999999993</v>
      </c>
      <c r="I483" s="92"/>
      <c r="J483" s="93">
        <f t="shared" si="14"/>
        <v>4.4800000000009277E-2</v>
      </c>
    </row>
    <row r="484" spans="2:10" x14ac:dyDescent="0.2">
      <c r="B484" s="92">
        <v>0.65833299999999995</v>
      </c>
      <c r="C484" s="92">
        <v>712.35109999999997</v>
      </c>
      <c r="D484" s="92">
        <v>97.480400000000003</v>
      </c>
      <c r="E484" s="92"/>
      <c r="F484" s="92">
        <v>0.65833299999999995</v>
      </c>
      <c r="G484" s="92">
        <v>712.31889999999999</v>
      </c>
      <c r="H484" s="92">
        <v>96.721699999999998</v>
      </c>
      <c r="I484" s="92"/>
      <c r="J484" s="93">
        <f t="shared" si="14"/>
        <v>3.2199999999988904E-2</v>
      </c>
    </row>
    <row r="485" spans="2:10" x14ac:dyDescent="0.2">
      <c r="B485" s="92">
        <v>0.65972200000000003</v>
      </c>
      <c r="C485" s="92">
        <v>712.24220000000003</v>
      </c>
      <c r="D485" s="92">
        <v>97.483699999999999</v>
      </c>
      <c r="E485" s="92"/>
      <c r="F485" s="92">
        <v>0.65972200000000003</v>
      </c>
      <c r="G485" s="92">
        <v>712.32860000000005</v>
      </c>
      <c r="H485" s="92">
        <v>96.728300000000004</v>
      </c>
      <c r="I485" s="92"/>
      <c r="J485" s="93">
        <f t="shared" si="14"/>
        <v>8.6400000000026012E-2</v>
      </c>
    </row>
    <row r="486" spans="2:10" x14ac:dyDescent="0.2">
      <c r="B486" s="92">
        <v>0.661111</v>
      </c>
      <c r="C486" s="92">
        <v>712.28679999999997</v>
      </c>
      <c r="D486" s="92">
        <v>97.493499999999997</v>
      </c>
      <c r="E486" s="92"/>
      <c r="F486" s="92">
        <v>0.661111</v>
      </c>
      <c r="G486" s="92">
        <v>712.30319999999995</v>
      </c>
      <c r="H486" s="92">
        <v>96.738200000000006</v>
      </c>
      <c r="I486" s="92"/>
      <c r="J486" s="93">
        <f t="shared" si="14"/>
        <v>1.6399999999975989E-2</v>
      </c>
    </row>
    <row r="487" spans="2:10" x14ac:dyDescent="0.2">
      <c r="B487" s="92">
        <v>0.66249999999999998</v>
      </c>
      <c r="C487" s="92">
        <v>712.24289999999996</v>
      </c>
      <c r="D487" s="92">
        <v>97.498500000000007</v>
      </c>
      <c r="E487" s="92"/>
      <c r="F487" s="92">
        <v>0.66249999999999998</v>
      </c>
      <c r="G487" s="92">
        <v>712.29380000000003</v>
      </c>
      <c r="H487" s="92">
        <v>96.738200000000006</v>
      </c>
      <c r="I487" s="92"/>
      <c r="J487" s="93">
        <f t="shared" si="14"/>
        <v>5.0900000000069667E-2</v>
      </c>
    </row>
    <row r="488" spans="2:10" x14ac:dyDescent="0.2">
      <c r="B488" s="92">
        <v>0.66388899999999995</v>
      </c>
      <c r="C488" s="92">
        <v>712.30870000000004</v>
      </c>
      <c r="D488" s="92">
        <v>97.508300000000006</v>
      </c>
      <c r="E488" s="92"/>
      <c r="F488" s="92">
        <v>0.66388899999999995</v>
      </c>
      <c r="G488" s="92">
        <v>712.31200000000001</v>
      </c>
      <c r="H488" s="92">
        <v>96.749799999999993</v>
      </c>
      <c r="I488" s="92"/>
      <c r="J488" s="93">
        <f t="shared" si="14"/>
        <v>3.2999999999674401E-3</v>
      </c>
    </row>
    <row r="489" spans="2:10" x14ac:dyDescent="0.2">
      <c r="B489" s="92">
        <v>0.66527800000000004</v>
      </c>
      <c r="C489" s="92">
        <v>712.32929999999999</v>
      </c>
      <c r="D489" s="92">
        <v>97.5214</v>
      </c>
      <c r="E489" s="92"/>
      <c r="F489" s="92">
        <v>0.66527800000000004</v>
      </c>
      <c r="G489" s="92">
        <v>712.29480000000001</v>
      </c>
      <c r="H489" s="92">
        <v>96.757999999999996</v>
      </c>
      <c r="I489" s="92"/>
      <c r="J489" s="93">
        <f t="shared" si="14"/>
        <v>3.4499999999979991E-2</v>
      </c>
    </row>
    <row r="490" spans="2:10" x14ac:dyDescent="0.2">
      <c r="B490" s="92">
        <v>0.66666700000000001</v>
      </c>
      <c r="C490" s="92">
        <v>712.29219999999998</v>
      </c>
      <c r="D490" s="92">
        <v>97.5214</v>
      </c>
      <c r="E490" s="92"/>
      <c r="F490" s="92">
        <v>0.66666700000000001</v>
      </c>
      <c r="G490" s="92">
        <v>712.30830000000003</v>
      </c>
      <c r="H490" s="92">
        <v>96.769599999999997</v>
      </c>
      <c r="I490" s="92"/>
      <c r="J490" s="93">
        <f t="shared" si="14"/>
        <v>1.6100000000051296E-2</v>
      </c>
    </row>
    <row r="491" spans="2:10" x14ac:dyDescent="0.2">
      <c r="B491" s="92">
        <v>0.66805599999999998</v>
      </c>
      <c r="C491" s="92">
        <v>712.30529999999999</v>
      </c>
      <c r="D491" s="92">
        <v>97.524699999999996</v>
      </c>
      <c r="E491" s="92"/>
      <c r="F491" s="92">
        <v>0.66805599999999998</v>
      </c>
      <c r="G491" s="92">
        <v>712.34029999999996</v>
      </c>
      <c r="H491" s="92">
        <v>96.774600000000007</v>
      </c>
      <c r="I491" s="92"/>
      <c r="J491" s="93">
        <f t="shared" si="14"/>
        <v>3.4999999999968168E-2</v>
      </c>
    </row>
    <row r="492" spans="2:10" x14ac:dyDescent="0.2">
      <c r="B492" s="92">
        <v>0.66944400000000004</v>
      </c>
      <c r="C492" s="92">
        <v>712.26130000000001</v>
      </c>
      <c r="D492" s="92">
        <v>97.529600000000002</v>
      </c>
      <c r="E492" s="92"/>
      <c r="F492" s="92">
        <v>0.66944400000000004</v>
      </c>
      <c r="G492" s="92">
        <v>712.31579999999997</v>
      </c>
      <c r="H492" s="92">
        <v>96.779600000000002</v>
      </c>
      <c r="I492" s="92"/>
      <c r="J492" s="93">
        <f t="shared" si="14"/>
        <v>5.4499999999961801E-2</v>
      </c>
    </row>
    <row r="493" spans="2:10" x14ac:dyDescent="0.2">
      <c r="B493" s="92">
        <v>0.67083300000000001</v>
      </c>
      <c r="C493" s="92">
        <v>712.26599999999996</v>
      </c>
      <c r="D493" s="92">
        <v>97.542699999999996</v>
      </c>
      <c r="E493" s="92"/>
      <c r="F493" s="92">
        <v>0.67083300000000001</v>
      </c>
      <c r="G493" s="92">
        <v>712.34220000000005</v>
      </c>
      <c r="H493" s="92">
        <v>96.789500000000004</v>
      </c>
      <c r="I493" s="92"/>
      <c r="J493" s="93">
        <f t="shared" si="14"/>
        <v>7.6200000000085311E-2</v>
      </c>
    </row>
    <row r="494" spans="2:10" x14ac:dyDescent="0.2">
      <c r="B494" s="92">
        <v>0.67222199999999999</v>
      </c>
      <c r="C494" s="92">
        <v>712.28409999999997</v>
      </c>
      <c r="D494" s="92">
        <v>97.552499999999995</v>
      </c>
      <c r="E494" s="92"/>
      <c r="F494" s="92">
        <v>0.67222199999999999</v>
      </c>
      <c r="G494" s="92">
        <v>712.29920000000004</v>
      </c>
      <c r="H494" s="92">
        <v>96.801100000000005</v>
      </c>
      <c r="I494" s="92"/>
      <c r="J494" s="93">
        <f t="shared" si="14"/>
        <v>1.5100000000074942E-2</v>
      </c>
    </row>
    <row r="495" spans="2:10" x14ac:dyDescent="0.2">
      <c r="B495" s="92">
        <v>0.67361099999999996</v>
      </c>
      <c r="C495" s="92">
        <v>712.29750000000001</v>
      </c>
      <c r="D495" s="92">
        <v>97.549199999999999</v>
      </c>
      <c r="E495" s="92"/>
      <c r="F495" s="92">
        <v>0.67361099999999996</v>
      </c>
      <c r="G495" s="92">
        <v>712.32050000000004</v>
      </c>
      <c r="H495" s="92">
        <v>96.804400000000001</v>
      </c>
      <c r="I495" s="92"/>
      <c r="J495" s="93">
        <f t="shared" si="14"/>
        <v>2.3000000000024556E-2</v>
      </c>
    </row>
    <row r="496" spans="2:10" x14ac:dyDescent="0.2">
      <c r="B496" s="92">
        <v>0.67500000000000004</v>
      </c>
      <c r="C496" s="92">
        <v>712.2704</v>
      </c>
      <c r="D496" s="92">
        <v>97.562299999999993</v>
      </c>
      <c r="E496" s="92"/>
      <c r="F496" s="92">
        <v>0.67500000000000004</v>
      </c>
      <c r="G496" s="92">
        <v>712.31359999999995</v>
      </c>
      <c r="H496" s="92">
        <v>96.807699999999997</v>
      </c>
      <c r="I496" s="92"/>
      <c r="J496" s="93">
        <f t="shared" si="14"/>
        <v>4.3199999999956162E-2</v>
      </c>
    </row>
    <row r="497" spans="2:10" x14ac:dyDescent="0.2">
      <c r="B497" s="92">
        <v>0.67638900000000002</v>
      </c>
      <c r="C497" s="92">
        <v>712.26850000000002</v>
      </c>
      <c r="D497" s="92">
        <v>97.573800000000006</v>
      </c>
      <c r="E497" s="92"/>
      <c r="F497" s="92">
        <v>0.67638900000000002</v>
      </c>
      <c r="G497" s="92">
        <v>712.33910000000003</v>
      </c>
      <c r="H497" s="92">
        <v>96.822599999999994</v>
      </c>
      <c r="I497" s="92"/>
      <c r="J497" s="93">
        <f t="shared" si="14"/>
        <v>7.0600000000013097E-2</v>
      </c>
    </row>
    <row r="498" spans="2:10" x14ac:dyDescent="0.2">
      <c r="B498" s="92">
        <v>0.67777799999999999</v>
      </c>
      <c r="C498" s="92">
        <v>712.30809999999997</v>
      </c>
      <c r="D498" s="92">
        <v>97.576999999999998</v>
      </c>
      <c r="E498" s="92"/>
      <c r="F498" s="92">
        <v>0.67777799999999999</v>
      </c>
      <c r="G498" s="92">
        <v>712.34659999999997</v>
      </c>
      <c r="H498" s="92">
        <v>96.832499999999996</v>
      </c>
      <c r="I498" s="92"/>
      <c r="J498" s="93">
        <f t="shared" si="14"/>
        <v>3.8499999999999091E-2</v>
      </c>
    </row>
    <row r="499" spans="2:10" x14ac:dyDescent="0.2">
      <c r="B499" s="92">
        <v>0.67916699999999997</v>
      </c>
      <c r="C499" s="92">
        <v>712.27070000000003</v>
      </c>
      <c r="D499" s="92">
        <v>97.583600000000004</v>
      </c>
      <c r="E499" s="92"/>
      <c r="F499" s="92">
        <v>0.67916699999999997</v>
      </c>
      <c r="G499" s="92">
        <v>712.31489999999997</v>
      </c>
      <c r="H499" s="92">
        <v>96.834199999999996</v>
      </c>
      <c r="I499" s="92"/>
      <c r="J499" s="93">
        <f t="shared" si="14"/>
        <v>4.4199999999932515E-2</v>
      </c>
    </row>
    <row r="500" spans="2:10" x14ac:dyDescent="0.2">
      <c r="B500" s="92">
        <v>0.68055600000000005</v>
      </c>
      <c r="C500" s="92">
        <v>712.28070000000002</v>
      </c>
      <c r="D500" s="92">
        <v>97.596699999999998</v>
      </c>
      <c r="E500" s="92"/>
      <c r="F500" s="92">
        <v>0.68055600000000005</v>
      </c>
      <c r="G500" s="92">
        <v>712.33190000000002</v>
      </c>
      <c r="H500" s="92">
        <v>96.844099999999997</v>
      </c>
      <c r="I500" s="92"/>
      <c r="J500" s="93">
        <f t="shared" si="14"/>
        <v>5.1199999999994361E-2</v>
      </c>
    </row>
    <row r="501" spans="2:10" x14ac:dyDescent="0.2">
      <c r="B501" s="92">
        <v>0.68194399999999999</v>
      </c>
      <c r="C501" s="92">
        <v>712.31500000000005</v>
      </c>
      <c r="D501" s="92">
        <v>97.6</v>
      </c>
      <c r="E501" s="92"/>
      <c r="F501" s="92">
        <v>0.68194399999999999</v>
      </c>
      <c r="G501" s="92">
        <v>712.33939999999996</v>
      </c>
      <c r="H501" s="92">
        <v>96.853999999999999</v>
      </c>
      <c r="I501" s="92"/>
      <c r="J501" s="93">
        <f t="shared" si="14"/>
        <v>2.4399999999900501E-2</v>
      </c>
    </row>
    <row r="502" spans="2:10" x14ac:dyDescent="0.2">
      <c r="B502" s="92">
        <v>0.68333299999999997</v>
      </c>
      <c r="C502" s="92">
        <v>712.2645</v>
      </c>
      <c r="D502" s="92">
        <v>97.603200000000001</v>
      </c>
      <c r="E502" s="92"/>
      <c r="F502" s="92">
        <v>0.68333299999999997</v>
      </c>
      <c r="G502" s="92">
        <v>712.31619999999998</v>
      </c>
      <c r="H502" s="92">
        <v>96.860600000000005</v>
      </c>
      <c r="I502" s="92"/>
      <c r="J502" s="93">
        <f t="shared" si="14"/>
        <v>5.1699999999982538E-2</v>
      </c>
    </row>
    <row r="503" spans="2:10" x14ac:dyDescent="0.2">
      <c r="B503" s="92">
        <v>0.68472200000000005</v>
      </c>
      <c r="C503" s="92">
        <v>712.29480000000001</v>
      </c>
      <c r="D503" s="92">
        <v>97.608199999999997</v>
      </c>
      <c r="E503" s="92"/>
      <c r="F503" s="92">
        <v>0.68472200000000005</v>
      </c>
      <c r="G503" s="92">
        <v>712.30799999999999</v>
      </c>
      <c r="H503" s="92">
        <v>96.862300000000005</v>
      </c>
      <c r="I503" s="92"/>
      <c r="J503" s="93">
        <f t="shared" si="14"/>
        <v>1.3199999999983447E-2</v>
      </c>
    </row>
    <row r="504" spans="2:10" x14ac:dyDescent="0.2">
      <c r="B504" s="92">
        <v>0.68611100000000003</v>
      </c>
      <c r="C504" s="92">
        <v>712.2586</v>
      </c>
      <c r="D504" s="92">
        <v>97.616299999999995</v>
      </c>
      <c r="E504" s="92"/>
      <c r="F504" s="92">
        <v>0.68611100000000003</v>
      </c>
      <c r="G504" s="92">
        <v>712.25530000000003</v>
      </c>
      <c r="H504" s="92">
        <v>96.867199999999997</v>
      </c>
      <c r="I504" s="92"/>
      <c r="J504" s="93">
        <f t="shared" si="14"/>
        <v>3.2999999999674401E-3</v>
      </c>
    </row>
    <row r="505" spans="2:10" x14ac:dyDescent="0.2">
      <c r="B505" s="92">
        <v>0.6875</v>
      </c>
      <c r="C505" s="92">
        <v>712.28790000000004</v>
      </c>
      <c r="D505" s="92">
        <v>97.613100000000003</v>
      </c>
      <c r="E505" s="92"/>
      <c r="F505" s="92">
        <v>0.6875</v>
      </c>
      <c r="G505" s="92">
        <v>712.33249999999998</v>
      </c>
      <c r="H505" s="92">
        <v>96.882099999999994</v>
      </c>
      <c r="I505" s="92"/>
      <c r="J505" s="93">
        <f t="shared" si="14"/>
        <v>4.4599999999945794E-2</v>
      </c>
    </row>
    <row r="506" spans="2:10" x14ac:dyDescent="0.2">
      <c r="B506" s="92">
        <v>0.68888899999999997</v>
      </c>
      <c r="C506" s="92">
        <v>712.29790000000003</v>
      </c>
      <c r="D506" s="92">
        <v>97.626199999999997</v>
      </c>
      <c r="E506" s="92"/>
      <c r="F506" s="92">
        <v>0.68888899999999997</v>
      </c>
      <c r="G506" s="92">
        <v>712.30709999999999</v>
      </c>
      <c r="H506" s="92">
        <v>96.892099999999999</v>
      </c>
      <c r="I506" s="92"/>
      <c r="J506" s="93">
        <f t="shared" si="14"/>
        <v>9.1999999999643478E-3</v>
      </c>
    </row>
    <row r="507" spans="2:10" x14ac:dyDescent="0.2">
      <c r="B507" s="92">
        <v>0.69027799999999995</v>
      </c>
      <c r="C507" s="92">
        <v>712.30690000000004</v>
      </c>
      <c r="D507" s="92">
        <v>97.631100000000004</v>
      </c>
      <c r="E507" s="92"/>
      <c r="F507" s="92">
        <v>0.69027799999999995</v>
      </c>
      <c r="G507" s="92">
        <v>712.25570000000005</v>
      </c>
      <c r="H507" s="92">
        <v>96.898700000000005</v>
      </c>
      <c r="I507" s="92"/>
      <c r="J507" s="93">
        <f t="shared" si="14"/>
        <v>5.1199999999994361E-2</v>
      </c>
    </row>
    <row r="508" spans="2:10" x14ac:dyDescent="0.2">
      <c r="B508" s="92">
        <v>0.69166700000000003</v>
      </c>
      <c r="C508" s="92">
        <v>712.26049999999998</v>
      </c>
      <c r="D508" s="92">
        <v>97.6327</v>
      </c>
      <c r="E508" s="92"/>
      <c r="F508" s="92">
        <v>0.69166700000000003</v>
      </c>
      <c r="G508" s="92">
        <v>712.32410000000004</v>
      </c>
      <c r="H508" s="92">
        <v>96.902000000000001</v>
      </c>
      <c r="I508" s="92"/>
      <c r="J508" s="93">
        <f t="shared" si="14"/>
        <v>6.3600000000064938E-2</v>
      </c>
    </row>
    <row r="509" spans="2:10" x14ac:dyDescent="0.2">
      <c r="B509" s="92">
        <v>0.69305600000000001</v>
      </c>
      <c r="C509" s="92">
        <v>712.2758</v>
      </c>
      <c r="D509" s="92">
        <v>97.645799999999994</v>
      </c>
      <c r="E509" s="92"/>
      <c r="F509" s="92">
        <v>0.69305600000000001</v>
      </c>
      <c r="G509" s="92">
        <v>712.31150000000002</v>
      </c>
      <c r="H509" s="92">
        <v>96.910300000000007</v>
      </c>
      <c r="I509" s="92"/>
      <c r="J509" s="93">
        <f t="shared" si="14"/>
        <v>3.5700000000019827E-2</v>
      </c>
    </row>
    <row r="510" spans="2:10" x14ac:dyDescent="0.2">
      <c r="B510" s="92">
        <v>0.69444399999999995</v>
      </c>
      <c r="C510" s="92">
        <v>712.26229999999998</v>
      </c>
      <c r="D510" s="92">
        <v>97.649100000000004</v>
      </c>
      <c r="E510" s="92"/>
      <c r="F510" s="92">
        <v>0.69444399999999995</v>
      </c>
      <c r="G510" s="92">
        <v>712.30970000000002</v>
      </c>
      <c r="H510" s="92">
        <v>96.920199999999994</v>
      </c>
      <c r="I510" s="92"/>
      <c r="J510" s="93">
        <f t="shared" si="14"/>
        <v>4.7400000000038744E-2</v>
      </c>
    </row>
    <row r="511" spans="2:10" x14ac:dyDescent="0.2">
      <c r="B511" s="92">
        <v>0.69583300000000003</v>
      </c>
      <c r="C511" s="92">
        <v>712.28790000000004</v>
      </c>
      <c r="D511" s="92">
        <v>97.668700000000001</v>
      </c>
      <c r="E511" s="92"/>
      <c r="F511" s="92">
        <v>0.69583300000000003</v>
      </c>
      <c r="G511" s="92">
        <v>712.32849999999996</v>
      </c>
      <c r="H511" s="92">
        <v>96.920199999999994</v>
      </c>
      <c r="I511" s="92"/>
      <c r="J511" s="93">
        <f t="shared" si="14"/>
        <v>4.0599999999926695E-2</v>
      </c>
    </row>
    <row r="512" spans="2:10" x14ac:dyDescent="0.2">
      <c r="B512" s="92">
        <v>0.69722200000000001</v>
      </c>
      <c r="C512" s="92">
        <v>712.28830000000005</v>
      </c>
      <c r="D512" s="92">
        <v>97.662199999999999</v>
      </c>
      <c r="E512" s="92"/>
      <c r="F512" s="92">
        <v>0.69722200000000001</v>
      </c>
      <c r="G512" s="92">
        <v>712.31150000000002</v>
      </c>
      <c r="H512" s="92">
        <v>96.935100000000006</v>
      </c>
      <c r="I512" s="92"/>
      <c r="J512" s="93">
        <f t="shared" si="14"/>
        <v>2.3199999999974352E-2</v>
      </c>
    </row>
    <row r="513" spans="2:10" x14ac:dyDescent="0.2">
      <c r="B513" s="92">
        <v>0.69861099999999998</v>
      </c>
      <c r="C513" s="92">
        <v>712.29579999999999</v>
      </c>
      <c r="D513" s="92">
        <v>97.671999999999997</v>
      </c>
      <c r="E513" s="92"/>
      <c r="F513" s="92">
        <v>0.69861099999999998</v>
      </c>
      <c r="G513" s="92">
        <v>712.31410000000005</v>
      </c>
      <c r="H513" s="92">
        <v>96.938400000000001</v>
      </c>
      <c r="I513" s="92"/>
      <c r="J513" s="93">
        <f t="shared" si="14"/>
        <v>1.8300000000067485E-2</v>
      </c>
    </row>
    <row r="514" spans="2:10" x14ac:dyDescent="0.2">
      <c r="B514" s="92">
        <v>0.7</v>
      </c>
      <c r="C514" s="92">
        <v>712.322</v>
      </c>
      <c r="D514" s="92">
        <v>97.678600000000003</v>
      </c>
      <c r="E514" s="92"/>
      <c r="F514" s="92">
        <v>0.7</v>
      </c>
      <c r="G514" s="92">
        <v>712.33879999999999</v>
      </c>
      <c r="H514" s="92">
        <v>96.94</v>
      </c>
      <c r="I514" s="92"/>
      <c r="J514" s="93">
        <f t="shared" si="14"/>
        <v>1.6799999999989268E-2</v>
      </c>
    </row>
    <row r="515" spans="2:10" x14ac:dyDescent="0.2">
      <c r="B515" s="92">
        <v>0.70138900000000004</v>
      </c>
      <c r="C515" s="92">
        <v>712.27670000000001</v>
      </c>
      <c r="D515" s="92">
        <v>97.681799999999996</v>
      </c>
      <c r="E515" s="92"/>
      <c r="F515" s="92">
        <v>0.70138900000000004</v>
      </c>
      <c r="G515" s="92">
        <v>712.33010000000002</v>
      </c>
      <c r="H515" s="92">
        <v>96.953299999999999</v>
      </c>
      <c r="I515" s="92"/>
      <c r="J515" s="93">
        <f t="shared" si="14"/>
        <v>5.340000000001055E-2</v>
      </c>
    </row>
    <row r="516" spans="2:10" x14ac:dyDescent="0.2">
      <c r="B516" s="92">
        <v>0.70277800000000001</v>
      </c>
      <c r="C516" s="92">
        <v>712.31200000000001</v>
      </c>
      <c r="D516" s="92">
        <v>97.693299999999994</v>
      </c>
      <c r="E516" s="92"/>
      <c r="F516" s="92">
        <v>0.70277800000000001</v>
      </c>
      <c r="G516" s="92">
        <v>712.2808</v>
      </c>
      <c r="H516" s="92">
        <v>96.956599999999995</v>
      </c>
      <c r="I516" s="92"/>
      <c r="J516" s="93">
        <f t="shared" si="14"/>
        <v>3.1200000000012551E-2</v>
      </c>
    </row>
    <row r="517" spans="2:10" x14ac:dyDescent="0.2">
      <c r="B517" s="92">
        <v>0.70416699999999999</v>
      </c>
      <c r="C517" s="92">
        <v>712.27890000000002</v>
      </c>
      <c r="D517" s="92">
        <v>97.691699999999997</v>
      </c>
      <c r="E517" s="92"/>
      <c r="F517" s="92">
        <v>0.70416699999999999</v>
      </c>
      <c r="G517" s="92">
        <v>712.3116</v>
      </c>
      <c r="H517" s="92">
        <v>96.959900000000005</v>
      </c>
      <c r="I517" s="92"/>
      <c r="J517" s="93">
        <f t="shared" si="14"/>
        <v>3.2699999999977081E-2</v>
      </c>
    </row>
    <row r="518" spans="2:10" x14ac:dyDescent="0.2">
      <c r="B518" s="92">
        <v>0.70555599999999996</v>
      </c>
      <c r="C518" s="92">
        <v>712.28800000000001</v>
      </c>
      <c r="D518" s="92">
        <v>97.696600000000004</v>
      </c>
      <c r="E518" s="92"/>
      <c r="F518" s="92">
        <v>0.70555599999999996</v>
      </c>
      <c r="G518" s="92">
        <v>712.34730000000002</v>
      </c>
      <c r="H518" s="92">
        <v>96.969800000000006</v>
      </c>
      <c r="I518" s="92"/>
      <c r="J518" s="93">
        <f t="shared" si="14"/>
        <v>5.9300000000007458E-2</v>
      </c>
    </row>
    <row r="519" spans="2:10" x14ac:dyDescent="0.2">
      <c r="B519" s="92">
        <v>0.70694400000000002</v>
      </c>
      <c r="C519" s="92">
        <v>712.32069999999999</v>
      </c>
      <c r="D519" s="92">
        <v>97.704800000000006</v>
      </c>
      <c r="E519" s="92"/>
      <c r="F519" s="92">
        <v>0.70694400000000002</v>
      </c>
      <c r="G519" s="92">
        <v>712.33230000000003</v>
      </c>
      <c r="H519" s="92">
        <v>96.974800000000002</v>
      </c>
      <c r="I519" s="92"/>
      <c r="J519" s="93">
        <f t="shared" si="14"/>
        <v>1.160000000004402E-2</v>
      </c>
    </row>
    <row r="520" spans="2:10" x14ac:dyDescent="0.2">
      <c r="B520" s="92">
        <v>0.70833299999999999</v>
      </c>
      <c r="C520" s="92">
        <v>712.26329999999996</v>
      </c>
      <c r="D520" s="92">
        <v>97.712999999999994</v>
      </c>
      <c r="E520" s="92"/>
      <c r="F520" s="92">
        <v>0.70833299999999999</v>
      </c>
      <c r="G520" s="92">
        <v>712.35140000000001</v>
      </c>
      <c r="H520" s="92">
        <v>96.981399999999994</v>
      </c>
      <c r="I520" s="92"/>
      <c r="J520" s="93">
        <f t="shared" si="14"/>
        <v>8.8100000000054024E-2</v>
      </c>
    </row>
    <row r="521" spans="2:10" x14ac:dyDescent="0.2">
      <c r="B521" s="92">
        <v>0.70972199999999996</v>
      </c>
      <c r="C521" s="92">
        <v>712.24739999999997</v>
      </c>
      <c r="D521" s="92">
        <v>97.712999999999994</v>
      </c>
      <c r="E521" s="92"/>
      <c r="F521" s="92">
        <v>0.70972199999999996</v>
      </c>
      <c r="G521" s="92">
        <v>712.34140000000002</v>
      </c>
      <c r="H521" s="92">
        <v>96.992999999999995</v>
      </c>
      <c r="I521" s="92"/>
      <c r="J521" s="93">
        <f t="shared" si="14"/>
        <v>9.4000000000050932E-2</v>
      </c>
    </row>
    <row r="522" spans="2:10" x14ac:dyDescent="0.2">
      <c r="B522" s="92">
        <v>0.71111100000000005</v>
      </c>
      <c r="C522" s="92">
        <v>712.29610000000002</v>
      </c>
      <c r="D522" s="92">
        <v>97.721100000000007</v>
      </c>
      <c r="E522" s="92"/>
      <c r="F522" s="92">
        <v>0.71111100000000005</v>
      </c>
      <c r="G522" s="92">
        <v>712.31349999999998</v>
      </c>
      <c r="H522" s="92">
        <v>96.999600000000001</v>
      </c>
      <c r="I522" s="92"/>
      <c r="J522" s="93">
        <f t="shared" si="14"/>
        <v>1.7399999999952342E-2</v>
      </c>
    </row>
    <row r="523" spans="2:10" x14ac:dyDescent="0.2">
      <c r="B523" s="92">
        <v>0.71250000000000002</v>
      </c>
      <c r="C523" s="92">
        <v>712.25459999999998</v>
      </c>
      <c r="D523" s="92">
        <v>97.729299999999995</v>
      </c>
      <c r="E523" s="92"/>
      <c r="F523" s="92">
        <v>0.71250000000000002</v>
      </c>
      <c r="G523" s="92">
        <v>712.32759999999996</v>
      </c>
      <c r="H523" s="92">
        <v>96.999600000000001</v>
      </c>
      <c r="I523" s="92"/>
      <c r="J523" s="93">
        <f t="shared" ref="J523:J586" si="15">+ABS(G523-C523)</f>
        <v>7.2999999999979082E-2</v>
      </c>
    </row>
    <row r="524" spans="2:10" x14ac:dyDescent="0.2">
      <c r="B524" s="92">
        <v>0.713889</v>
      </c>
      <c r="C524" s="92">
        <v>712.29269999999997</v>
      </c>
      <c r="D524" s="92">
        <v>97.737499999999997</v>
      </c>
      <c r="E524" s="92"/>
      <c r="F524" s="92">
        <v>0.713889</v>
      </c>
      <c r="G524" s="92">
        <v>712.34960000000001</v>
      </c>
      <c r="H524" s="92">
        <v>97.016099999999994</v>
      </c>
      <c r="I524" s="92"/>
      <c r="J524" s="93">
        <f t="shared" si="15"/>
        <v>5.6900000000041473E-2</v>
      </c>
    </row>
    <row r="525" spans="2:10" x14ac:dyDescent="0.2">
      <c r="B525" s="92">
        <v>0.71527799999999997</v>
      </c>
      <c r="C525" s="92">
        <v>712.26739999999995</v>
      </c>
      <c r="D525" s="92">
        <v>97.739199999999997</v>
      </c>
      <c r="E525" s="92"/>
      <c r="F525" s="92">
        <v>0.71527799999999997</v>
      </c>
      <c r="G525" s="92">
        <v>712.30250000000001</v>
      </c>
      <c r="H525" s="92">
        <v>97.016099999999994</v>
      </c>
      <c r="I525" s="92"/>
      <c r="J525" s="93">
        <f t="shared" si="15"/>
        <v>3.5100000000056752E-2</v>
      </c>
    </row>
    <row r="526" spans="2:10" x14ac:dyDescent="0.2">
      <c r="B526" s="92">
        <v>0.71666700000000005</v>
      </c>
      <c r="C526" s="92">
        <v>712.31230000000005</v>
      </c>
      <c r="D526" s="92">
        <v>97.742400000000004</v>
      </c>
      <c r="E526" s="92"/>
      <c r="F526" s="92">
        <v>0.71666700000000005</v>
      </c>
      <c r="G526" s="92">
        <v>712.32539999999995</v>
      </c>
      <c r="H526" s="92">
        <v>97.027699999999996</v>
      </c>
      <c r="I526" s="92"/>
      <c r="J526" s="93">
        <f t="shared" si="15"/>
        <v>1.3099999999894862E-2</v>
      </c>
    </row>
    <row r="527" spans="2:10" x14ac:dyDescent="0.2">
      <c r="B527" s="92">
        <v>0.71805600000000003</v>
      </c>
      <c r="C527" s="92">
        <v>712.28430000000003</v>
      </c>
      <c r="D527" s="92">
        <v>97.747299999999996</v>
      </c>
      <c r="E527" s="92"/>
      <c r="F527" s="92">
        <v>0.71805600000000003</v>
      </c>
      <c r="G527" s="92">
        <v>712.31129999999996</v>
      </c>
      <c r="H527" s="92">
        <v>97.027699999999996</v>
      </c>
      <c r="I527" s="92"/>
      <c r="J527" s="93">
        <f t="shared" si="15"/>
        <v>2.6999999999929969E-2</v>
      </c>
    </row>
    <row r="528" spans="2:10" x14ac:dyDescent="0.2">
      <c r="B528" s="92">
        <v>0.71944399999999997</v>
      </c>
      <c r="C528" s="92">
        <v>712.30269999999996</v>
      </c>
      <c r="D528" s="92">
        <v>97.750600000000006</v>
      </c>
      <c r="E528" s="92"/>
      <c r="F528" s="92">
        <v>0.71944399999999997</v>
      </c>
      <c r="G528" s="92">
        <v>712.27679999999998</v>
      </c>
      <c r="H528" s="92">
        <v>97.044300000000007</v>
      </c>
      <c r="I528" s="92"/>
      <c r="J528" s="93">
        <f t="shared" si="15"/>
        <v>2.5899999999978718E-2</v>
      </c>
    </row>
    <row r="529" spans="2:10" x14ac:dyDescent="0.2">
      <c r="B529" s="92">
        <v>0.72083299999999995</v>
      </c>
      <c r="C529" s="92">
        <v>712.23720000000003</v>
      </c>
      <c r="D529" s="92">
        <v>97.762100000000004</v>
      </c>
      <c r="E529" s="92"/>
      <c r="F529" s="92">
        <v>0.72083299999999995</v>
      </c>
      <c r="G529" s="92">
        <v>712.33199999999999</v>
      </c>
      <c r="H529" s="92">
        <v>97.042599999999993</v>
      </c>
      <c r="I529" s="92"/>
      <c r="J529" s="93">
        <f t="shared" si="15"/>
        <v>9.4799999999963802E-2</v>
      </c>
    </row>
    <row r="530" spans="2:10" x14ac:dyDescent="0.2">
      <c r="B530" s="92">
        <v>0.72222200000000003</v>
      </c>
      <c r="C530" s="92">
        <v>712.27679999999998</v>
      </c>
      <c r="D530" s="92">
        <v>97.7654</v>
      </c>
      <c r="E530" s="92"/>
      <c r="F530" s="92">
        <v>0.72222200000000003</v>
      </c>
      <c r="G530" s="92">
        <v>712.29970000000003</v>
      </c>
      <c r="H530" s="92">
        <v>97.055899999999994</v>
      </c>
      <c r="I530" s="92"/>
      <c r="J530" s="93">
        <f t="shared" si="15"/>
        <v>2.2900000000049658E-2</v>
      </c>
    </row>
    <row r="531" spans="2:10" x14ac:dyDescent="0.2">
      <c r="B531" s="92">
        <v>0.723611</v>
      </c>
      <c r="C531" s="92">
        <v>712.28300000000002</v>
      </c>
      <c r="D531" s="92">
        <v>97.773499999999999</v>
      </c>
      <c r="E531" s="92"/>
      <c r="F531" s="92">
        <v>0.723611</v>
      </c>
      <c r="G531" s="92">
        <v>712.32230000000004</v>
      </c>
      <c r="H531" s="92">
        <v>97.0608</v>
      </c>
      <c r="I531" s="92"/>
      <c r="J531" s="93">
        <f t="shared" si="15"/>
        <v>3.9300000000025648E-2</v>
      </c>
    </row>
    <row r="532" spans="2:10" x14ac:dyDescent="0.2">
      <c r="B532" s="92">
        <v>0.72499999999999998</v>
      </c>
      <c r="C532" s="92">
        <v>712.2962</v>
      </c>
      <c r="D532" s="92">
        <v>97.776799999999994</v>
      </c>
      <c r="E532" s="92"/>
      <c r="F532" s="92">
        <v>0.72499999999999998</v>
      </c>
      <c r="G532" s="92">
        <v>712.31889999999999</v>
      </c>
      <c r="H532" s="92">
        <v>97.0625</v>
      </c>
      <c r="I532" s="92"/>
      <c r="J532" s="93">
        <f t="shared" si="15"/>
        <v>2.2699999999986176E-2</v>
      </c>
    </row>
    <row r="533" spans="2:10" x14ac:dyDescent="0.2">
      <c r="B533" s="92">
        <v>0.72638899999999995</v>
      </c>
      <c r="C533" s="92">
        <v>712.3143</v>
      </c>
      <c r="D533" s="92">
        <v>97.786600000000007</v>
      </c>
      <c r="E533" s="92"/>
      <c r="F533" s="92">
        <v>0.72638899999999995</v>
      </c>
      <c r="G533" s="92">
        <v>712.33579999999995</v>
      </c>
      <c r="H533" s="92">
        <v>97.072400000000002</v>
      </c>
      <c r="I533" s="92"/>
      <c r="J533" s="93">
        <f t="shared" si="15"/>
        <v>2.149999999994634E-2</v>
      </c>
    </row>
    <row r="534" spans="2:10" x14ac:dyDescent="0.2">
      <c r="B534" s="92">
        <v>0.72777800000000004</v>
      </c>
      <c r="C534" s="92">
        <v>712.26369999999997</v>
      </c>
      <c r="D534" s="92">
        <v>97.789900000000003</v>
      </c>
      <c r="E534" s="92"/>
      <c r="F534" s="92">
        <v>0.72777800000000004</v>
      </c>
      <c r="G534" s="92">
        <v>712.30909999999994</v>
      </c>
      <c r="H534" s="92">
        <v>97.080699999999993</v>
      </c>
      <c r="I534" s="92"/>
      <c r="J534" s="93">
        <f t="shared" si="15"/>
        <v>4.5399999999972351E-2</v>
      </c>
    </row>
    <row r="535" spans="2:10" x14ac:dyDescent="0.2">
      <c r="B535" s="92">
        <v>0.72916700000000001</v>
      </c>
      <c r="C535" s="92">
        <v>712.27</v>
      </c>
      <c r="D535" s="92">
        <v>97.798100000000005</v>
      </c>
      <c r="E535" s="92"/>
      <c r="F535" s="92">
        <v>0.72916700000000001</v>
      </c>
      <c r="G535" s="92">
        <v>712.28089999999997</v>
      </c>
      <c r="H535" s="92">
        <v>97.080699999999993</v>
      </c>
      <c r="I535" s="92"/>
      <c r="J535" s="93">
        <f t="shared" si="15"/>
        <v>1.089999999999236E-2</v>
      </c>
    </row>
    <row r="536" spans="2:10" x14ac:dyDescent="0.2">
      <c r="B536" s="92">
        <v>0.73055599999999998</v>
      </c>
      <c r="C536" s="92">
        <v>712.28710000000001</v>
      </c>
      <c r="D536" s="92">
        <v>97.799700000000001</v>
      </c>
      <c r="E536" s="92"/>
      <c r="F536" s="92">
        <v>0.73055599999999998</v>
      </c>
      <c r="G536" s="92">
        <v>712.29409999999996</v>
      </c>
      <c r="H536" s="92">
        <v>97.085599999999999</v>
      </c>
      <c r="I536" s="92"/>
      <c r="J536" s="93">
        <f t="shared" si="15"/>
        <v>6.9999999999481588E-3</v>
      </c>
    </row>
    <row r="537" spans="2:10" x14ac:dyDescent="0.2">
      <c r="B537" s="92">
        <v>0.73194400000000004</v>
      </c>
      <c r="C537" s="92">
        <v>712.2962</v>
      </c>
      <c r="D537" s="92">
        <v>97.804599999999994</v>
      </c>
      <c r="E537" s="92"/>
      <c r="F537" s="92">
        <v>0.73194400000000004</v>
      </c>
      <c r="G537" s="92">
        <v>712.31569999999999</v>
      </c>
      <c r="H537" s="92">
        <v>97.095600000000005</v>
      </c>
      <c r="I537" s="92"/>
      <c r="J537" s="93">
        <f t="shared" si="15"/>
        <v>1.9499999999993634E-2</v>
      </c>
    </row>
    <row r="538" spans="2:10" x14ac:dyDescent="0.2">
      <c r="B538" s="92">
        <v>0.73333300000000001</v>
      </c>
      <c r="C538" s="92">
        <v>712.26030000000003</v>
      </c>
      <c r="D538" s="92">
        <v>97.806299999999993</v>
      </c>
      <c r="E538" s="92"/>
      <c r="F538" s="92">
        <v>0.73333300000000001</v>
      </c>
      <c r="G538" s="92">
        <v>712.30439999999999</v>
      </c>
      <c r="H538" s="92">
        <v>97.105500000000006</v>
      </c>
      <c r="I538" s="92"/>
      <c r="J538" s="93">
        <f t="shared" si="15"/>
        <v>4.4099999999957618E-2</v>
      </c>
    </row>
    <row r="539" spans="2:10" x14ac:dyDescent="0.2">
      <c r="B539" s="92">
        <v>0.73472199999999999</v>
      </c>
      <c r="C539" s="92">
        <v>712.27059999999994</v>
      </c>
      <c r="D539" s="92">
        <v>97.812799999999996</v>
      </c>
      <c r="E539" s="92"/>
      <c r="F539" s="92">
        <v>0.73472199999999999</v>
      </c>
      <c r="G539" s="92">
        <v>712.28089999999997</v>
      </c>
      <c r="H539" s="92">
        <v>97.105500000000006</v>
      </c>
      <c r="I539" s="92"/>
      <c r="J539" s="93">
        <f t="shared" si="15"/>
        <v>1.0300000000029286E-2</v>
      </c>
    </row>
    <row r="540" spans="2:10" x14ac:dyDescent="0.2">
      <c r="B540" s="92">
        <v>0.73611099999999996</v>
      </c>
      <c r="C540" s="92">
        <v>712.28340000000003</v>
      </c>
      <c r="D540" s="92">
        <v>97.822699999999998</v>
      </c>
      <c r="E540" s="92"/>
      <c r="F540" s="92">
        <v>0.73611099999999996</v>
      </c>
      <c r="G540" s="92">
        <v>712.3107</v>
      </c>
      <c r="H540" s="92">
        <v>97.113799999999998</v>
      </c>
      <c r="I540" s="92"/>
      <c r="J540" s="93">
        <f t="shared" si="15"/>
        <v>2.729999999996835E-2</v>
      </c>
    </row>
    <row r="541" spans="2:10" x14ac:dyDescent="0.2">
      <c r="B541" s="92">
        <v>0.73750000000000004</v>
      </c>
      <c r="C541" s="92">
        <v>712.24720000000002</v>
      </c>
      <c r="D541" s="92">
        <v>97.830799999999996</v>
      </c>
      <c r="E541" s="92"/>
      <c r="F541" s="92">
        <v>0.73750000000000004</v>
      </c>
      <c r="G541" s="92">
        <v>712.34019999999998</v>
      </c>
      <c r="H541" s="92">
        <v>97.115399999999994</v>
      </c>
      <c r="I541" s="92"/>
      <c r="J541" s="93">
        <f t="shared" si="15"/>
        <v>9.2999999999960892E-2</v>
      </c>
    </row>
    <row r="542" spans="2:10" x14ac:dyDescent="0.2">
      <c r="B542" s="92">
        <v>0.73888900000000002</v>
      </c>
      <c r="C542" s="92">
        <v>712.28030000000001</v>
      </c>
      <c r="D542" s="92">
        <v>97.832499999999996</v>
      </c>
      <c r="E542" s="92"/>
      <c r="F542" s="92">
        <v>0.73888900000000002</v>
      </c>
      <c r="G542" s="92">
        <v>712.30889999999999</v>
      </c>
      <c r="H542" s="92">
        <v>97.123699999999999</v>
      </c>
      <c r="I542" s="92"/>
      <c r="J542" s="93">
        <f t="shared" si="15"/>
        <v>2.8599999999983083E-2</v>
      </c>
    </row>
    <row r="543" spans="2:10" x14ac:dyDescent="0.2">
      <c r="B543" s="92">
        <v>0.74027799999999999</v>
      </c>
      <c r="C543" s="92">
        <v>712.29309999999998</v>
      </c>
      <c r="D543" s="92">
        <v>97.842299999999994</v>
      </c>
      <c r="E543" s="92"/>
      <c r="F543" s="92">
        <v>0.74027799999999999</v>
      </c>
      <c r="G543" s="92">
        <v>712.31759999999997</v>
      </c>
      <c r="H543" s="92">
        <v>97.135300000000001</v>
      </c>
      <c r="I543" s="92"/>
      <c r="J543" s="93">
        <f t="shared" si="15"/>
        <v>2.4499999999989086E-2</v>
      </c>
    </row>
    <row r="544" spans="2:10" x14ac:dyDescent="0.2">
      <c r="B544" s="92">
        <v>0.74166699999999997</v>
      </c>
      <c r="C544" s="92">
        <v>712.28779999999995</v>
      </c>
      <c r="D544" s="92">
        <v>97.842299999999994</v>
      </c>
      <c r="E544" s="92"/>
      <c r="F544" s="92">
        <v>0.74166699999999997</v>
      </c>
      <c r="G544" s="92">
        <v>712.30949999999996</v>
      </c>
      <c r="H544" s="92">
        <v>97.136899999999997</v>
      </c>
      <c r="I544" s="92"/>
      <c r="J544" s="93">
        <f t="shared" si="15"/>
        <v>2.1700000000009823E-2</v>
      </c>
    </row>
    <row r="545" spans="2:10" x14ac:dyDescent="0.2">
      <c r="B545" s="92">
        <v>0.74305600000000005</v>
      </c>
      <c r="C545" s="92">
        <v>712.29430000000002</v>
      </c>
      <c r="D545" s="92">
        <v>97.843900000000005</v>
      </c>
      <c r="E545" s="92"/>
      <c r="F545" s="92">
        <v>0.74305600000000005</v>
      </c>
      <c r="G545" s="92">
        <v>712.32860000000005</v>
      </c>
      <c r="H545" s="92">
        <v>97.143500000000003</v>
      </c>
      <c r="I545" s="92"/>
      <c r="J545" s="93">
        <f t="shared" si="15"/>
        <v>3.4300000000030195E-2</v>
      </c>
    </row>
    <row r="546" spans="2:10" x14ac:dyDescent="0.2">
      <c r="B546" s="92">
        <v>0.74444399999999999</v>
      </c>
      <c r="C546" s="92">
        <v>712.29650000000004</v>
      </c>
      <c r="D546" s="92">
        <v>97.853800000000007</v>
      </c>
      <c r="E546" s="92"/>
      <c r="F546" s="92">
        <v>0.74444399999999999</v>
      </c>
      <c r="G546" s="92">
        <v>712.31949999999995</v>
      </c>
      <c r="H546" s="92">
        <v>97.150199999999998</v>
      </c>
      <c r="I546" s="92"/>
      <c r="J546" s="93">
        <f t="shared" si="15"/>
        <v>2.299999999991087E-2</v>
      </c>
    </row>
    <row r="547" spans="2:10" x14ac:dyDescent="0.2">
      <c r="B547" s="92">
        <v>0.74583299999999997</v>
      </c>
      <c r="C547" s="92">
        <v>712.28279999999995</v>
      </c>
      <c r="D547" s="92">
        <v>97.863600000000005</v>
      </c>
      <c r="E547" s="92"/>
      <c r="F547" s="92">
        <v>0.74583299999999997</v>
      </c>
      <c r="G547" s="92">
        <v>712.34119999999996</v>
      </c>
      <c r="H547" s="92">
        <v>97.1601</v>
      </c>
      <c r="I547" s="92"/>
      <c r="J547" s="93">
        <f t="shared" si="15"/>
        <v>5.8400000000006003E-2</v>
      </c>
    </row>
    <row r="548" spans="2:10" x14ac:dyDescent="0.2">
      <c r="B548" s="92">
        <v>0.74722200000000005</v>
      </c>
      <c r="C548" s="92">
        <v>712.26559999999995</v>
      </c>
      <c r="D548" s="92">
        <v>97.861999999999995</v>
      </c>
      <c r="E548" s="92"/>
      <c r="F548" s="92">
        <v>0.74722200000000005</v>
      </c>
      <c r="G548" s="92">
        <v>712.29629999999997</v>
      </c>
      <c r="H548" s="92">
        <v>97.156800000000004</v>
      </c>
      <c r="I548" s="92"/>
      <c r="J548" s="93">
        <f t="shared" si="15"/>
        <v>3.0700000000024374E-2</v>
      </c>
    </row>
    <row r="549" spans="2:10" x14ac:dyDescent="0.2">
      <c r="B549" s="92">
        <v>0.74861100000000003</v>
      </c>
      <c r="C549" s="92">
        <v>712.22190000000001</v>
      </c>
      <c r="D549" s="92">
        <v>97.860299999999995</v>
      </c>
      <c r="E549" s="92"/>
      <c r="F549" s="92">
        <v>0.74861100000000003</v>
      </c>
      <c r="G549" s="92">
        <v>712.29690000000005</v>
      </c>
      <c r="H549" s="92">
        <v>97.17</v>
      </c>
      <c r="I549" s="92"/>
      <c r="J549" s="93">
        <f t="shared" si="15"/>
        <v>7.5000000000045475E-2</v>
      </c>
    </row>
    <row r="550" spans="2:10" x14ac:dyDescent="0.2">
      <c r="B550" s="92">
        <v>0.75</v>
      </c>
      <c r="C550" s="92">
        <v>712.25440000000003</v>
      </c>
      <c r="D550" s="92">
        <v>97.875100000000003</v>
      </c>
      <c r="E550" s="92"/>
      <c r="F550" s="92">
        <v>0.75</v>
      </c>
      <c r="G550" s="92">
        <v>712.32299999999998</v>
      </c>
      <c r="H550" s="92">
        <v>97.173299999999998</v>
      </c>
      <c r="I550" s="92"/>
      <c r="J550" s="93">
        <f t="shared" si="15"/>
        <v>6.8599999999946704E-2</v>
      </c>
    </row>
    <row r="551" spans="2:10" x14ac:dyDescent="0.2">
      <c r="B551" s="92">
        <v>0.75138899999999997</v>
      </c>
      <c r="C551" s="92">
        <v>712.30340000000001</v>
      </c>
      <c r="D551" s="92">
        <v>97.8767</v>
      </c>
      <c r="E551" s="92"/>
      <c r="F551" s="92">
        <v>0.75138899999999997</v>
      </c>
      <c r="G551" s="92">
        <v>712.36220000000003</v>
      </c>
      <c r="H551" s="92">
        <v>97.181600000000003</v>
      </c>
      <c r="I551" s="92"/>
      <c r="J551" s="93">
        <f t="shared" si="15"/>
        <v>5.8800000000019281E-2</v>
      </c>
    </row>
    <row r="552" spans="2:10" x14ac:dyDescent="0.2">
      <c r="B552" s="92">
        <v>0.75277799999999995</v>
      </c>
      <c r="C552" s="92">
        <v>712.27279999999996</v>
      </c>
      <c r="D552" s="92">
        <v>97.878299999999996</v>
      </c>
      <c r="E552" s="92"/>
      <c r="F552" s="92">
        <v>0.75277799999999995</v>
      </c>
      <c r="G552" s="92">
        <v>712.34</v>
      </c>
      <c r="H552" s="92">
        <v>97.183199999999999</v>
      </c>
      <c r="I552" s="92"/>
      <c r="J552" s="93">
        <f t="shared" si="15"/>
        <v>6.7200000000070759E-2</v>
      </c>
    </row>
    <row r="553" spans="2:10" x14ac:dyDescent="0.2">
      <c r="B553" s="92">
        <v>0.75416700000000003</v>
      </c>
      <c r="C553" s="92">
        <v>712.26350000000002</v>
      </c>
      <c r="D553" s="92">
        <v>97.88</v>
      </c>
      <c r="E553" s="92"/>
      <c r="F553" s="92">
        <v>0.75416700000000003</v>
      </c>
      <c r="G553" s="92">
        <v>712.29570000000001</v>
      </c>
      <c r="H553" s="92">
        <v>97.193200000000004</v>
      </c>
      <c r="I553" s="92"/>
      <c r="J553" s="93">
        <f t="shared" si="15"/>
        <v>3.2199999999988904E-2</v>
      </c>
    </row>
    <row r="554" spans="2:10" x14ac:dyDescent="0.2">
      <c r="B554" s="92">
        <v>0.75555600000000001</v>
      </c>
      <c r="C554" s="92">
        <v>712.28689999999995</v>
      </c>
      <c r="D554" s="92">
        <v>97.889799999999994</v>
      </c>
      <c r="E554" s="92"/>
      <c r="F554" s="92">
        <v>0.75555600000000001</v>
      </c>
      <c r="G554" s="92">
        <v>712.32209999999998</v>
      </c>
      <c r="H554" s="92">
        <v>97.203100000000006</v>
      </c>
      <c r="I554" s="92"/>
      <c r="J554" s="93">
        <f t="shared" si="15"/>
        <v>3.520000000003165E-2</v>
      </c>
    </row>
    <row r="555" spans="2:10" x14ac:dyDescent="0.2">
      <c r="B555" s="92">
        <v>0.75694399999999995</v>
      </c>
      <c r="C555" s="92">
        <v>712.28660000000002</v>
      </c>
      <c r="D555" s="92">
        <v>97.8964</v>
      </c>
      <c r="E555" s="92"/>
      <c r="F555" s="92">
        <v>0.75694399999999995</v>
      </c>
      <c r="G555" s="92">
        <v>712.34939999999995</v>
      </c>
      <c r="H555" s="92">
        <v>97.208100000000002</v>
      </c>
      <c r="I555" s="92"/>
      <c r="J555" s="93">
        <f t="shared" si="15"/>
        <v>6.2799999999924694E-2</v>
      </c>
    </row>
    <row r="556" spans="2:10" x14ac:dyDescent="0.2">
      <c r="B556" s="92">
        <v>0.75833300000000003</v>
      </c>
      <c r="C556" s="92">
        <v>712.27970000000005</v>
      </c>
      <c r="D556" s="92">
        <v>97.901300000000006</v>
      </c>
      <c r="E556" s="92"/>
      <c r="F556" s="92">
        <v>0.75833300000000003</v>
      </c>
      <c r="G556" s="92">
        <v>712.30830000000003</v>
      </c>
      <c r="H556" s="92">
        <v>97.209699999999998</v>
      </c>
      <c r="I556" s="92"/>
      <c r="J556" s="93">
        <f t="shared" si="15"/>
        <v>2.8599999999983083E-2</v>
      </c>
    </row>
    <row r="557" spans="2:10" x14ac:dyDescent="0.2">
      <c r="B557" s="92">
        <v>0.75972200000000001</v>
      </c>
      <c r="C557" s="92">
        <v>712.32590000000005</v>
      </c>
      <c r="D557" s="92">
        <v>97.906199999999998</v>
      </c>
      <c r="E557" s="92"/>
      <c r="F557" s="92">
        <v>0.75972200000000001</v>
      </c>
      <c r="G557" s="92">
        <v>712.33900000000006</v>
      </c>
      <c r="H557" s="92">
        <v>97.212999999999994</v>
      </c>
      <c r="I557" s="92"/>
      <c r="J557" s="93">
        <f t="shared" si="15"/>
        <v>1.3100000000008549E-2</v>
      </c>
    </row>
    <row r="558" spans="2:10" x14ac:dyDescent="0.2">
      <c r="B558" s="92">
        <v>0.76111099999999998</v>
      </c>
      <c r="C558" s="92">
        <v>712.29129999999998</v>
      </c>
      <c r="D558" s="92">
        <v>97.909499999999994</v>
      </c>
      <c r="E558" s="92"/>
      <c r="F558" s="92">
        <v>0.76111099999999998</v>
      </c>
      <c r="G558" s="92">
        <v>712.34029999999996</v>
      </c>
      <c r="H558" s="92">
        <v>97.214699999999993</v>
      </c>
      <c r="I558" s="92"/>
      <c r="J558" s="93">
        <f t="shared" si="15"/>
        <v>4.8999999999978172E-2</v>
      </c>
    </row>
    <row r="559" spans="2:10" x14ac:dyDescent="0.2">
      <c r="B559" s="92">
        <v>0.76249999999999996</v>
      </c>
      <c r="C559" s="92">
        <v>712.26469999999995</v>
      </c>
      <c r="D559" s="92">
        <v>97.909499999999994</v>
      </c>
      <c r="E559" s="92"/>
      <c r="F559" s="92">
        <v>0.76249999999999996</v>
      </c>
      <c r="G559" s="92">
        <v>712.29819999999995</v>
      </c>
      <c r="H559" s="92">
        <v>97.221299999999999</v>
      </c>
      <c r="I559" s="92"/>
      <c r="J559" s="93">
        <f t="shared" si="15"/>
        <v>3.3500000000003638E-2</v>
      </c>
    </row>
    <row r="560" spans="2:10" x14ac:dyDescent="0.2">
      <c r="B560" s="92">
        <v>0.76388900000000004</v>
      </c>
      <c r="C560" s="92">
        <v>712.27380000000005</v>
      </c>
      <c r="D560" s="92">
        <v>97.914400000000001</v>
      </c>
      <c r="E560" s="92"/>
      <c r="F560" s="92">
        <v>0.76388900000000004</v>
      </c>
      <c r="G560" s="92">
        <v>712.3202</v>
      </c>
      <c r="H560" s="92">
        <v>97.237799999999993</v>
      </c>
      <c r="I560" s="92"/>
      <c r="J560" s="93">
        <f t="shared" si="15"/>
        <v>4.6399999999948704E-2</v>
      </c>
    </row>
    <row r="561" spans="2:10" x14ac:dyDescent="0.2">
      <c r="B561" s="92">
        <v>0.76527800000000001</v>
      </c>
      <c r="C561" s="92">
        <v>712.28409999999997</v>
      </c>
      <c r="D561" s="92">
        <v>97.920900000000003</v>
      </c>
      <c r="E561" s="92"/>
      <c r="F561" s="92">
        <v>0.76527800000000001</v>
      </c>
      <c r="G561" s="92">
        <v>712.31989999999996</v>
      </c>
      <c r="H561" s="92">
        <v>97.231200000000001</v>
      </c>
      <c r="I561" s="92"/>
      <c r="J561" s="93">
        <f t="shared" si="15"/>
        <v>3.5799999999994725E-2</v>
      </c>
    </row>
    <row r="562" spans="2:10" x14ac:dyDescent="0.2">
      <c r="B562" s="92">
        <v>0.76666699999999999</v>
      </c>
      <c r="C562" s="92">
        <v>712.27319999999997</v>
      </c>
      <c r="D562" s="92">
        <v>97.927499999999995</v>
      </c>
      <c r="E562" s="92"/>
      <c r="F562" s="92">
        <v>0.76666699999999999</v>
      </c>
      <c r="G562" s="92">
        <v>712.31460000000004</v>
      </c>
      <c r="H562" s="92">
        <v>97.242800000000003</v>
      </c>
      <c r="I562" s="92"/>
      <c r="J562" s="93">
        <f t="shared" si="15"/>
        <v>4.1400000000066939E-2</v>
      </c>
    </row>
    <row r="563" spans="2:10" x14ac:dyDescent="0.2">
      <c r="B563" s="92">
        <v>0.76805599999999996</v>
      </c>
      <c r="C563" s="92">
        <v>712.27970000000005</v>
      </c>
      <c r="D563" s="92">
        <v>97.929100000000005</v>
      </c>
      <c r="E563" s="92"/>
      <c r="F563" s="92">
        <v>0.76805599999999996</v>
      </c>
      <c r="G563" s="92">
        <v>712.37360000000001</v>
      </c>
      <c r="H563" s="92">
        <v>97.246099999999998</v>
      </c>
      <c r="I563" s="92"/>
      <c r="J563" s="93">
        <f t="shared" si="15"/>
        <v>9.3899999999962347E-2</v>
      </c>
    </row>
    <row r="564" spans="2:10" x14ac:dyDescent="0.2">
      <c r="B564" s="92">
        <v>0.76944400000000002</v>
      </c>
      <c r="C564" s="92">
        <v>712.26599999999996</v>
      </c>
      <c r="D564" s="92">
        <v>97.938900000000004</v>
      </c>
      <c r="E564" s="92"/>
      <c r="F564" s="92">
        <v>0.76944400000000002</v>
      </c>
      <c r="G564" s="92">
        <v>712.30579999999998</v>
      </c>
      <c r="H564" s="92">
        <v>97.256</v>
      </c>
      <c r="I564" s="92"/>
      <c r="J564" s="93">
        <f t="shared" si="15"/>
        <v>3.9800000000013824E-2</v>
      </c>
    </row>
    <row r="565" spans="2:10" x14ac:dyDescent="0.2">
      <c r="B565" s="92">
        <v>0.77083299999999999</v>
      </c>
      <c r="C565" s="92">
        <v>712.28219999999999</v>
      </c>
      <c r="D565" s="92">
        <v>97.932400000000001</v>
      </c>
      <c r="E565" s="92"/>
      <c r="F565" s="92">
        <v>0.77083299999999999</v>
      </c>
      <c r="G565" s="92">
        <v>712.28949999999998</v>
      </c>
      <c r="H565" s="92">
        <v>97.259399999999999</v>
      </c>
      <c r="I565" s="92"/>
      <c r="J565" s="93">
        <f t="shared" si="15"/>
        <v>7.2999999999865395E-3</v>
      </c>
    </row>
    <row r="566" spans="2:10" x14ac:dyDescent="0.2">
      <c r="B566" s="92">
        <v>0.77222199999999996</v>
      </c>
      <c r="C566" s="92">
        <v>712.27350000000001</v>
      </c>
      <c r="D566" s="92">
        <v>97.948800000000006</v>
      </c>
      <c r="E566" s="92"/>
      <c r="F566" s="92">
        <v>0.77222199999999996</v>
      </c>
      <c r="G566" s="92">
        <v>712.3048</v>
      </c>
      <c r="H566" s="92">
        <v>97.260999999999996</v>
      </c>
      <c r="I566" s="92"/>
      <c r="J566" s="93">
        <f t="shared" si="15"/>
        <v>3.1299999999987449E-2</v>
      </c>
    </row>
    <row r="567" spans="2:10" x14ac:dyDescent="0.2">
      <c r="B567" s="92">
        <v>0.77361100000000005</v>
      </c>
      <c r="C567" s="92">
        <v>712.34249999999997</v>
      </c>
      <c r="D567" s="92">
        <v>97.948800000000006</v>
      </c>
      <c r="E567" s="92"/>
      <c r="F567" s="92">
        <v>0.77361100000000005</v>
      </c>
      <c r="G567" s="92">
        <v>712.35</v>
      </c>
      <c r="H567" s="92">
        <v>97.270899999999997</v>
      </c>
      <c r="I567" s="92"/>
      <c r="J567" s="93">
        <f t="shared" si="15"/>
        <v>7.5000000000500222E-3</v>
      </c>
    </row>
    <row r="568" spans="2:10" x14ac:dyDescent="0.2">
      <c r="B568" s="92">
        <v>0.77500000000000002</v>
      </c>
      <c r="C568" s="92">
        <v>712.29190000000006</v>
      </c>
      <c r="D568" s="92">
        <v>97.951999999999998</v>
      </c>
      <c r="E568" s="92"/>
      <c r="F568" s="92">
        <v>0.77500000000000002</v>
      </c>
      <c r="G568" s="92">
        <v>712.29129999999998</v>
      </c>
      <c r="H568" s="92">
        <v>97.274199999999993</v>
      </c>
      <c r="I568" s="92"/>
      <c r="J568" s="93">
        <f t="shared" si="15"/>
        <v>6.0000000007676135E-4</v>
      </c>
    </row>
    <row r="569" spans="2:10" x14ac:dyDescent="0.2">
      <c r="B569" s="92">
        <v>0.776389</v>
      </c>
      <c r="C569" s="92">
        <v>712.28750000000002</v>
      </c>
      <c r="D569" s="92">
        <v>97.9602</v>
      </c>
      <c r="E569" s="92"/>
      <c r="F569" s="92">
        <v>0.776389</v>
      </c>
      <c r="G569" s="92">
        <v>712.32489999999996</v>
      </c>
      <c r="H569" s="92">
        <v>97.287499999999994</v>
      </c>
      <c r="I569" s="92"/>
      <c r="J569" s="93">
        <f t="shared" si="15"/>
        <v>3.7399999999934153E-2</v>
      </c>
    </row>
    <row r="570" spans="2:10" x14ac:dyDescent="0.2">
      <c r="B570" s="92">
        <v>0.77777799999999997</v>
      </c>
      <c r="C570" s="92">
        <v>712.24760000000003</v>
      </c>
      <c r="D570" s="92">
        <v>97.963499999999996</v>
      </c>
      <c r="E570" s="92"/>
      <c r="F570" s="92">
        <v>0.77777799999999997</v>
      </c>
      <c r="G570" s="92">
        <v>712.33780000000002</v>
      </c>
      <c r="H570" s="92">
        <v>97.285799999999995</v>
      </c>
      <c r="I570" s="92"/>
      <c r="J570" s="93">
        <f t="shared" si="15"/>
        <v>9.0199999999981628E-2</v>
      </c>
    </row>
    <row r="571" spans="2:10" x14ac:dyDescent="0.2">
      <c r="B571" s="92">
        <v>0.77916700000000005</v>
      </c>
      <c r="C571" s="92">
        <v>712.28039999999999</v>
      </c>
      <c r="D571" s="92">
        <v>97.971699999999998</v>
      </c>
      <c r="E571" s="92"/>
      <c r="F571" s="92">
        <v>0.77916700000000005</v>
      </c>
      <c r="G571" s="92">
        <v>712.31330000000003</v>
      </c>
      <c r="H571" s="92">
        <v>97.290800000000004</v>
      </c>
      <c r="I571" s="92"/>
      <c r="J571" s="93">
        <f t="shared" si="15"/>
        <v>3.2900000000040563E-2</v>
      </c>
    </row>
    <row r="572" spans="2:10" x14ac:dyDescent="0.2">
      <c r="B572" s="92">
        <v>0.78055600000000003</v>
      </c>
      <c r="C572" s="92">
        <v>712.29219999999998</v>
      </c>
      <c r="D572" s="92">
        <v>97.973299999999995</v>
      </c>
      <c r="E572" s="92"/>
      <c r="F572" s="92">
        <v>0.78055600000000003</v>
      </c>
      <c r="G572" s="92">
        <v>712.28319999999997</v>
      </c>
      <c r="H572" s="92">
        <v>97.300700000000006</v>
      </c>
      <c r="I572" s="92"/>
      <c r="J572" s="93">
        <f t="shared" si="15"/>
        <v>9.0000000000145519E-3</v>
      </c>
    </row>
    <row r="573" spans="2:10" x14ac:dyDescent="0.2">
      <c r="B573" s="92">
        <v>0.78194399999999997</v>
      </c>
      <c r="C573" s="92">
        <v>712.29349999999999</v>
      </c>
      <c r="D573" s="92">
        <v>97.974999999999994</v>
      </c>
      <c r="E573" s="92"/>
      <c r="F573" s="92">
        <v>0.78194399999999997</v>
      </c>
      <c r="G573" s="92">
        <v>712.29510000000005</v>
      </c>
      <c r="H573" s="92">
        <v>97.304000000000002</v>
      </c>
      <c r="I573" s="92"/>
      <c r="J573" s="93">
        <f t="shared" si="15"/>
        <v>1.6000000000531145E-3</v>
      </c>
    </row>
    <row r="574" spans="2:10" x14ac:dyDescent="0.2">
      <c r="B574" s="92">
        <v>0.78333299999999995</v>
      </c>
      <c r="C574" s="92">
        <v>712.26509999999996</v>
      </c>
      <c r="D574" s="92">
        <v>97.986400000000003</v>
      </c>
      <c r="E574" s="92"/>
      <c r="F574" s="92">
        <v>0.78333299999999995</v>
      </c>
      <c r="G574" s="92">
        <v>712.30520000000001</v>
      </c>
      <c r="H574" s="92">
        <v>97.317300000000003</v>
      </c>
      <c r="I574" s="92"/>
      <c r="J574" s="93">
        <f t="shared" si="15"/>
        <v>4.0100000000052205E-2</v>
      </c>
    </row>
    <row r="575" spans="2:10" x14ac:dyDescent="0.2">
      <c r="B575" s="92">
        <v>0.78472200000000003</v>
      </c>
      <c r="C575" s="92">
        <v>712.2595</v>
      </c>
      <c r="D575" s="92">
        <v>97.992999999999995</v>
      </c>
      <c r="E575" s="92"/>
      <c r="F575" s="92">
        <v>0.78472200000000003</v>
      </c>
      <c r="G575" s="92">
        <v>712.30989999999997</v>
      </c>
      <c r="H575" s="92">
        <v>97.317300000000003</v>
      </c>
      <c r="I575" s="92"/>
      <c r="J575" s="93">
        <f t="shared" si="15"/>
        <v>5.0399999999967804E-2</v>
      </c>
    </row>
    <row r="576" spans="2:10" x14ac:dyDescent="0.2">
      <c r="B576" s="92">
        <v>0.786111</v>
      </c>
      <c r="C576" s="92">
        <v>712.2663</v>
      </c>
      <c r="D576" s="92">
        <v>97.988100000000003</v>
      </c>
      <c r="E576" s="92"/>
      <c r="F576" s="92">
        <v>0.786111</v>
      </c>
      <c r="G576" s="92">
        <v>712.30989999999997</v>
      </c>
      <c r="H576" s="92">
        <v>97.317300000000003</v>
      </c>
      <c r="I576" s="92"/>
      <c r="J576" s="93">
        <f t="shared" si="15"/>
        <v>4.3599999999969441E-2</v>
      </c>
    </row>
    <row r="577" spans="2:10" x14ac:dyDescent="0.2">
      <c r="B577" s="92">
        <v>0.78749999999999998</v>
      </c>
      <c r="C577" s="92">
        <v>712.26480000000004</v>
      </c>
      <c r="D577" s="92">
        <v>97.992999999999995</v>
      </c>
      <c r="E577" s="92"/>
      <c r="F577" s="92">
        <v>0.78749999999999998</v>
      </c>
      <c r="G577" s="92">
        <v>712.42100000000005</v>
      </c>
      <c r="H577" s="92">
        <v>97.327200000000005</v>
      </c>
      <c r="I577" s="92"/>
      <c r="J577" s="93">
        <f t="shared" si="15"/>
        <v>0.15620000000001255</v>
      </c>
    </row>
    <row r="578" spans="2:10" x14ac:dyDescent="0.2">
      <c r="B578" s="92">
        <v>0.78888899999999995</v>
      </c>
      <c r="C578" s="92">
        <v>712.49009999999998</v>
      </c>
      <c r="D578" s="92">
        <v>97.996200000000002</v>
      </c>
      <c r="E578" s="92"/>
      <c r="F578" s="92">
        <v>0.78888899999999995</v>
      </c>
      <c r="G578" s="92">
        <v>712.5933</v>
      </c>
      <c r="H578" s="92">
        <v>97.337100000000007</v>
      </c>
      <c r="I578" s="92"/>
      <c r="J578" s="93">
        <f t="shared" si="15"/>
        <v>0.10320000000001528</v>
      </c>
    </row>
    <row r="579" spans="2:10" x14ac:dyDescent="0.2">
      <c r="B579" s="92">
        <v>0.79027800000000004</v>
      </c>
      <c r="C579" s="92">
        <v>712.66899999999998</v>
      </c>
      <c r="D579" s="92">
        <v>98.001199999999997</v>
      </c>
      <c r="E579" s="92"/>
      <c r="F579" s="92">
        <v>0.79027800000000004</v>
      </c>
      <c r="G579" s="92">
        <v>712.8442</v>
      </c>
      <c r="H579" s="92">
        <v>97.338800000000006</v>
      </c>
      <c r="I579" s="92"/>
      <c r="J579" s="93">
        <f t="shared" si="15"/>
        <v>0.17520000000001801</v>
      </c>
    </row>
    <row r="580" spans="2:10" x14ac:dyDescent="0.2">
      <c r="B580" s="92">
        <v>0.79166700000000001</v>
      </c>
      <c r="C580" s="92">
        <v>712.8338</v>
      </c>
      <c r="D580" s="92">
        <v>98.022400000000005</v>
      </c>
      <c r="E580" s="92"/>
      <c r="F580" s="92">
        <v>0.79166700000000001</v>
      </c>
      <c r="G580" s="92">
        <v>713.03070000000002</v>
      </c>
      <c r="H580" s="92">
        <v>97.373500000000007</v>
      </c>
      <c r="I580" s="92"/>
      <c r="J580" s="93">
        <f t="shared" si="15"/>
        <v>0.19690000000002783</v>
      </c>
    </row>
    <row r="581" spans="2:10" x14ac:dyDescent="0.2">
      <c r="B581" s="92">
        <v>0.79305599999999998</v>
      </c>
      <c r="C581" s="92">
        <v>713.07259999999997</v>
      </c>
      <c r="D581" s="92">
        <v>98.050299999999993</v>
      </c>
      <c r="E581" s="92"/>
      <c r="F581" s="92">
        <v>0.79305599999999998</v>
      </c>
      <c r="G581" s="92">
        <v>713.18359999999996</v>
      </c>
      <c r="H581" s="92">
        <v>97.419799999999995</v>
      </c>
      <c r="I581" s="92"/>
      <c r="J581" s="93">
        <f t="shared" si="15"/>
        <v>0.11099999999999</v>
      </c>
    </row>
    <row r="582" spans="2:10" x14ac:dyDescent="0.2">
      <c r="B582" s="92">
        <v>0.79444400000000004</v>
      </c>
      <c r="C582" s="92">
        <v>713.26559999999995</v>
      </c>
      <c r="D582" s="92">
        <v>98.094499999999996</v>
      </c>
      <c r="E582" s="92"/>
      <c r="F582" s="92">
        <v>0.79444400000000004</v>
      </c>
      <c r="G582" s="92">
        <v>713.43449999999996</v>
      </c>
      <c r="H582" s="92">
        <v>97.471100000000007</v>
      </c>
      <c r="I582" s="92"/>
      <c r="J582" s="93">
        <f t="shared" si="15"/>
        <v>0.16890000000000782</v>
      </c>
    </row>
    <row r="583" spans="2:10" x14ac:dyDescent="0.2">
      <c r="B583" s="92">
        <v>0.79583300000000001</v>
      </c>
      <c r="C583" s="92">
        <v>713.48140000000001</v>
      </c>
      <c r="D583" s="92">
        <v>98.161600000000007</v>
      </c>
      <c r="E583" s="92"/>
      <c r="F583" s="92">
        <v>0.79583300000000001</v>
      </c>
      <c r="G583" s="92">
        <v>713.6481</v>
      </c>
      <c r="H583" s="92">
        <v>97.553899999999999</v>
      </c>
      <c r="I583" s="92"/>
      <c r="J583" s="93">
        <f t="shared" si="15"/>
        <v>0.16669999999999163</v>
      </c>
    </row>
    <row r="584" spans="2:10" x14ac:dyDescent="0.2">
      <c r="B584" s="92">
        <v>0.79722199999999999</v>
      </c>
      <c r="C584" s="92">
        <v>713.70280000000002</v>
      </c>
      <c r="D584" s="92">
        <v>98.222200000000001</v>
      </c>
      <c r="E584" s="92"/>
      <c r="F584" s="92">
        <v>0.79722199999999999</v>
      </c>
      <c r="G584" s="92">
        <v>713.85400000000004</v>
      </c>
      <c r="H584" s="92">
        <v>97.644900000000007</v>
      </c>
      <c r="I584" s="92"/>
      <c r="J584" s="93">
        <f t="shared" si="15"/>
        <v>0.1512000000000171</v>
      </c>
    </row>
    <row r="585" spans="2:10" x14ac:dyDescent="0.2">
      <c r="B585" s="92">
        <v>0.79861099999999996</v>
      </c>
      <c r="C585" s="92">
        <v>713.90689999999995</v>
      </c>
      <c r="D585" s="92">
        <v>98.315600000000003</v>
      </c>
      <c r="E585" s="92"/>
      <c r="F585" s="92">
        <v>0.79861099999999996</v>
      </c>
      <c r="G585" s="92">
        <v>714.10040000000004</v>
      </c>
      <c r="H585" s="92">
        <v>97.745800000000003</v>
      </c>
      <c r="I585" s="92"/>
      <c r="J585" s="93">
        <f t="shared" si="15"/>
        <v>0.19350000000008549</v>
      </c>
    </row>
    <row r="586" spans="2:10" x14ac:dyDescent="0.2">
      <c r="B586" s="92">
        <v>0.8</v>
      </c>
      <c r="C586" s="92">
        <v>714.13070000000005</v>
      </c>
      <c r="D586" s="92">
        <v>98.413899999999998</v>
      </c>
      <c r="E586" s="92"/>
      <c r="F586" s="92">
        <v>0.8</v>
      </c>
      <c r="G586" s="92">
        <v>714.27769999999998</v>
      </c>
      <c r="H586" s="92">
        <v>97.855000000000004</v>
      </c>
      <c r="I586" s="92"/>
      <c r="J586" s="93">
        <f t="shared" si="15"/>
        <v>0.14699999999993452</v>
      </c>
    </row>
    <row r="587" spans="2:10" x14ac:dyDescent="0.2">
      <c r="B587" s="92">
        <v>0.80138900000000002</v>
      </c>
      <c r="C587" s="92">
        <v>714.32510000000002</v>
      </c>
      <c r="D587" s="92">
        <v>98.5154</v>
      </c>
      <c r="E587" s="92"/>
      <c r="F587" s="92">
        <v>0.80138900000000002</v>
      </c>
      <c r="G587" s="92">
        <v>714.47680000000003</v>
      </c>
      <c r="H587" s="92">
        <v>97.974100000000007</v>
      </c>
      <c r="I587" s="92"/>
      <c r="J587" s="93">
        <f t="shared" ref="J587:J650" si="16">+ABS(G587-C587)</f>
        <v>0.15170000000000528</v>
      </c>
    </row>
    <row r="588" spans="2:10" x14ac:dyDescent="0.2">
      <c r="B588" s="92">
        <v>0.80277799999999999</v>
      </c>
      <c r="C588" s="92">
        <v>714.53549999999996</v>
      </c>
      <c r="D588" s="92">
        <v>98.617000000000004</v>
      </c>
      <c r="E588" s="92"/>
      <c r="F588" s="92">
        <v>0.80277799999999999</v>
      </c>
      <c r="G588" s="92">
        <v>714.69389999999999</v>
      </c>
      <c r="H588" s="92">
        <v>98.098200000000006</v>
      </c>
      <c r="I588" s="92"/>
      <c r="J588" s="93">
        <f t="shared" si="16"/>
        <v>0.15840000000002874</v>
      </c>
    </row>
    <row r="589" spans="2:10" x14ac:dyDescent="0.2">
      <c r="B589" s="92">
        <v>0.80416699999999997</v>
      </c>
      <c r="C589" s="92">
        <v>714.77449999999999</v>
      </c>
      <c r="D589" s="92">
        <v>98.734899999999996</v>
      </c>
      <c r="E589" s="92"/>
      <c r="F589" s="92">
        <v>0.80416699999999997</v>
      </c>
      <c r="G589" s="92">
        <v>714.93830000000003</v>
      </c>
      <c r="H589" s="92">
        <v>98.2273</v>
      </c>
      <c r="I589" s="92"/>
      <c r="J589" s="93">
        <f t="shared" si="16"/>
        <v>0.16380000000003747</v>
      </c>
    </row>
    <row r="590" spans="2:10" x14ac:dyDescent="0.2">
      <c r="B590" s="92">
        <v>0.80555600000000005</v>
      </c>
      <c r="C590" s="92">
        <v>714.99749999999995</v>
      </c>
      <c r="D590" s="92">
        <v>98.852900000000005</v>
      </c>
      <c r="E590" s="92"/>
      <c r="F590" s="92">
        <v>0.80555600000000005</v>
      </c>
      <c r="G590" s="92">
        <v>715.15449999999998</v>
      </c>
      <c r="H590" s="92">
        <v>98.356300000000005</v>
      </c>
      <c r="I590" s="92"/>
      <c r="J590" s="93">
        <f t="shared" si="16"/>
        <v>0.15700000000003911</v>
      </c>
    </row>
    <row r="591" spans="2:10" x14ac:dyDescent="0.2">
      <c r="B591" s="92">
        <v>0.80694399999999999</v>
      </c>
      <c r="C591" s="92">
        <v>715.1703</v>
      </c>
      <c r="D591" s="92">
        <v>98.967600000000004</v>
      </c>
      <c r="E591" s="92"/>
      <c r="F591" s="92">
        <v>0.80694399999999999</v>
      </c>
      <c r="G591" s="92">
        <v>715.35350000000005</v>
      </c>
      <c r="H591" s="92">
        <v>98.493700000000004</v>
      </c>
      <c r="I591" s="92"/>
      <c r="J591" s="93">
        <f t="shared" si="16"/>
        <v>0.18320000000005621</v>
      </c>
    </row>
    <row r="592" spans="2:10" x14ac:dyDescent="0.2">
      <c r="B592" s="92">
        <v>0.80833299999999997</v>
      </c>
      <c r="C592" s="92">
        <v>715.40250000000003</v>
      </c>
      <c r="D592" s="92">
        <v>99.090400000000002</v>
      </c>
      <c r="E592" s="92"/>
      <c r="F592" s="92">
        <v>0.80833299999999997</v>
      </c>
      <c r="G592" s="92">
        <v>715.57989999999995</v>
      </c>
      <c r="H592" s="92">
        <v>98.611199999999997</v>
      </c>
      <c r="I592" s="92"/>
      <c r="J592" s="93">
        <f t="shared" si="16"/>
        <v>0.17739999999992051</v>
      </c>
    </row>
    <row r="593" spans="2:10" x14ac:dyDescent="0.2">
      <c r="B593" s="92">
        <v>0.80972200000000005</v>
      </c>
      <c r="C593" s="92">
        <v>715.54719999999998</v>
      </c>
      <c r="D593" s="92">
        <v>99.21</v>
      </c>
      <c r="E593" s="92"/>
      <c r="F593" s="92">
        <v>0.80972200000000005</v>
      </c>
      <c r="G593" s="92">
        <v>715.78959999999995</v>
      </c>
      <c r="H593" s="92">
        <v>98.750200000000007</v>
      </c>
      <c r="I593" s="92"/>
      <c r="J593" s="93">
        <f t="shared" si="16"/>
        <v>0.24239999999997508</v>
      </c>
    </row>
    <row r="594" spans="2:10" x14ac:dyDescent="0.2">
      <c r="B594" s="92">
        <v>0.81111100000000003</v>
      </c>
      <c r="C594" s="92">
        <v>715.80110000000002</v>
      </c>
      <c r="D594" s="92">
        <v>99.326400000000007</v>
      </c>
      <c r="E594" s="92"/>
      <c r="F594" s="92">
        <v>0.81111100000000003</v>
      </c>
      <c r="G594" s="92">
        <v>716.03499999999997</v>
      </c>
      <c r="H594" s="92">
        <v>98.892499999999998</v>
      </c>
      <c r="I594" s="92"/>
      <c r="J594" s="93">
        <f t="shared" si="16"/>
        <v>0.2338999999999487</v>
      </c>
    </row>
    <row r="595" spans="2:10" x14ac:dyDescent="0.2">
      <c r="B595" s="92">
        <v>0.8125</v>
      </c>
      <c r="C595" s="92">
        <v>716.05840000000001</v>
      </c>
      <c r="D595" s="92">
        <v>99.4542</v>
      </c>
      <c r="E595" s="92"/>
      <c r="F595" s="92">
        <v>0.8125</v>
      </c>
      <c r="G595" s="92">
        <v>716.16690000000006</v>
      </c>
      <c r="H595" s="92">
        <v>99.028199999999998</v>
      </c>
      <c r="I595" s="92"/>
      <c r="J595" s="93">
        <f t="shared" si="16"/>
        <v>0.10850000000004911</v>
      </c>
    </row>
    <row r="596" spans="2:10" x14ac:dyDescent="0.2">
      <c r="B596" s="92">
        <v>0.81388899999999997</v>
      </c>
      <c r="C596" s="92">
        <v>716.22649999999999</v>
      </c>
      <c r="D596" s="92">
        <v>99.590199999999996</v>
      </c>
      <c r="E596" s="92"/>
      <c r="F596" s="92">
        <v>0.81388899999999997</v>
      </c>
      <c r="G596" s="92">
        <v>716.34</v>
      </c>
      <c r="H596" s="92">
        <v>99.162199999999999</v>
      </c>
      <c r="I596" s="92"/>
      <c r="J596" s="93">
        <f t="shared" si="16"/>
        <v>0.11350000000004457</v>
      </c>
    </row>
    <row r="597" spans="2:10" x14ac:dyDescent="0.2">
      <c r="B597" s="92">
        <v>0.81527799999999995</v>
      </c>
      <c r="C597" s="92">
        <v>716.38729999999998</v>
      </c>
      <c r="D597" s="92">
        <v>99.709800000000001</v>
      </c>
      <c r="E597" s="92"/>
      <c r="F597" s="92">
        <v>0.81527799999999995</v>
      </c>
      <c r="G597" s="92">
        <v>716.55460000000005</v>
      </c>
      <c r="H597" s="92">
        <v>99.301199999999994</v>
      </c>
      <c r="I597" s="92"/>
      <c r="J597" s="93">
        <f t="shared" si="16"/>
        <v>0.16730000000006839</v>
      </c>
    </row>
    <row r="598" spans="2:10" x14ac:dyDescent="0.2">
      <c r="B598" s="92">
        <v>0.81666700000000003</v>
      </c>
      <c r="C598" s="92">
        <v>716.54750000000001</v>
      </c>
      <c r="D598" s="92">
        <v>99.842600000000004</v>
      </c>
      <c r="E598" s="92"/>
      <c r="F598" s="92">
        <v>0.81666700000000003</v>
      </c>
      <c r="G598" s="92">
        <v>716.73540000000003</v>
      </c>
      <c r="H598" s="92">
        <v>99.4452</v>
      </c>
      <c r="I598" s="92"/>
      <c r="J598" s="93">
        <f t="shared" si="16"/>
        <v>0.18790000000001328</v>
      </c>
    </row>
    <row r="599" spans="2:10" x14ac:dyDescent="0.2">
      <c r="B599" s="92">
        <v>0.81805600000000001</v>
      </c>
      <c r="C599" s="92">
        <v>716.77160000000003</v>
      </c>
      <c r="D599" s="92">
        <v>99.975300000000004</v>
      </c>
      <c r="E599" s="92"/>
      <c r="F599" s="92">
        <v>0.81805600000000001</v>
      </c>
      <c r="G599" s="92">
        <v>716.88030000000003</v>
      </c>
      <c r="H599" s="92">
        <v>99.5792</v>
      </c>
      <c r="I599" s="92"/>
      <c r="J599" s="93">
        <f t="shared" si="16"/>
        <v>0.10869999999999891</v>
      </c>
    </row>
    <row r="600" spans="2:10" x14ac:dyDescent="0.2">
      <c r="B600" s="92">
        <v>0.81944399999999995</v>
      </c>
      <c r="C600" s="92">
        <v>716.85239999999999</v>
      </c>
      <c r="D600" s="92">
        <v>100.1015</v>
      </c>
      <c r="E600" s="92"/>
      <c r="F600" s="92">
        <v>0.81944399999999995</v>
      </c>
      <c r="G600" s="92">
        <v>717.02769999999998</v>
      </c>
      <c r="H600" s="92">
        <v>99.7166</v>
      </c>
      <c r="I600" s="92"/>
      <c r="J600" s="93">
        <f t="shared" si="16"/>
        <v>0.17529999999999291</v>
      </c>
    </row>
    <row r="601" spans="2:10" x14ac:dyDescent="0.2">
      <c r="B601" s="92">
        <v>0.82083300000000003</v>
      </c>
      <c r="C601" s="92">
        <v>717.0566</v>
      </c>
      <c r="D601" s="92">
        <v>100.2359</v>
      </c>
      <c r="E601" s="92"/>
      <c r="F601" s="92">
        <v>0.82083300000000003</v>
      </c>
      <c r="G601" s="92">
        <v>717.21010000000001</v>
      </c>
      <c r="H601" s="92">
        <v>99.843999999999994</v>
      </c>
      <c r="I601" s="92"/>
      <c r="J601" s="93">
        <f t="shared" si="16"/>
        <v>0.15350000000000819</v>
      </c>
    </row>
    <row r="602" spans="2:10" x14ac:dyDescent="0.2">
      <c r="B602" s="92">
        <v>0.82222200000000001</v>
      </c>
      <c r="C602" s="92">
        <v>717.23320000000001</v>
      </c>
      <c r="D602" s="92">
        <v>100.3622</v>
      </c>
      <c r="E602" s="92"/>
      <c r="F602" s="92">
        <v>0.82222200000000001</v>
      </c>
      <c r="G602" s="92">
        <v>717.40480000000002</v>
      </c>
      <c r="H602" s="92">
        <v>99.981399999999994</v>
      </c>
      <c r="I602" s="92"/>
      <c r="J602" s="93">
        <f t="shared" si="16"/>
        <v>0.17160000000001219</v>
      </c>
    </row>
    <row r="603" spans="2:10" x14ac:dyDescent="0.2">
      <c r="B603" s="92">
        <v>0.82361099999999998</v>
      </c>
      <c r="C603" s="92">
        <v>717.41890000000001</v>
      </c>
      <c r="D603" s="92">
        <v>100.4933</v>
      </c>
      <c r="E603" s="92"/>
      <c r="F603" s="92">
        <v>0.82361099999999998</v>
      </c>
      <c r="G603" s="92">
        <v>717.5498</v>
      </c>
      <c r="H603" s="92">
        <v>100.11539999999999</v>
      </c>
      <c r="I603" s="92"/>
      <c r="J603" s="93">
        <f t="shared" si="16"/>
        <v>0.13089999999999691</v>
      </c>
    </row>
    <row r="604" spans="2:10" x14ac:dyDescent="0.2">
      <c r="B604" s="92">
        <v>0.82499999999999996</v>
      </c>
      <c r="C604" s="92">
        <v>717.55930000000001</v>
      </c>
      <c r="D604" s="92">
        <v>100.6277</v>
      </c>
      <c r="E604" s="92"/>
      <c r="F604" s="92">
        <v>0.82499999999999996</v>
      </c>
      <c r="G604" s="92">
        <v>717.71029999999996</v>
      </c>
      <c r="H604" s="92">
        <v>100.25109999999999</v>
      </c>
      <c r="I604" s="92"/>
      <c r="J604" s="93">
        <f t="shared" si="16"/>
        <v>0.15099999999995362</v>
      </c>
    </row>
    <row r="605" spans="2:10" x14ac:dyDescent="0.2">
      <c r="B605" s="92">
        <v>0.82638900000000004</v>
      </c>
      <c r="C605" s="92">
        <v>717.74509999999998</v>
      </c>
      <c r="D605" s="92">
        <v>100.7589</v>
      </c>
      <c r="E605" s="92"/>
      <c r="F605" s="92">
        <v>0.82638900000000004</v>
      </c>
      <c r="G605" s="92">
        <v>717.93219999999997</v>
      </c>
      <c r="H605" s="92">
        <v>100.38679999999999</v>
      </c>
      <c r="I605" s="92"/>
      <c r="J605" s="93">
        <f t="shared" si="16"/>
        <v>0.18709999999998672</v>
      </c>
    </row>
    <row r="606" spans="2:10" x14ac:dyDescent="0.2">
      <c r="B606" s="92">
        <v>0.82777800000000001</v>
      </c>
      <c r="C606" s="92">
        <v>717.87739999999997</v>
      </c>
      <c r="D606" s="92">
        <v>100.89660000000001</v>
      </c>
      <c r="E606" s="92"/>
      <c r="F606" s="92">
        <v>0.82777800000000001</v>
      </c>
      <c r="G606" s="92">
        <v>718.07349999999997</v>
      </c>
      <c r="H606" s="92">
        <v>100.5159</v>
      </c>
      <c r="I606" s="92"/>
      <c r="J606" s="93">
        <f t="shared" si="16"/>
        <v>0.19610000000000127</v>
      </c>
    </row>
    <row r="607" spans="2:10" x14ac:dyDescent="0.2">
      <c r="B607" s="92">
        <v>0.82916699999999999</v>
      </c>
      <c r="C607" s="92">
        <v>718.07370000000003</v>
      </c>
      <c r="D607" s="92">
        <v>101.0343</v>
      </c>
      <c r="E607" s="92"/>
      <c r="F607" s="92">
        <v>0.82916699999999999</v>
      </c>
      <c r="G607" s="92">
        <v>718.2482</v>
      </c>
      <c r="H607" s="92">
        <v>100.6516</v>
      </c>
      <c r="I607" s="92"/>
      <c r="J607" s="93">
        <f t="shared" si="16"/>
        <v>0.17449999999996635</v>
      </c>
    </row>
    <row r="608" spans="2:10" x14ac:dyDescent="0.2">
      <c r="B608" s="92">
        <v>0.83055599999999996</v>
      </c>
      <c r="C608" s="92">
        <v>718.2183</v>
      </c>
      <c r="D608" s="92">
        <v>101.16719999999999</v>
      </c>
      <c r="E608" s="92"/>
      <c r="F608" s="92">
        <v>0.83055599999999996</v>
      </c>
      <c r="G608" s="92">
        <v>718.41959999999995</v>
      </c>
      <c r="H608" s="92">
        <v>100.789</v>
      </c>
      <c r="I608" s="92"/>
      <c r="J608" s="93">
        <f t="shared" si="16"/>
        <v>0.20129999999994652</v>
      </c>
    </row>
    <row r="609" spans="2:10" x14ac:dyDescent="0.2">
      <c r="B609" s="92">
        <v>0.83194400000000002</v>
      </c>
      <c r="C609" s="92">
        <v>718.41459999999995</v>
      </c>
      <c r="D609" s="92">
        <v>101.3049</v>
      </c>
      <c r="E609" s="92"/>
      <c r="F609" s="92">
        <v>0.83194400000000002</v>
      </c>
      <c r="G609" s="92">
        <v>718.5711</v>
      </c>
      <c r="H609" s="92">
        <v>100.93129999999999</v>
      </c>
      <c r="I609" s="92"/>
      <c r="J609" s="93">
        <f t="shared" si="16"/>
        <v>0.15650000000005093</v>
      </c>
    </row>
    <row r="610" spans="2:10" x14ac:dyDescent="0.2">
      <c r="B610" s="92">
        <v>0.83333299999999999</v>
      </c>
      <c r="C610" s="92">
        <v>718.63879999999995</v>
      </c>
      <c r="D610" s="92">
        <v>101.4443</v>
      </c>
      <c r="E610" s="92"/>
      <c r="F610" s="92">
        <v>0.83333299999999999</v>
      </c>
      <c r="G610" s="92">
        <v>718.78980000000001</v>
      </c>
      <c r="H610" s="92">
        <v>101.06870000000001</v>
      </c>
      <c r="I610" s="92"/>
      <c r="J610" s="93">
        <f t="shared" si="16"/>
        <v>0.1510000000000673</v>
      </c>
    </row>
    <row r="611" spans="2:10" x14ac:dyDescent="0.2">
      <c r="B611" s="92">
        <v>0.83472199999999996</v>
      </c>
      <c r="C611" s="92">
        <v>718.78189999999995</v>
      </c>
      <c r="D611" s="92">
        <v>101.5821</v>
      </c>
      <c r="E611" s="92"/>
      <c r="F611" s="92">
        <v>0.83472199999999996</v>
      </c>
      <c r="G611" s="92">
        <v>718.96500000000003</v>
      </c>
      <c r="H611" s="92">
        <v>101.211</v>
      </c>
      <c r="I611" s="92"/>
      <c r="J611" s="93">
        <f t="shared" si="16"/>
        <v>0.18310000000008131</v>
      </c>
    </row>
    <row r="612" spans="2:10" x14ac:dyDescent="0.2">
      <c r="B612" s="92">
        <v>0.83611100000000005</v>
      </c>
      <c r="C612" s="92">
        <v>718.94989999999996</v>
      </c>
      <c r="D612" s="92">
        <v>101.7313</v>
      </c>
      <c r="E612" s="92"/>
      <c r="F612" s="92">
        <v>0.83611100000000005</v>
      </c>
      <c r="G612" s="92">
        <v>719.15350000000001</v>
      </c>
      <c r="H612" s="92">
        <v>101.3583</v>
      </c>
      <c r="I612" s="92"/>
      <c r="J612" s="93">
        <f t="shared" si="16"/>
        <v>0.2036000000000513</v>
      </c>
    </row>
    <row r="613" spans="2:10" x14ac:dyDescent="0.2">
      <c r="B613" s="92">
        <v>0.83750000000000002</v>
      </c>
      <c r="C613" s="92">
        <v>719.13789999999995</v>
      </c>
      <c r="D613" s="92">
        <v>101.879</v>
      </c>
      <c r="E613" s="92"/>
      <c r="F613" s="92">
        <v>0.83750000000000002</v>
      </c>
      <c r="G613" s="92">
        <v>719.29570000000001</v>
      </c>
      <c r="H613" s="92">
        <v>101.50069999999999</v>
      </c>
      <c r="I613" s="92"/>
      <c r="J613" s="93">
        <f t="shared" si="16"/>
        <v>0.15780000000006567</v>
      </c>
    </row>
    <row r="614" spans="2:10" x14ac:dyDescent="0.2">
      <c r="B614" s="92">
        <v>0.838889</v>
      </c>
      <c r="C614" s="92">
        <v>719.34230000000002</v>
      </c>
      <c r="D614" s="92">
        <v>102.02</v>
      </c>
      <c r="E614" s="92"/>
      <c r="F614" s="92">
        <v>0.838889</v>
      </c>
      <c r="G614" s="92">
        <v>719.46420000000001</v>
      </c>
      <c r="H614" s="92">
        <v>101.6464</v>
      </c>
      <c r="I614" s="92"/>
      <c r="J614" s="93">
        <f t="shared" si="16"/>
        <v>0.12189999999998236</v>
      </c>
    </row>
    <row r="615" spans="2:10" x14ac:dyDescent="0.2">
      <c r="B615" s="92">
        <v>0.84027799999999997</v>
      </c>
      <c r="C615" s="92">
        <v>719.47170000000006</v>
      </c>
      <c r="D615" s="92">
        <v>102.1677</v>
      </c>
      <c r="E615" s="92"/>
      <c r="F615" s="92">
        <v>0.84027799999999997</v>
      </c>
      <c r="G615" s="92">
        <v>719.66700000000003</v>
      </c>
      <c r="H615" s="92">
        <v>101.7937</v>
      </c>
      <c r="I615" s="92"/>
      <c r="J615" s="93">
        <f t="shared" si="16"/>
        <v>0.19529999999997472</v>
      </c>
    </row>
    <row r="616" spans="2:10" x14ac:dyDescent="0.2">
      <c r="B616" s="92">
        <v>0.84166700000000005</v>
      </c>
      <c r="C616" s="92">
        <v>719.68349999999998</v>
      </c>
      <c r="D616" s="92">
        <v>102.3252</v>
      </c>
      <c r="E616" s="92"/>
      <c r="F616" s="92">
        <v>0.84166700000000005</v>
      </c>
      <c r="G616" s="92">
        <v>719.85609999999997</v>
      </c>
      <c r="H616" s="92">
        <v>101.94759999999999</v>
      </c>
      <c r="I616" s="92"/>
      <c r="J616" s="93">
        <f t="shared" si="16"/>
        <v>0.17259999999998854</v>
      </c>
    </row>
    <row r="617" spans="2:10" x14ac:dyDescent="0.2">
      <c r="B617" s="92">
        <v>0.84305600000000003</v>
      </c>
      <c r="C617" s="92">
        <v>719.81389999999999</v>
      </c>
      <c r="D617" s="92">
        <v>102.48099999999999</v>
      </c>
      <c r="E617" s="92"/>
      <c r="F617" s="92">
        <v>0.84305600000000003</v>
      </c>
      <c r="G617" s="92">
        <v>720.02020000000005</v>
      </c>
      <c r="H617" s="92">
        <v>102.09990000000001</v>
      </c>
      <c r="I617" s="92"/>
      <c r="J617" s="93">
        <f t="shared" si="16"/>
        <v>0.20630000000005566</v>
      </c>
    </row>
    <row r="618" spans="2:10" x14ac:dyDescent="0.2">
      <c r="B618" s="92">
        <v>0.84444399999999997</v>
      </c>
      <c r="C618" s="92">
        <v>720.03009999999995</v>
      </c>
      <c r="D618" s="92">
        <v>102.63030000000001</v>
      </c>
      <c r="E618" s="92"/>
      <c r="F618" s="92">
        <v>0.84444399999999997</v>
      </c>
      <c r="G618" s="92">
        <v>720.21280000000002</v>
      </c>
      <c r="H618" s="92">
        <v>102.2522</v>
      </c>
      <c r="I618" s="92"/>
      <c r="J618" s="93">
        <f t="shared" si="16"/>
        <v>0.18270000000006803</v>
      </c>
    </row>
    <row r="619" spans="2:10" x14ac:dyDescent="0.2">
      <c r="B619" s="92">
        <v>0.84583299999999995</v>
      </c>
      <c r="C619" s="92">
        <v>720.26199999999994</v>
      </c>
      <c r="D619" s="92">
        <v>102.78619999999999</v>
      </c>
      <c r="E619" s="92"/>
      <c r="F619" s="92">
        <v>0.84583299999999995</v>
      </c>
      <c r="G619" s="92">
        <v>720.35900000000004</v>
      </c>
      <c r="H619" s="92">
        <v>102.3995</v>
      </c>
      <c r="I619" s="92"/>
      <c r="J619" s="93">
        <f t="shared" si="16"/>
        <v>9.7000000000093678E-2</v>
      </c>
    </row>
    <row r="620" spans="2:10" x14ac:dyDescent="0.2">
      <c r="B620" s="92">
        <v>0.84722200000000003</v>
      </c>
      <c r="C620" s="92">
        <v>720.37189999999998</v>
      </c>
      <c r="D620" s="92">
        <v>102.929</v>
      </c>
      <c r="E620" s="92"/>
      <c r="F620" s="92">
        <v>0.84722200000000003</v>
      </c>
      <c r="G620" s="92">
        <v>720.52290000000005</v>
      </c>
      <c r="H620" s="92">
        <v>102.54519999999999</v>
      </c>
      <c r="I620" s="92"/>
      <c r="J620" s="93">
        <f t="shared" si="16"/>
        <v>0.1510000000000673</v>
      </c>
    </row>
    <row r="621" spans="2:10" x14ac:dyDescent="0.2">
      <c r="B621" s="92">
        <v>0.848611</v>
      </c>
      <c r="C621" s="92">
        <v>720.52940000000001</v>
      </c>
      <c r="D621" s="92">
        <v>103.0783</v>
      </c>
      <c r="E621" s="92"/>
      <c r="F621" s="92">
        <v>0.848611</v>
      </c>
      <c r="G621" s="92">
        <v>720.78510000000006</v>
      </c>
      <c r="H621" s="92">
        <v>102.6892</v>
      </c>
      <c r="I621" s="92"/>
      <c r="J621" s="93">
        <f t="shared" si="16"/>
        <v>0.25570000000004711</v>
      </c>
    </row>
    <row r="622" spans="2:10" x14ac:dyDescent="0.2">
      <c r="B622" s="92">
        <v>0.85</v>
      </c>
      <c r="C622" s="92">
        <v>720.72090000000003</v>
      </c>
      <c r="D622" s="92">
        <v>103.2162</v>
      </c>
      <c r="E622" s="92"/>
      <c r="F622" s="92">
        <v>0.85</v>
      </c>
      <c r="G622" s="92">
        <v>720.928</v>
      </c>
      <c r="H622" s="92">
        <v>102.8382</v>
      </c>
      <c r="I622" s="92"/>
      <c r="J622" s="93">
        <f t="shared" si="16"/>
        <v>0.20709999999996853</v>
      </c>
    </row>
    <row r="623" spans="2:10" x14ac:dyDescent="0.2">
      <c r="B623" s="92">
        <v>0.85138899999999995</v>
      </c>
      <c r="C623" s="92">
        <v>720.90020000000004</v>
      </c>
      <c r="D623" s="92">
        <v>103.35899999999999</v>
      </c>
      <c r="E623" s="92"/>
      <c r="F623" s="92">
        <v>0.85138899999999995</v>
      </c>
      <c r="G623" s="92">
        <v>721.09860000000003</v>
      </c>
      <c r="H623" s="92">
        <v>102.9739</v>
      </c>
      <c r="I623" s="92"/>
      <c r="J623" s="93">
        <f t="shared" si="16"/>
        <v>0.19839999999999236</v>
      </c>
    </row>
    <row r="624" spans="2:10" x14ac:dyDescent="0.2">
      <c r="B624" s="92">
        <v>0.85277800000000004</v>
      </c>
      <c r="C624" s="92">
        <v>721.09180000000003</v>
      </c>
      <c r="D624" s="92">
        <v>103.4969</v>
      </c>
      <c r="E624" s="92"/>
      <c r="F624" s="92">
        <v>0.85277800000000004</v>
      </c>
      <c r="G624" s="92">
        <v>721.31410000000005</v>
      </c>
      <c r="H624" s="92">
        <v>103.10639999999999</v>
      </c>
      <c r="I624" s="92"/>
      <c r="J624" s="93">
        <f t="shared" si="16"/>
        <v>0.22230000000001837</v>
      </c>
    </row>
    <row r="625" spans="2:10" x14ac:dyDescent="0.2">
      <c r="B625" s="92">
        <v>0.85416700000000001</v>
      </c>
      <c r="C625" s="92">
        <v>721.29790000000003</v>
      </c>
      <c r="D625" s="92">
        <v>103.6397</v>
      </c>
      <c r="E625" s="92"/>
      <c r="F625" s="92">
        <v>0.85416700000000001</v>
      </c>
      <c r="G625" s="92">
        <v>721.42949999999996</v>
      </c>
      <c r="H625" s="92">
        <v>103.2504</v>
      </c>
      <c r="I625" s="92"/>
      <c r="J625" s="93">
        <f t="shared" si="16"/>
        <v>0.13159999999993488</v>
      </c>
    </row>
    <row r="626" spans="2:10" x14ac:dyDescent="0.2">
      <c r="B626" s="92">
        <v>0.85555599999999998</v>
      </c>
      <c r="C626" s="92">
        <v>721.49329999999998</v>
      </c>
      <c r="D626" s="92">
        <v>103.7825</v>
      </c>
      <c r="E626" s="92"/>
      <c r="F626" s="92">
        <v>0.85555599999999998</v>
      </c>
      <c r="G626" s="92">
        <v>721.67139999999995</v>
      </c>
      <c r="H626" s="92">
        <v>103.3862</v>
      </c>
      <c r="I626" s="92"/>
      <c r="J626" s="93">
        <f t="shared" si="16"/>
        <v>0.17809999999997217</v>
      </c>
    </row>
    <row r="627" spans="2:10" x14ac:dyDescent="0.2">
      <c r="B627" s="92">
        <v>0.85694400000000004</v>
      </c>
      <c r="C627" s="92">
        <v>721.68629999999996</v>
      </c>
      <c r="D627" s="92">
        <v>103.922</v>
      </c>
      <c r="E627" s="92"/>
      <c r="F627" s="92">
        <v>0.85694400000000004</v>
      </c>
      <c r="G627" s="92">
        <v>721.79219999999998</v>
      </c>
      <c r="H627" s="92">
        <v>103.51860000000001</v>
      </c>
      <c r="I627" s="92"/>
      <c r="J627" s="93">
        <f t="shared" si="16"/>
        <v>0.10590000000001965</v>
      </c>
    </row>
    <row r="628" spans="2:10" x14ac:dyDescent="0.2">
      <c r="B628" s="92">
        <v>0.85833300000000001</v>
      </c>
      <c r="C628" s="92">
        <v>721.86220000000003</v>
      </c>
      <c r="D628" s="92">
        <v>104.0534</v>
      </c>
      <c r="E628" s="92"/>
      <c r="F628" s="92">
        <v>0.85833300000000001</v>
      </c>
      <c r="G628" s="92">
        <v>722.05219999999997</v>
      </c>
      <c r="H628" s="92">
        <v>103.6593</v>
      </c>
      <c r="I628" s="92"/>
      <c r="J628" s="93">
        <f t="shared" si="16"/>
        <v>0.18999999999994088</v>
      </c>
    </row>
    <row r="629" spans="2:10" x14ac:dyDescent="0.2">
      <c r="B629" s="92">
        <v>0.85972199999999999</v>
      </c>
      <c r="C629" s="92">
        <v>721.97360000000003</v>
      </c>
      <c r="D629" s="92">
        <v>104.1978</v>
      </c>
      <c r="E629" s="92"/>
      <c r="F629" s="92">
        <v>0.85972199999999999</v>
      </c>
      <c r="G629" s="92">
        <v>722.19970000000001</v>
      </c>
      <c r="H629" s="92">
        <v>103.8017</v>
      </c>
      <c r="I629" s="92"/>
      <c r="J629" s="93">
        <f t="shared" si="16"/>
        <v>0.22609999999997399</v>
      </c>
    </row>
    <row r="630" spans="2:10" x14ac:dyDescent="0.2">
      <c r="B630" s="92">
        <v>0.86111099999999996</v>
      </c>
      <c r="C630" s="92">
        <v>722.20659999999998</v>
      </c>
      <c r="D630" s="92">
        <v>104.3407</v>
      </c>
      <c r="E630" s="92"/>
      <c r="F630" s="92">
        <v>0.86111099999999996</v>
      </c>
      <c r="G630" s="92">
        <v>722.39850000000001</v>
      </c>
      <c r="H630" s="92">
        <v>103.9491</v>
      </c>
      <c r="I630" s="92"/>
      <c r="J630" s="93">
        <f t="shared" si="16"/>
        <v>0.19190000000003238</v>
      </c>
    </row>
    <row r="631" spans="2:10" x14ac:dyDescent="0.2">
      <c r="B631" s="92">
        <v>0.86250000000000004</v>
      </c>
      <c r="C631" s="92">
        <v>722.36320000000001</v>
      </c>
      <c r="D631" s="92">
        <v>104.4885</v>
      </c>
      <c r="E631" s="92"/>
      <c r="F631" s="92">
        <v>0.86250000000000004</v>
      </c>
      <c r="G631" s="92">
        <v>722.58529999999996</v>
      </c>
      <c r="H631" s="92">
        <v>104.09310000000001</v>
      </c>
      <c r="I631" s="92"/>
      <c r="J631" s="93">
        <f t="shared" si="16"/>
        <v>0.22209999999995489</v>
      </c>
    </row>
    <row r="632" spans="2:10" x14ac:dyDescent="0.2">
      <c r="B632" s="92">
        <v>0.86388900000000002</v>
      </c>
      <c r="C632" s="92">
        <v>722.5326</v>
      </c>
      <c r="D632" s="92">
        <v>104.6527</v>
      </c>
      <c r="E632" s="92"/>
      <c r="F632" s="92">
        <v>0.86388900000000002</v>
      </c>
      <c r="G632" s="92">
        <v>722.75130000000001</v>
      </c>
      <c r="H632" s="92">
        <v>104.2471</v>
      </c>
      <c r="I632" s="92"/>
      <c r="J632" s="93">
        <f t="shared" si="16"/>
        <v>0.21870000000001255</v>
      </c>
    </row>
    <row r="633" spans="2:10" x14ac:dyDescent="0.2">
      <c r="B633" s="92">
        <v>0.86527799999999999</v>
      </c>
      <c r="C633" s="92">
        <v>722.7346</v>
      </c>
      <c r="D633" s="92">
        <v>104.8038</v>
      </c>
      <c r="E633" s="92"/>
      <c r="F633" s="92">
        <v>0.86527799999999999</v>
      </c>
      <c r="G633" s="92">
        <v>722.94110000000001</v>
      </c>
      <c r="H633" s="92">
        <v>104.4011</v>
      </c>
      <c r="I633" s="92"/>
      <c r="J633" s="93">
        <f t="shared" si="16"/>
        <v>0.20650000000000546</v>
      </c>
    </row>
    <row r="634" spans="2:10" x14ac:dyDescent="0.2">
      <c r="B634" s="92">
        <v>0.86666699999999997</v>
      </c>
      <c r="C634" s="92">
        <v>722.90589999999997</v>
      </c>
      <c r="D634" s="92">
        <v>104.95650000000001</v>
      </c>
      <c r="E634" s="92"/>
      <c r="F634" s="92">
        <v>0.86666699999999997</v>
      </c>
      <c r="G634" s="92">
        <v>723.10760000000005</v>
      </c>
      <c r="H634" s="92">
        <v>104.5617</v>
      </c>
      <c r="I634" s="92"/>
      <c r="J634" s="93">
        <f t="shared" si="16"/>
        <v>0.20170000000007349</v>
      </c>
    </row>
    <row r="635" spans="2:10" x14ac:dyDescent="0.2">
      <c r="B635" s="92">
        <v>0.86805600000000005</v>
      </c>
      <c r="C635" s="92">
        <v>723.13199999999995</v>
      </c>
      <c r="D635" s="92">
        <v>105.1109</v>
      </c>
      <c r="E635" s="92"/>
      <c r="F635" s="92">
        <v>0.86805600000000005</v>
      </c>
      <c r="G635" s="92">
        <v>723.27629999999999</v>
      </c>
      <c r="H635" s="92">
        <v>104.71899999999999</v>
      </c>
      <c r="I635" s="92"/>
      <c r="J635" s="93">
        <f t="shared" si="16"/>
        <v>0.14430000000004384</v>
      </c>
    </row>
    <row r="636" spans="2:10" x14ac:dyDescent="0.2">
      <c r="B636" s="92">
        <v>0.86944399999999999</v>
      </c>
      <c r="C636" s="92">
        <v>723.34</v>
      </c>
      <c r="D636" s="92">
        <v>105.2834</v>
      </c>
      <c r="E636" s="92"/>
      <c r="F636" s="92">
        <v>0.86944399999999999</v>
      </c>
      <c r="G636" s="92">
        <v>723.51499999999999</v>
      </c>
      <c r="H636" s="92">
        <v>104.8747</v>
      </c>
      <c r="I636" s="92"/>
      <c r="J636" s="93">
        <f t="shared" si="16"/>
        <v>0.17499999999995453</v>
      </c>
    </row>
    <row r="637" spans="2:10" x14ac:dyDescent="0.2">
      <c r="B637" s="92">
        <v>0.87083299999999997</v>
      </c>
      <c r="C637" s="92">
        <v>723.50980000000004</v>
      </c>
      <c r="D637" s="92">
        <v>105.44110000000001</v>
      </c>
      <c r="E637" s="92"/>
      <c r="F637" s="92">
        <v>0.87083299999999997</v>
      </c>
      <c r="G637" s="92">
        <v>723.67460000000005</v>
      </c>
      <c r="H637" s="92">
        <v>105.0386</v>
      </c>
      <c r="I637" s="92"/>
      <c r="J637" s="93">
        <f t="shared" si="16"/>
        <v>0.16480000000001382</v>
      </c>
    </row>
    <row r="638" spans="2:10" x14ac:dyDescent="0.2">
      <c r="B638" s="92">
        <v>0.87222200000000005</v>
      </c>
      <c r="C638" s="92">
        <v>723.69290000000001</v>
      </c>
      <c r="D638" s="92">
        <v>105.60209999999999</v>
      </c>
      <c r="E638" s="92"/>
      <c r="F638" s="92">
        <v>0.87222200000000005</v>
      </c>
      <c r="G638" s="92">
        <v>723.89700000000005</v>
      </c>
      <c r="H638" s="92">
        <v>105.19759999999999</v>
      </c>
      <c r="I638" s="92"/>
      <c r="J638" s="93">
        <f t="shared" si="16"/>
        <v>0.20410000000003947</v>
      </c>
    </row>
    <row r="639" spans="2:10" x14ac:dyDescent="0.2">
      <c r="B639" s="92">
        <v>0.87361100000000003</v>
      </c>
      <c r="C639" s="92">
        <v>723.92430000000002</v>
      </c>
      <c r="D639" s="92">
        <v>105.76309999999999</v>
      </c>
      <c r="E639" s="92"/>
      <c r="F639" s="92">
        <v>0.87361100000000003</v>
      </c>
      <c r="G639" s="92">
        <v>724.0018</v>
      </c>
      <c r="H639" s="92">
        <v>105.3582</v>
      </c>
      <c r="I639" s="92"/>
      <c r="J639" s="93">
        <f t="shared" si="16"/>
        <v>7.7499999999986358E-2</v>
      </c>
    </row>
    <row r="640" spans="2:10" x14ac:dyDescent="0.2">
      <c r="B640" s="92">
        <v>0.875</v>
      </c>
      <c r="C640" s="92">
        <v>724.03380000000004</v>
      </c>
      <c r="D640" s="92">
        <v>105.9258</v>
      </c>
      <c r="E640" s="92"/>
      <c r="F640" s="92">
        <v>0.875</v>
      </c>
      <c r="G640" s="92">
        <v>724.15390000000002</v>
      </c>
      <c r="H640" s="92">
        <v>105.51220000000001</v>
      </c>
      <c r="I640" s="92"/>
      <c r="J640" s="93">
        <f t="shared" si="16"/>
        <v>0.12009999999997945</v>
      </c>
    </row>
    <row r="641" spans="2:10" x14ac:dyDescent="0.2">
      <c r="B641" s="92">
        <v>0.87638899999999997</v>
      </c>
      <c r="C641" s="92">
        <v>724.10479999999995</v>
      </c>
      <c r="D641" s="92">
        <v>106.0802</v>
      </c>
      <c r="E641" s="92"/>
      <c r="F641" s="92">
        <v>0.87638899999999997</v>
      </c>
      <c r="G641" s="92">
        <v>724.29780000000005</v>
      </c>
      <c r="H641" s="92">
        <v>105.6679</v>
      </c>
      <c r="I641" s="92"/>
      <c r="J641" s="93">
        <f t="shared" si="16"/>
        <v>0.19300000000009732</v>
      </c>
    </row>
    <row r="642" spans="2:10" x14ac:dyDescent="0.2">
      <c r="B642" s="92">
        <v>0.87777799999999995</v>
      </c>
      <c r="C642" s="92">
        <v>724.27800000000002</v>
      </c>
      <c r="D642" s="92">
        <v>106.2281</v>
      </c>
      <c r="E642" s="92"/>
      <c r="F642" s="92">
        <v>0.87777799999999995</v>
      </c>
      <c r="G642" s="92">
        <v>724.41719999999998</v>
      </c>
      <c r="H642" s="92">
        <v>105.8103</v>
      </c>
      <c r="I642" s="92"/>
      <c r="J642" s="93">
        <f t="shared" si="16"/>
        <v>0.1391999999999598</v>
      </c>
    </row>
    <row r="643" spans="2:10" x14ac:dyDescent="0.2">
      <c r="B643" s="92">
        <v>0.87916700000000003</v>
      </c>
      <c r="C643" s="92">
        <v>724.36059999999998</v>
      </c>
      <c r="D643" s="92">
        <v>106.3629</v>
      </c>
      <c r="E643" s="92"/>
      <c r="F643" s="92">
        <v>0.87916700000000003</v>
      </c>
      <c r="G643" s="92">
        <v>724.49599999999998</v>
      </c>
      <c r="H643" s="92">
        <v>105.9495</v>
      </c>
      <c r="I643" s="92"/>
      <c r="J643" s="93">
        <f t="shared" si="16"/>
        <v>0.13540000000000418</v>
      </c>
    </row>
    <row r="644" spans="2:10" x14ac:dyDescent="0.2">
      <c r="B644" s="92">
        <v>0.88055600000000001</v>
      </c>
      <c r="C644" s="92">
        <v>724.43219999999997</v>
      </c>
      <c r="D644" s="92">
        <v>106.5042</v>
      </c>
      <c r="E644" s="92"/>
      <c r="F644" s="92">
        <v>0.88055600000000001</v>
      </c>
      <c r="G644" s="92">
        <v>724.50750000000005</v>
      </c>
      <c r="H644" s="92">
        <v>106.0753</v>
      </c>
      <c r="I644" s="92"/>
      <c r="J644" s="93">
        <f t="shared" si="16"/>
        <v>7.5300000000083855E-2</v>
      </c>
    </row>
    <row r="645" spans="2:10" x14ac:dyDescent="0.2">
      <c r="B645" s="92">
        <v>0.88194399999999995</v>
      </c>
      <c r="C645" s="92">
        <v>724.38459999999998</v>
      </c>
      <c r="D645" s="92">
        <v>106.6439</v>
      </c>
      <c r="E645" s="92"/>
      <c r="F645" s="92">
        <v>0.88194399999999995</v>
      </c>
      <c r="G645" s="92">
        <v>724.50469999999996</v>
      </c>
      <c r="H645" s="92">
        <v>106.2012</v>
      </c>
      <c r="I645" s="92"/>
      <c r="J645" s="93">
        <f t="shared" si="16"/>
        <v>0.12009999999997945</v>
      </c>
    </row>
    <row r="646" spans="2:10" x14ac:dyDescent="0.2">
      <c r="B646" s="92">
        <v>0.88333300000000003</v>
      </c>
      <c r="C646" s="92">
        <v>724.476</v>
      </c>
      <c r="D646" s="92">
        <v>106.7623</v>
      </c>
      <c r="E646" s="92"/>
      <c r="F646" s="92">
        <v>0.88333300000000003</v>
      </c>
      <c r="G646" s="92">
        <v>724.51419999999996</v>
      </c>
      <c r="H646" s="92">
        <v>106.3122</v>
      </c>
      <c r="I646" s="92"/>
      <c r="J646" s="93">
        <f t="shared" si="16"/>
        <v>3.819999999996071E-2</v>
      </c>
    </row>
    <row r="647" spans="2:10" x14ac:dyDescent="0.2">
      <c r="B647" s="92">
        <v>0.88472200000000001</v>
      </c>
      <c r="C647" s="92">
        <v>724.44179999999994</v>
      </c>
      <c r="D647" s="92">
        <v>106.8708</v>
      </c>
      <c r="E647" s="92"/>
      <c r="F647" s="92">
        <v>0.88472200000000001</v>
      </c>
      <c r="G647" s="92">
        <v>724.57249999999999</v>
      </c>
      <c r="H647" s="92">
        <v>106.3999</v>
      </c>
      <c r="I647" s="92"/>
      <c r="J647" s="93">
        <f t="shared" si="16"/>
        <v>0.13070000000004711</v>
      </c>
    </row>
    <row r="648" spans="2:10" x14ac:dyDescent="0.2">
      <c r="B648" s="92">
        <v>0.88611099999999998</v>
      </c>
      <c r="C648" s="92">
        <v>724.43529999999998</v>
      </c>
      <c r="D648" s="92">
        <v>106.95950000000001</v>
      </c>
      <c r="E648" s="92"/>
      <c r="F648" s="92">
        <v>0.88611099999999998</v>
      </c>
      <c r="G648" s="92">
        <v>724.54690000000005</v>
      </c>
      <c r="H648" s="92">
        <v>106.4778</v>
      </c>
      <c r="I648" s="92"/>
      <c r="J648" s="93">
        <f t="shared" si="16"/>
        <v>0.11160000000006676</v>
      </c>
    </row>
    <row r="649" spans="2:10" x14ac:dyDescent="0.2">
      <c r="B649" s="92">
        <v>0.88749999999999996</v>
      </c>
      <c r="C649" s="92">
        <v>724.40530000000001</v>
      </c>
      <c r="D649" s="92">
        <v>107.03189999999999</v>
      </c>
      <c r="E649" s="92"/>
      <c r="F649" s="92">
        <v>0.88749999999999996</v>
      </c>
      <c r="G649" s="92">
        <v>724.52620000000002</v>
      </c>
      <c r="H649" s="92">
        <v>106.53740000000001</v>
      </c>
      <c r="I649" s="92"/>
      <c r="J649" s="93">
        <f t="shared" si="16"/>
        <v>0.120900000000006</v>
      </c>
    </row>
    <row r="650" spans="2:10" x14ac:dyDescent="0.2">
      <c r="B650" s="92">
        <v>0.88888900000000004</v>
      </c>
      <c r="C650" s="92">
        <v>724.46050000000002</v>
      </c>
      <c r="D650" s="92">
        <v>107.0894</v>
      </c>
      <c r="E650" s="92"/>
      <c r="F650" s="92">
        <v>0.88888900000000004</v>
      </c>
      <c r="G650" s="92">
        <v>724.50649999999996</v>
      </c>
      <c r="H650" s="92">
        <v>106.5921</v>
      </c>
      <c r="I650" s="92"/>
      <c r="J650" s="93">
        <f t="shared" si="16"/>
        <v>4.5999999999935426E-2</v>
      </c>
    </row>
    <row r="651" spans="2:10" x14ac:dyDescent="0.2">
      <c r="B651" s="92">
        <v>0.89027800000000001</v>
      </c>
      <c r="C651" s="92">
        <v>724.45</v>
      </c>
      <c r="D651" s="92">
        <v>107.14530000000001</v>
      </c>
      <c r="E651" s="92"/>
      <c r="F651" s="92">
        <v>0.89027800000000001</v>
      </c>
      <c r="G651" s="92">
        <v>724.53980000000001</v>
      </c>
      <c r="H651" s="92">
        <v>106.63509999999999</v>
      </c>
      <c r="I651" s="92"/>
      <c r="J651" s="93">
        <f t="shared" ref="J651:J714" si="17">+ABS(G651-C651)</f>
        <v>8.979999999996835E-2</v>
      </c>
    </row>
    <row r="652" spans="2:10" x14ac:dyDescent="0.2">
      <c r="B652" s="92">
        <v>0.89166699999999999</v>
      </c>
      <c r="C652" s="92">
        <v>724.45709999999997</v>
      </c>
      <c r="D652" s="92">
        <v>107.1962</v>
      </c>
      <c r="E652" s="92"/>
      <c r="F652" s="92">
        <v>0.89166699999999999</v>
      </c>
      <c r="G652" s="92">
        <v>724.50980000000004</v>
      </c>
      <c r="H652" s="92">
        <v>106.67659999999999</v>
      </c>
      <c r="I652" s="92"/>
      <c r="J652" s="93">
        <f t="shared" si="17"/>
        <v>5.2700000000072578E-2</v>
      </c>
    </row>
    <row r="653" spans="2:10" x14ac:dyDescent="0.2">
      <c r="B653" s="92">
        <v>0.89305599999999996</v>
      </c>
      <c r="C653" s="92">
        <v>724.45259999999996</v>
      </c>
      <c r="D653" s="92">
        <v>107.239</v>
      </c>
      <c r="E653" s="92"/>
      <c r="F653" s="92">
        <v>0.89305599999999996</v>
      </c>
      <c r="G653" s="92">
        <v>724.49570000000006</v>
      </c>
      <c r="H653" s="92">
        <v>106.70140000000001</v>
      </c>
      <c r="I653" s="92"/>
      <c r="J653" s="93">
        <f t="shared" si="17"/>
        <v>4.3100000000094951E-2</v>
      </c>
    </row>
    <row r="654" spans="2:10" x14ac:dyDescent="0.2">
      <c r="B654" s="92">
        <v>0.89444400000000002</v>
      </c>
      <c r="C654" s="92">
        <v>724.45590000000004</v>
      </c>
      <c r="D654" s="92">
        <v>107.285</v>
      </c>
      <c r="E654" s="92"/>
      <c r="F654" s="92">
        <v>0.89444400000000002</v>
      </c>
      <c r="G654" s="92">
        <v>724.5181</v>
      </c>
      <c r="H654" s="92">
        <v>106.7428</v>
      </c>
      <c r="I654" s="92"/>
      <c r="J654" s="93">
        <f t="shared" si="17"/>
        <v>6.2199999999961619E-2</v>
      </c>
    </row>
    <row r="655" spans="2:10" x14ac:dyDescent="0.2">
      <c r="B655" s="92">
        <v>0.89583299999999999</v>
      </c>
      <c r="C655" s="92">
        <v>724.48030000000006</v>
      </c>
      <c r="D655" s="92">
        <v>107.30970000000001</v>
      </c>
      <c r="E655" s="92"/>
      <c r="F655" s="92">
        <v>0.89583299999999999</v>
      </c>
      <c r="G655" s="92">
        <v>724.51</v>
      </c>
      <c r="H655" s="92">
        <v>106.7693</v>
      </c>
      <c r="I655" s="92"/>
      <c r="J655" s="93">
        <f t="shared" si="17"/>
        <v>2.9699999999934334E-2</v>
      </c>
    </row>
    <row r="656" spans="2:10" x14ac:dyDescent="0.2">
      <c r="B656" s="92">
        <v>0.89722199999999996</v>
      </c>
      <c r="C656" s="92">
        <v>724.45050000000003</v>
      </c>
      <c r="D656" s="92">
        <v>107.3475</v>
      </c>
      <c r="E656" s="92"/>
      <c r="F656" s="92">
        <v>0.89722199999999996</v>
      </c>
      <c r="G656" s="92">
        <v>724.5806</v>
      </c>
      <c r="H656" s="92">
        <v>106.7991</v>
      </c>
      <c r="I656" s="92"/>
      <c r="J656" s="93">
        <f t="shared" si="17"/>
        <v>0.13009999999997035</v>
      </c>
    </row>
    <row r="657" spans="2:10" x14ac:dyDescent="0.2">
      <c r="B657" s="92">
        <v>0.89861100000000005</v>
      </c>
      <c r="C657" s="92">
        <v>724.42660000000001</v>
      </c>
      <c r="D657" s="92">
        <v>107.37220000000001</v>
      </c>
      <c r="E657" s="92"/>
      <c r="F657" s="92">
        <v>0.89861100000000005</v>
      </c>
      <c r="G657" s="92">
        <v>724.54359999999997</v>
      </c>
      <c r="H657" s="92">
        <v>106.819</v>
      </c>
      <c r="I657" s="92"/>
      <c r="J657" s="93">
        <f t="shared" si="17"/>
        <v>0.1169999999999618</v>
      </c>
    </row>
    <row r="658" spans="2:10" x14ac:dyDescent="0.2">
      <c r="B658" s="92">
        <v>0.9</v>
      </c>
      <c r="C658" s="92">
        <v>724.45299999999997</v>
      </c>
      <c r="D658" s="92">
        <v>107.41330000000001</v>
      </c>
      <c r="E658" s="92"/>
      <c r="F658" s="92">
        <v>0.9</v>
      </c>
      <c r="G658" s="92">
        <v>724.52080000000001</v>
      </c>
      <c r="H658" s="92">
        <v>106.8389</v>
      </c>
      <c r="I658" s="92"/>
      <c r="J658" s="93">
        <f t="shared" si="17"/>
        <v>6.7800000000033833E-2</v>
      </c>
    </row>
    <row r="659" spans="2:10" x14ac:dyDescent="0.2">
      <c r="B659" s="92">
        <v>0.901389</v>
      </c>
      <c r="C659" s="92">
        <v>724.50009999999997</v>
      </c>
      <c r="D659" s="92">
        <v>107.4396</v>
      </c>
      <c r="E659" s="92"/>
      <c r="F659" s="92">
        <v>0.901389</v>
      </c>
      <c r="G659" s="92">
        <v>724.55899999999997</v>
      </c>
      <c r="H659" s="92">
        <v>106.86369999999999</v>
      </c>
      <c r="I659" s="92"/>
      <c r="J659" s="93">
        <f t="shared" si="17"/>
        <v>5.8899999999994179E-2</v>
      </c>
    </row>
    <row r="660" spans="2:10" x14ac:dyDescent="0.2">
      <c r="B660" s="92">
        <v>0.90277799999999997</v>
      </c>
      <c r="C660" s="92">
        <v>724.46699999999998</v>
      </c>
      <c r="D660" s="92">
        <v>107.4593</v>
      </c>
      <c r="E660" s="92"/>
      <c r="F660" s="92">
        <v>0.90277799999999997</v>
      </c>
      <c r="G660" s="92">
        <v>724.55439999999999</v>
      </c>
      <c r="H660" s="92">
        <v>106.8886</v>
      </c>
      <c r="I660" s="92"/>
      <c r="J660" s="93">
        <f t="shared" si="17"/>
        <v>8.7400000000002365E-2</v>
      </c>
    </row>
    <row r="661" spans="2:10" x14ac:dyDescent="0.2">
      <c r="B661" s="92">
        <v>0.90416700000000005</v>
      </c>
      <c r="C661" s="92">
        <v>724.49400000000003</v>
      </c>
      <c r="D661" s="92">
        <v>107.4873</v>
      </c>
      <c r="E661" s="92"/>
      <c r="F661" s="92">
        <v>0.90416700000000005</v>
      </c>
      <c r="G661" s="92">
        <v>724.5104</v>
      </c>
      <c r="H661" s="92">
        <v>106.9118</v>
      </c>
      <c r="I661" s="92"/>
      <c r="J661" s="93">
        <f t="shared" si="17"/>
        <v>1.6399999999975989E-2</v>
      </c>
    </row>
    <row r="662" spans="2:10" x14ac:dyDescent="0.2">
      <c r="B662" s="92">
        <v>0.90555600000000003</v>
      </c>
      <c r="C662" s="92">
        <v>724.47550000000001</v>
      </c>
      <c r="D662" s="92">
        <v>107.5119</v>
      </c>
      <c r="E662" s="92"/>
      <c r="F662" s="92">
        <v>0.90555600000000003</v>
      </c>
      <c r="G662" s="92">
        <v>724.51840000000004</v>
      </c>
      <c r="H662" s="92">
        <v>106.92829999999999</v>
      </c>
      <c r="I662" s="92"/>
      <c r="J662" s="93">
        <f t="shared" si="17"/>
        <v>4.2900000000031469E-2</v>
      </c>
    </row>
    <row r="663" spans="2:10" x14ac:dyDescent="0.2">
      <c r="B663" s="92">
        <v>0.90694399999999997</v>
      </c>
      <c r="C663" s="92">
        <v>724.47839999999997</v>
      </c>
      <c r="D663" s="92">
        <v>107.53660000000001</v>
      </c>
      <c r="E663" s="92"/>
      <c r="F663" s="92">
        <v>0.90694399999999997</v>
      </c>
      <c r="G663" s="92">
        <v>724.55719999999997</v>
      </c>
      <c r="H663" s="92">
        <v>106.94159999999999</v>
      </c>
      <c r="I663" s="92"/>
      <c r="J663" s="93">
        <f t="shared" si="17"/>
        <v>7.8800000000001091E-2</v>
      </c>
    </row>
    <row r="664" spans="2:10" x14ac:dyDescent="0.2">
      <c r="B664" s="92">
        <v>0.90833299999999995</v>
      </c>
      <c r="C664" s="92">
        <v>724.41600000000005</v>
      </c>
      <c r="D664" s="92">
        <v>107.553</v>
      </c>
      <c r="E664" s="92"/>
      <c r="F664" s="92">
        <v>0.90833299999999995</v>
      </c>
      <c r="G664" s="92">
        <v>724.57219999999995</v>
      </c>
      <c r="H664" s="92">
        <v>106.95480000000001</v>
      </c>
      <c r="I664" s="92"/>
      <c r="J664" s="93">
        <f t="shared" si="17"/>
        <v>0.15619999999989886</v>
      </c>
    </row>
    <row r="665" spans="2:10" x14ac:dyDescent="0.2">
      <c r="B665" s="92">
        <v>0.90972200000000003</v>
      </c>
      <c r="C665" s="92">
        <v>724.51009999999997</v>
      </c>
      <c r="D665" s="92">
        <v>107.57769999999999</v>
      </c>
      <c r="E665" s="92"/>
      <c r="F665" s="92">
        <v>0.90972200000000003</v>
      </c>
      <c r="G665" s="92">
        <v>724.55070000000001</v>
      </c>
      <c r="H665" s="92">
        <v>106.9764</v>
      </c>
      <c r="I665" s="92"/>
      <c r="J665" s="93">
        <f t="shared" si="17"/>
        <v>4.0600000000040382E-2</v>
      </c>
    </row>
    <row r="666" spans="2:10" x14ac:dyDescent="0.2">
      <c r="B666" s="92">
        <v>0.911111</v>
      </c>
      <c r="C666" s="92">
        <v>724.47040000000004</v>
      </c>
      <c r="D666" s="92">
        <v>107.5958</v>
      </c>
      <c r="E666" s="92"/>
      <c r="F666" s="92">
        <v>0.911111</v>
      </c>
      <c r="G666" s="92">
        <v>724.48249999999996</v>
      </c>
      <c r="H666" s="92">
        <v>106.99290000000001</v>
      </c>
      <c r="I666" s="92"/>
      <c r="J666" s="93">
        <f t="shared" si="17"/>
        <v>1.2099999999918509E-2</v>
      </c>
    </row>
    <row r="667" spans="2:10" x14ac:dyDescent="0.2">
      <c r="B667" s="92">
        <v>0.91249999999999998</v>
      </c>
      <c r="C667" s="92">
        <v>724.46950000000004</v>
      </c>
      <c r="D667" s="92">
        <v>107.6155</v>
      </c>
      <c r="E667" s="92"/>
      <c r="F667" s="92">
        <v>0.91249999999999998</v>
      </c>
      <c r="G667" s="92">
        <v>724.52390000000003</v>
      </c>
      <c r="H667" s="92">
        <v>107.0095</v>
      </c>
      <c r="I667" s="92"/>
      <c r="J667" s="93">
        <f t="shared" si="17"/>
        <v>5.4399999999986903E-2</v>
      </c>
    </row>
    <row r="668" spans="2:10" x14ac:dyDescent="0.2">
      <c r="B668" s="92">
        <v>0.91388899999999995</v>
      </c>
      <c r="C668" s="92">
        <v>724.48599999999999</v>
      </c>
      <c r="D668" s="92">
        <v>107.6369</v>
      </c>
      <c r="E668" s="92"/>
      <c r="F668" s="92">
        <v>0.91388899999999995</v>
      </c>
      <c r="G668" s="92">
        <v>724.52840000000003</v>
      </c>
      <c r="H668" s="92">
        <v>107.0277</v>
      </c>
      <c r="I668" s="92"/>
      <c r="J668" s="93">
        <f t="shared" si="17"/>
        <v>4.2400000000043292E-2</v>
      </c>
    </row>
    <row r="669" spans="2:10" x14ac:dyDescent="0.2">
      <c r="B669" s="92">
        <v>0.91527800000000004</v>
      </c>
      <c r="C669" s="92">
        <v>724.47289999999998</v>
      </c>
      <c r="D669" s="92">
        <v>107.6615</v>
      </c>
      <c r="E669" s="92"/>
      <c r="F669" s="92">
        <v>0.91527800000000004</v>
      </c>
      <c r="G669" s="92">
        <v>724.49829999999997</v>
      </c>
      <c r="H669" s="92">
        <v>107.04430000000001</v>
      </c>
      <c r="I669" s="92"/>
      <c r="J669" s="93">
        <f t="shared" si="17"/>
        <v>2.5399999999990541E-2</v>
      </c>
    </row>
    <row r="670" spans="2:10" x14ac:dyDescent="0.2">
      <c r="B670" s="92">
        <v>0.91666700000000001</v>
      </c>
      <c r="C670" s="92">
        <v>724.46280000000002</v>
      </c>
      <c r="D670" s="92">
        <v>107.6763</v>
      </c>
      <c r="E670" s="92"/>
      <c r="F670" s="92">
        <v>0.91666700000000001</v>
      </c>
      <c r="G670" s="92">
        <v>724.54629999999997</v>
      </c>
      <c r="H670" s="92">
        <v>107.0509</v>
      </c>
      <c r="I670" s="92"/>
      <c r="J670" s="93">
        <f t="shared" si="17"/>
        <v>8.3499999999958163E-2</v>
      </c>
    </row>
    <row r="671" spans="2:10" x14ac:dyDescent="0.2">
      <c r="B671" s="92">
        <v>0.91805599999999998</v>
      </c>
      <c r="C671" s="92">
        <v>724.48339999999996</v>
      </c>
      <c r="D671" s="92">
        <v>107.6961</v>
      </c>
      <c r="E671" s="92"/>
      <c r="F671" s="92">
        <v>0.91805599999999998</v>
      </c>
      <c r="G671" s="92">
        <v>724.51750000000004</v>
      </c>
      <c r="H671" s="92">
        <v>107.06910000000001</v>
      </c>
      <c r="I671" s="92"/>
      <c r="J671" s="93">
        <f t="shared" si="17"/>
        <v>3.4100000000080399E-2</v>
      </c>
    </row>
    <row r="672" spans="2:10" x14ac:dyDescent="0.2">
      <c r="B672" s="92">
        <v>0.91944400000000004</v>
      </c>
      <c r="C672" s="92">
        <v>724.49329999999998</v>
      </c>
      <c r="D672" s="92">
        <v>107.7158</v>
      </c>
      <c r="E672" s="92"/>
      <c r="F672" s="92">
        <v>0.91944400000000004</v>
      </c>
      <c r="G672" s="92">
        <v>724.51250000000005</v>
      </c>
      <c r="H672" s="92">
        <v>107.0873</v>
      </c>
      <c r="I672" s="92"/>
      <c r="J672" s="93">
        <f t="shared" si="17"/>
        <v>1.920000000006894E-2</v>
      </c>
    </row>
    <row r="673" spans="2:10" x14ac:dyDescent="0.2">
      <c r="B673" s="92">
        <v>0.92083300000000001</v>
      </c>
      <c r="C673" s="92">
        <v>724.48069999999996</v>
      </c>
      <c r="D673" s="92">
        <v>107.7273</v>
      </c>
      <c r="E673" s="92"/>
      <c r="F673" s="92">
        <v>0.92083300000000001</v>
      </c>
      <c r="G673" s="92">
        <v>724.53099999999995</v>
      </c>
      <c r="H673" s="92">
        <v>107.0989</v>
      </c>
      <c r="I673" s="92"/>
      <c r="J673" s="93">
        <f t="shared" si="17"/>
        <v>5.0299999999992906E-2</v>
      </c>
    </row>
    <row r="674" spans="2:10" x14ac:dyDescent="0.2">
      <c r="B674" s="92">
        <v>0.92222199999999999</v>
      </c>
      <c r="C674" s="92">
        <v>724.48649999999998</v>
      </c>
      <c r="D674" s="92">
        <v>107.7487</v>
      </c>
      <c r="E674" s="92"/>
      <c r="F674" s="92">
        <v>0.92222199999999999</v>
      </c>
      <c r="G674" s="92">
        <v>724.48850000000004</v>
      </c>
      <c r="H674" s="92">
        <v>107.1056</v>
      </c>
      <c r="I674" s="92"/>
      <c r="J674" s="93">
        <f t="shared" si="17"/>
        <v>2.0000000000663931E-3</v>
      </c>
    </row>
    <row r="675" spans="2:10" x14ac:dyDescent="0.2">
      <c r="B675" s="92">
        <v>0.92361099999999996</v>
      </c>
      <c r="C675" s="92">
        <v>724.49379999999996</v>
      </c>
      <c r="D675" s="92">
        <v>107.7651</v>
      </c>
      <c r="E675" s="92"/>
      <c r="F675" s="92">
        <v>0.92361099999999996</v>
      </c>
      <c r="G675" s="92">
        <v>724.51940000000002</v>
      </c>
      <c r="H675" s="92">
        <v>107.1271</v>
      </c>
      <c r="I675" s="92"/>
      <c r="J675" s="93">
        <f t="shared" si="17"/>
        <v>2.5600000000054024E-2</v>
      </c>
    </row>
    <row r="676" spans="2:10" x14ac:dyDescent="0.2">
      <c r="B676" s="92">
        <v>0.92500000000000004</v>
      </c>
      <c r="C676" s="92">
        <v>724.47170000000006</v>
      </c>
      <c r="D676" s="92">
        <v>107.7783</v>
      </c>
      <c r="E676" s="92"/>
      <c r="F676" s="92">
        <v>0.92500000000000004</v>
      </c>
      <c r="G676" s="92">
        <v>724.50319999999999</v>
      </c>
      <c r="H676" s="92">
        <v>107.137</v>
      </c>
      <c r="I676" s="92"/>
      <c r="J676" s="93">
        <f t="shared" si="17"/>
        <v>3.1499999999937245E-2</v>
      </c>
    </row>
    <row r="677" spans="2:10" x14ac:dyDescent="0.2">
      <c r="B677" s="92">
        <v>0.92638900000000002</v>
      </c>
      <c r="C677" s="92">
        <v>724.43460000000005</v>
      </c>
      <c r="D677" s="92">
        <v>107.7997</v>
      </c>
      <c r="E677" s="92"/>
      <c r="F677" s="92">
        <v>0.92638900000000002</v>
      </c>
      <c r="G677" s="92">
        <v>724.53340000000003</v>
      </c>
      <c r="H677" s="92">
        <v>107.14530000000001</v>
      </c>
      <c r="I677" s="92"/>
      <c r="J677" s="93">
        <f t="shared" si="17"/>
        <v>9.8799999999982901E-2</v>
      </c>
    </row>
    <row r="678" spans="2:10" x14ac:dyDescent="0.2">
      <c r="B678" s="92">
        <v>0.92777799999999999</v>
      </c>
      <c r="C678" s="92">
        <v>724.45010000000002</v>
      </c>
      <c r="D678" s="92">
        <v>107.8128</v>
      </c>
      <c r="E678" s="92"/>
      <c r="F678" s="92">
        <v>0.92777799999999999</v>
      </c>
      <c r="G678" s="92">
        <v>724.53229999999996</v>
      </c>
      <c r="H678" s="92">
        <v>107.16849999999999</v>
      </c>
      <c r="I678" s="92"/>
      <c r="J678" s="93">
        <f t="shared" si="17"/>
        <v>8.2199999999943429E-2</v>
      </c>
    </row>
    <row r="679" spans="2:10" x14ac:dyDescent="0.2">
      <c r="B679" s="92">
        <v>0.92916699999999997</v>
      </c>
      <c r="C679" s="92">
        <v>724.48829999999998</v>
      </c>
      <c r="D679" s="92">
        <v>107.8276</v>
      </c>
      <c r="E679" s="92"/>
      <c r="F679" s="92">
        <v>0.92916699999999997</v>
      </c>
      <c r="G679" s="92">
        <v>724.56380000000001</v>
      </c>
      <c r="H679" s="92">
        <v>107.1784</v>
      </c>
      <c r="I679" s="92"/>
      <c r="J679" s="93">
        <f t="shared" si="17"/>
        <v>7.5500000000033651E-2</v>
      </c>
    </row>
    <row r="680" spans="2:10" x14ac:dyDescent="0.2">
      <c r="B680" s="92">
        <v>0.93055600000000005</v>
      </c>
      <c r="C680" s="92">
        <v>724.42589999999996</v>
      </c>
      <c r="D680" s="92">
        <v>107.8441</v>
      </c>
      <c r="E680" s="92"/>
      <c r="F680" s="92">
        <v>0.93055600000000005</v>
      </c>
      <c r="G680" s="92">
        <v>724.52380000000005</v>
      </c>
      <c r="H680" s="92">
        <v>107.1884</v>
      </c>
      <c r="I680" s="92"/>
      <c r="J680" s="93">
        <f t="shared" si="17"/>
        <v>9.7900000000095133E-2</v>
      </c>
    </row>
    <row r="681" spans="2:10" x14ac:dyDescent="0.2">
      <c r="B681" s="92">
        <v>0.93194399999999999</v>
      </c>
      <c r="C681" s="92">
        <v>724.54470000000003</v>
      </c>
      <c r="D681" s="92">
        <v>107.85890000000001</v>
      </c>
      <c r="E681" s="92"/>
      <c r="F681" s="92">
        <v>0.93194399999999999</v>
      </c>
      <c r="G681" s="92">
        <v>724.53240000000005</v>
      </c>
      <c r="H681" s="92">
        <v>107.1934</v>
      </c>
      <c r="I681" s="92"/>
      <c r="J681" s="93">
        <f t="shared" si="17"/>
        <v>1.2299999999981992E-2</v>
      </c>
    </row>
    <row r="682" spans="2:10" x14ac:dyDescent="0.2">
      <c r="B682" s="92">
        <v>0.93333299999999997</v>
      </c>
      <c r="C682" s="92">
        <v>724.49170000000004</v>
      </c>
      <c r="D682" s="92">
        <v>107.8737</v>
      </c>
      <c r="E682" s="92"/>
      <c r="F682" s="92">
        <v>0.93333299999999997</v>
      </c>
      <c r="G682" s="92">
        <v>724.51250000000005</v>
      </c>
      <c r="H682" s="92">
        <v>107.22320000000001</v>
      </c>
      <c r="I682" s="92"/>
      <c r="J682" s="93">
        <f t="shared" si="17"/>
        <v>2.0800000000008367E-2</v>
      </c>
    </row>
    <row r="683" spans="2:10" x14ac:dyDescent="0.2">
      <c r="B683" s="92">
        <v>0.93472200000000005</v>
      </c>
      <c r="C683" s="92">
        <v>724.46960000000001</v>
      </c>
      <c r="D683" s="92">
        <v>107.88679999999999</v>
      </c>
      <c r="E683" s="92"/>
      <c r="F683" s="92">
        <v>0.93472200000000005</v>
      </c>
      <c r="G683" s="92">
        <v>724.55290000000002</v>
      </c>
      <c r="H683" s="92">
        <v>107.2199</v>
      </c>
      <c r="I683" s="92"/>
      <c r="J683" s="93">
        <f t="shared" si="17"/>
        <v>8.3300000000008367E-2</v>
      </c>
    </row>
    <row r="684" spans="2:10" x14ac:dyDescent="0.2">
      <c r="B684" s="92">
        <v>0.93611100000000003</v>
      </c>
      <c r="C684" s="92">
        <v>724.42610000000002</v>
      </c>
      <c r="D684" s="92">
        <v>107.9</v>
      </c>
      <c r="E684" s="92"/>
      <c r="F684" s="92">
        <v>0.93611100000000003</v>
      </c>
      <c r="G684" s="92">
        <v>724.55139999999994</v>
      </c>
      <c r="H684" s="92">
        <v>107.2364</v>
      </c>
      <c r="I684" s="92"/>
      <c r="J684" s="93">
        <f t="shared" si="17"/>
        <v>0.12529999999992469</v>
      </c>
    </row>
    <row r="685" spans="2:10" x14ac:dyDescent="0.2">
      <c r="B685" s="92">
        <v>0.9375</v>
      </c>
      <c r="C685" s="92">
        <v>724.47220000000004</v>
      </c>
      <c r="D685" s="92">
        <v>107.9181</v>
      </c>
      <c r="E685" s="92"/>
      <c r="F685" s="92">
        <v>0.9375</v>
      </c>
      <c r="G685" s="92">
        <v>724.52440000000001</v>
      </c>
      <c r="H685" s="92">
        <v>107.24469999999999</v>
      </c>
      <c r="I685" s="92"/>
      <c r="J685" s="93">
        <f t="shared" si="17"/>
        <v>5.2199999999970714E-2</v>
      </c>
    </row>
    <row r="686" spans="2:10" x14ac:dyDescent="0.2">
      <c r="B686" s="92">
        <v>0.93888899999999997</v>
      </c>
      <c r="C686" s="92">
        <v>724.46630000000005</v>
      </c>
      <c r="D686" s="92">
        <v>107.9312</v>
      </c>
      <c r="E686" s="92"/>
      <c r="F686" s="92">
        <v>0.93888899999999997</v>
      </c>
      <c r="G686" s="92">
        <v>724.53240000000005</v>
      </c>
      <c r="H686" s="92">
        <v>107.26130000000001</v>
      </c>
      <c r="I686" s="92"/>
      <c r="J686" s="93">
        <f t="shared" si="17"/>
        <v>6.6100000000005821E-2</v>
      </c>
    </row>
    <row r="687" spans="2:10" x14ac:dyDescent="0.2">
      <c r="B687" s="92">
        <v>0.94027799999999995</v>
      </c>
      <c r="C687" s="92">
        <v>724.45650000000001</v>
      </c>
      <c r="D687" s="92">
        <v>107.9395</v>
      </c>
      <c r="E687" s="92"/>
      <c r="F687" s="92">
        <v>0.94027799999999995</v>
      </c>
      <c r="G687" s="92">
        <v>724.51369999999997</v>
      </c>
      <c r="H687" s="92">
        <v>107.2679</v>
      </c>
      <c r="I687" s="92"/>
      <c r="J687" s="93">
        <f t="shared" si="17"/>
        <v>5.7199999999966167E-2</v>
      </c>
    </row>
    <row r="688" spans="2:10" x14ac:dyDescent="0.2">
      <c r="B688" s="92">
        <v>0.94166700000000003</v>
      </c>
      <c r="C688" s="92">
        <v>724.47460000000001</v>
      </c>
      <c r="D688" s="92">
        <v>107.9559</v>
      </c>
      <c r="E688" s="92"/>
      <c r="F688" s="92">
        <v>0.94166700000000003</v>
      </c>
      <c r="G688" s="92">
        <v>724.56590000000006</v>
      </c>
      <c r="H688" s="92">
        <v>107.2861</v>
      </c>
      <c r="I688" s="92"/>
      <c r="J688" s="93">
        <f t="shared" si="17"/>
        <v>9.1300000000046566E-2</v>
      </c>
    </row>
    <row r="689" spans="2:10" x14ac:dyDescent="0.2">
      <c r="B689" s="92">
        <v>0.94305600000000001</v>
      </c>
      <c r="C689" s="92">
        <v>724.49929999999995</v>
      </c>
      <c r="D689" s="92">
        <v>107.974</v>
      </c>
      <c r="E689" s="92"/>
      <c r="F689" s="92">
        <v>0.94305600000000001</v>
      </c>
      <c r="G689" s="92">
        <v>724.52940000000001</v>
      </c>
      <c r="H689" s="92">
        <v>107.2944</v>
      </c>
      <c r="I689" s="92"/>
      <c r="J689" s="93">
        <f t="shared" si="17"/>
        <v>3.01000000000613E-2</v>
      </c>
    </row>
    <row r="690" spans="2:10" x14ac:dyDescent="0.2">
      <c r="B690" s="92">
        <v>0.94444399999999995</v>
      </c>
      <c r="C690" s="92">
        <v>724.48670000000004</v>
      </c>
      <c r="D690" s="92">
        <v>107.9855</v>
      </c>
      <c r="E690" s="92"/>
      <c r="F690" s="92">
        <v>0.94444399999999995</v>
      </c>
      <c r="G690" s="92">
        <v>724.50720000000001</v>
      </c>
      <c r="H690" s="92">
        <v>107.3027</v>
      </c>
      <c r="I690" s="92"/>
      <c r="J690" s="93">
        <f t="shared" si="17"/>
        <v>2.0499999999969987E-2</v>
      </c>
    </row>
    <row r="691" spans="2:10" x14ac:dyDescent="0.2">
      <c r="B691" s="92">
        <v>0.94583300000000003</v>
      </c>
      <c r="C691" s="92">
        <v>724.45550000000003</v>
      </c>
      <c r="D691" s="92">
        <v>107.9937</v>
      </c>
      <c r="E691" s="92"/>
      <c r="F691" s="92">
        <v>0.94583300000000003</v>
      </c>
      <c r="G691" s="92">
        <v>724.54690000000005</v>
      </c>
      <c r="H691" s="92">
        <v>107.31100000000001</v>
      </c>
      <c r="I691" s="92"/>
      <c r="J691" s="93">
        <f t="shared" si="17"/>
        <v>9.1400000000021464E-2</v>
      </c>
    </row>
    <row r="692" spans="2:10" x14ac:dyDescent="0.2">
      <c r="B692" s="92">
        <v>0.94722200000000001</v>
      </c>
      <c r="C692" s="92">
        <v>724.48140000000001</v>
      </c>
      <c r="D692" s="92">
        <v>108.01349999999999</v>
      </c>
      <c r="E692" s="92"/>
      <c r="F692" s="92">
        <v>0.94722200000000001</v>
      </c>
      <c r="G692" s="92">
        <v>724.54639999999995</v>
      </c>
      <c r="H692" s="92">
        <v>107.32259999999999</v>
      </c>
      <c r="I692" s="92"/>
      <c r="J692" s="93">
        <f t="shared" si="17"/>
        <v>6.4999999999940883E-2</v>
      </c>
    </row>
    <row r="693" spans="2:10" x14ac:dyDescent="0.2">
      <c r="B693" s="92">
        <v>0.94861099999999998</v>
      </c>
      <c r="C693" s="92">
        <v>724.46659999999997</v>
      </c>
      <c r="D693" s="92">
        <v>108.0151</v>
      </c>
      <c r="E693" s="92"/>
      <c r="F693" s="92">
        <v>0.94861099999999998</v>
      </c>
      <c r="G693" s="92">
        <v>724.51589999999999</v>
      </c>
      <c r="H693" s="92">
        <v>107.3325</v>
      </c>
      <c r="I693" s="92"/>
      <c r="J693" s="93">
        <f t="shared" si="17"/>
        <v>4.9300000000016553E-2</v>
      </c>
    </row>
    <row r="694" spans="2:10" x14ac:dyDescent="0.2">
      <c r="B694" s="92">
        <v>0.95</v>
      </c>
      <c r="C694" s="92">
        <v>724.46699999999998</v>
      </c>
      <c r="D694" s="92">
        <v>108.0365</v>
      </c>
      <c r="E694" s="92"/>
      <c r="F694" s="92">
        <v>0.95</v>
      </c>
      <c r="G694" s="92">
        <v>724.55340000000001</v>
      </c>
      <c r="H694" s="92">
        <v>107.3441</v>
      </c>
      <c r="I694" s="92"/>
      <c r="J694" s="93">
        <f t="shared" si="17"/>
        <v>8.6400000000026012E-2</v>
      </c>
    </row>
    <row r="695" spans="2:10" x14ac:dyDescent="0.2">
      <c r="B695" s="92">
        <v>0.95138900000000004</v>
      </c>
      <c r="C695" s="92">
        <v>724.53930000000003</v>
      </c>
      <c r="D695" s="92">
        <v>108.0398</v>
      </c>
      <c r="E695" s="92"/>
      <c r="F695" s="92">
        <v>0.95138900000000004</v>
      </c>
      <c r="G695" s="92">
        <v>724.51990000000001</v>
      </c>
      <c r="H695" s="92">
        <v>107.3623</v>
      </c>
      <c r="I695" s="92"/>
      <c r="J695" s="93">
        <f t="shared" si="17"/>
        <v>1.9400000000018736E-2</v>
      </c>
    </row>
    <row r="696" spans="2:10" x14ac:dyDescent="0.2">
      <c r="B696" s="92">
        <v>0.95277800000000001</v>
      </c>
      <c r="C696" s="92">
        <v>724.42849999999999</v>
      </c>
      <c r="D696" s="92">
        <v>108.0562</v>
      </c>
      <c r="E696" s="92"/>
      <c r="F696" s="92">
        <v>0.95277800000000001</v>
      </c>
      <c r="G696" s="92">
        <v>724.52719999999999</v>
      </c>
      <c r="H696" s="92">
        <v>107.3656</v>
      </c>
      <c r="I696" s="92"/>
      <c r="J696" s="93">
        <f t="shared" si="17"/>
        <v>9.8700000000008004E-2</v>
      </c>
    </row>
    <row r="697" spans="2:10" x14ac:dyDescent="0.2">
      <c r="B697" s="92">
        <v>0.95416699999999999</v>
      </c>
      <c r="C697" s="92">
        <v>724.49360000000001</v>
      </c>
      <c r="D697" s="92">
        <v>108.071</v>
      </c>
      <c r="E697" s="92"/>
      <c r="F697" s="92">
        <v>0.95416699999999999</v>
      </c>
      <c r="G697" s="92">
        <v>724.51099999999997</v>
      </c>
      <c r="H697" s="92">
        <v>107.37560000000001</v>
      </c>
      <c r="I697" s="92"/>
      <c r="J697" s="93">
        <f t="shared" si="17"/>
        <v>1.7399999999952342E-2</v>
      </c>
    </row>
    <row r="698" spans="2:10" x14ac:dyDescent="0.2">
      <c r="B698" s="92">
        <v>0.95555599999999996</v>
      </c>
      <c r="C698" s="92">
        <v>724.47979999999995</v>
      </c>
      <c r="D698" s="92">
        <v>108.0809</v>
      </c>
      <c r="E698" s="92"/>
      <c r="F698" s="92">
        <v>0.95555599999999996</v>
      </c>
      <c r="G698" s="92">
        <v>724.55460000000005</v>
      </c>
      <c r="H698" s="92">
        <v>107.3888</v>
      </c>
      <c r="I698" s="92"/>
      <c r="J698" s="93">
        <f t="shared" si="17"/>
        <v>7.4800000000095679E-2</v>
      </c>
    </row>
    <row r="699" spans="2:10" x14ac:dyDescent="0.2">
      <c r="B699" s="92">
        <v>0.95694400000000002</v>
      </c>
      <c r="C699" s="92">
        <v>724.44719999999995</v>
      </c>
      <c r="D699" s="92">
        <v>108.08750000000001</v>
      </c>
      <c r="E699" s="92"/>
      <c r="F699" s="92">
        <v>0.95694400000000002</v>
      </c>
      <c r="G699" s="92">
        <v>724.51559999999995</v>
      </c>
      <c r="H699" s="92">
        <v>107.3938</v>
      </c>
      <c r="I699" s="92"/>
      <c r="J699" s="93">
        <f t="shared" si="17"/>
        <v>6.8399999999996908E-2</v>
      </c>
    </row>
    <row r="700" spans="2:10" x14ac:dyDescent="0.2">
      <c r="B700" s="92">
        <v>0.95833299999999999</v>
      </c>
      <c r="C700" s="92">
        <v>724.51649999999995</v>
      </c>
      <c r="D700" s="92">
        <v>108.1006</v>
      </c>
      <c r="E700" s="92"/>
      <c r="F700" s="92">
        <v>0.95833299999999999</v>
      </c>
      <c r="G700" s="92">
        <v>724.52449999999999</v>
      </c>
      <c r="H700" s="92">
        <v>107.4054</v>
      </c>
      <c r="I700" s="92"/>
      <c r="J700" s="93">
        <f t="shared" si="17"/>
        <v>8.0000000000381988E-3</v>
      </c>
    </row>
    <row r="701" spans="2:10" x14ac:dyDescent="0.2">
      <c r="B701" s="92">
        <v>0.95972199999999996</v>
      </c>
      <c r="C701" s="92">
        <v>724.50360000000001</v>
      </c>
      <c r="D701" s="92">
        <v>108.1187</v>
      </c>
      <c r="E701" s="92"/>
      <c r="F701" s="92">
        <v>0.95972199999999996</v>
      </c>
      <c r="G701" s="92">
        <v>724.52139999999997</v>
      </c>
      <c r="H701" s="92">
        <v>107.41370000000001</v>
      </c>
      <c r="I701" s="92"/>
      <c r="J701" s="93">
        <f t="shared" si="17"/>
        <v>1.7799999999965621E-2</v>
      </c>
    </row>
    <row r="702" spans="2:10" x14ac:dyDescent="0.2">
      <c r="B702" s="92">
        <v>0.96111100000000005</v>
      </c>
      <c r="C702" s="92">
        <v>724.46979999999996</v>
      </c>
      <c r="D702" s="92">
        <v>108.1236</v>
      </c>
      <c r="E702" s="92"/>
      <c r="F702" s="92">
        <v>0.96111100000000005</v>
      </c>
      <c r="G702" s="92">
        <v>724.51949999999999</v>
      </c>
      <c r="H702" s="92">
        <v>107.42359999999999</v>
      </c>
      <c r="I702" s="92"/>
      <c r="J702" s="93">
        <f t="shared" si="17"/>
        <v>4.9700000000029831E-2</v>
      </c>
    </row>
    <row r="703" spans="2:10" x14ac:dyDescent="0.2">
      <c r="B703" s="92">
        <v>0.96250000000000002</v>
      </c>
      <c r="C703" s="92">
        <v>724.48429999999996</v>
      </c>
      <c r="D703" s="92">
        <v>108.12860000000001</v>
      </c>
      <c r="E703" s="92"/>
      <c r="F703" s="92">
        <v>0.96250000000000002</v>
      </c>
      <c r="G703" s="92">
        <v>724.51070000000004</v>
      </c>
      <c r="H703" s="92">
        <v>107.43689999999999</v>
      </c>
      <c r="I703" s="92"/>
      <c r="J703" s="93">
        <f t="shared" si="17"/>
        <v>2.6400000000080581E-2</v>
      </c>
    </row>
    <row r="704" spans="2:10" x14ac:dyDescent="0.2">
      <c r="B704" s="92">
        <v>0.963889</v>
      </c>
      <c r="C704" s="92">
        <v>724.45439999999996</v>
      </c>
      <c r="D704" s="92">
        <v>108.13849999999999</v>
      </c>
      <c r="E704" s="92"/>
      <c r="F704" s="92">
        <v>0.963889</v>
      </c>
      <c r="G704" s="92">
        <v>724.53009999999995</v>
      </c>
      <c r="H704" s="92">
        <v>107.4435</v>
      </c>
      <c r="I704" s="92"/>
      <c r="J704" s="93">
        <f t="shared" si="17"/>
        <v>7.5699999999983447E-2</v>
      </c>
    </row>
    <row r="705" spans="2:10" x14ac:dyDescent="0.2">
      <c r="B705" s="92">
        <v>0.96527799999999997</v>
      </c>
      <c r="C705" s="92">
        <v>724.49519999999995</v>
      </c>
      <c r="D705" s="92">
        <v>108.15649999999999</v>
      </c>
      <c r="E705" s="92"/>
      <c r="F705" s="92">
        <v>0.96527799999999997</v>
      </c>
      <c r="G705" s="92">
        <v>724.54729999999995</v>
      </c>
      <c r="H705" s="92">
        <v>107.4534</v>
      </c>
      <c r="I705" s="92"/>
      <c r="J705" s="93">
        <f t="shared" si="17"/>
        <v>5.2099999999995816E-2</v>
      </c>
    </row>
    <row r="706" spans="2:10" x14ac:dyDescent="0.2">
      <c r="B706" s="92">
        <v>0.96666700000000005</v>
      </c>
      <c r="C706" s="92">
        <v>724.49329999999998</v>
      </c>
      <c r="D706" s="92">
        <v>108.1681</v>
      </c>
      <c r="E706" s="92"/>
      <c r="F706" s="92">
        <v>0.96666700000000005</v>
      </c>
      <c r="G706" s="92">
        <v>724.56539999999995</v>
      </c>
      <c r="H706" s="92">
        <v>107.4584</v>
      </c>
      <c r="I706" s="92"/>
      <c r="J706" s="93">
        <f t="shared" si="17"/>
        <v>7.2099999999977626E-2</v>
      </c>
    </row>
    <row r="707" spans="2:10" x14ac:dyDescent="0.2">
      <c r="B707" s="92">
        <v>0.96805600000000003</v>
      </c>
      <c r="C707" s="92">
        <v>724.45540000000005</v>
      </c>
      <c r="D707" s="92">
        <v>108.1746</v>
      </c>
      <c r="E707" s="92"/>
      <c r="F707" s="92">
        <v>0.96805600000000003</v>
      </c>
      <c r="G707" s="92">
        <v>724.55399999999997</v>
      </c>
      <c r="H707" s="92">
        <v>107.4683</v>
      </c>
      <c r="I707" s="92"/>
      <c r="J707" s="93">
        <f t="shared" si="17"/>
        <v>9.8599999999919419E-2</v>
      </c>
    </row>
    <row r="708" spans="2:10" x14ac:dyDescent="0.2">
      <c r="B708" s="92">
        <v>0.96944399999999997</v>
      </c>
      <c r="C708" s="92">
        <v>724.47349999999994</v>
      </c>
      <c r="D708" s="92">
        <v>108.19110000000001</v>
      </c>
      <c r="E708" s="92"/>
      <c r="F708" s="92">
        <v>0.96944399999999997</v>
      </c>
      <c r="G708" s="92">
        <v>724.56769999999995</v>
      </c>
      <c r="H708" s="92">
        <v>107.4799</v>
      </c>
      <c r="I708" s="92"/>
      <c r="J708" s="93">
        <f t="shared" si="17"/>
        <v>9.4200000000000728E-2</v>
      </c>
    </row>
    <row r="709" spans="2:10" x14ac:dyDescent="0.2">
      <c r="B709" s="92">
        <v>0.97083299999999995</v>
      </c>
      <c r="C709" s="92">
        <v>724.48770000000002</v>
      </c>
      <c r="D709" s="92">
        <v>108.2026</v>
      </c>
      <c r="E709" s="92"/>
      <c r="F709" s="92">
        <v>0.97083299999999995</v>
      </c>
      <c r="G709" s="92">
        <v>724.50869999999998</v>
      </c>
      <c r="H709" s="92">
        <v>107.48990000000001</v>
      </c>
      <c r="I709" s="92"/>
      <c r="J709" s="93">
        <f t="shared" si="17"/>
        <v>2.0999999999958163E-2</v>
      </c>
    </row>
    <row r="710" spans="2:10" x14ac:dyDescent="0.2">
      <c r="B710" s="92">
        <v>0.97222200000000003</v>
      </c>
      <c r="C710" s="92">
        <v>724.51179999999999</v>
      </c>
      <c r="D710" s="92">
        <v>108.2059</v>
      </c>
      <c r="E710" s="92"/>
      <c r="F710" s="92">
        <v>0.97222200000000003</v>
      </c>
      <c r="G710" s="92">
        <v>724.49860000000001</v>
      </c>
      <c r="H710" s="92">
        <v>107.50149999999999</v>
      </c>
      <c r="I710" s="92"/>
      <c r="J710" s="93">
        <f t="shared" si="17"/>
        <v>1.3199999999983447E-2</v>
      </c>
    </row>
    <row r="711" spans="2:10" x14ac:dyDescent="0.2">
      <c r="B711" s="92">
        <v>0.973611</v>
      </c>
      <c r="C711" s="92">
        <v>724.49379999999996</v>
      </c>
      <c r="D711" s="92">
        <v>108.2174</v>
      </c>
      <c r="E711" s="92"/>
      <c r="F711" s="92">
        <v>0.973611</v>
      </c>
      <c r="G711" s="92">
        <v>724.55129999999997</v>
      </c>
      <c r="H711" s="92">
        <v>107.5081</v>
      </c>
      <c r="I711" s="92"/>
      <c r="J711" s="93">
        <f t="shared" si="17"/>
        <v>5.7500000000004547E-2</v>
      </c>
    </row>
    <row r="712" spans="2:10" x14ac:dyDescent="0.2">
      <c r="B712" s="92">
        <v>0.97499999999999998</v>
      </c>
      <c r="C712" s="92">
        <v>724.44389999999999</v>
      </c>
      <c r="D712" s="92">
        <v>108.2223</v>
      </c>
      <c r="E712" s="92"/>
      <c r="F712" s="92">
        <v>0.97499999999999998</v>
      </c>
      <c r="G712" s="92">
        <v>724.56029999999998</v>
      </c>
      <c r="H712" s="92">
        <v>107.5197</v>
      </c>
      <c r="I712" s="92"/>
      <c r="J712" s="93">
        <f t="shared" si="17"/>
        <v>0.11639999999999873</v>
      </c>
    </row>
    <row r="713" spans="2:10" x14ac:dyDescent="0.2">
      <c r="B713" s="92">
        <v>0.97638899999999995</v>
      </c>
      <c r="C713" s="92">
        <v>724.48090000000002</v>
      </c>
      <c r="D713" s="92">
        <v>108.2355</v>
      </c>
      <c r="E713" s="92"/>
      <c r="F713" s="92">
        <v>0.97638899999999995</v>
      </c>
      <c r="G713" s="92">
        <v>724.53970000000004</v>
      </c>
      <c r="H713" s="92">
        <v>107.5363</v>
      </c>
      <c r="I713" s="92"/>
      <c r="J713" s="93">
        <f t="shared" si="17"/>
        <v>5.8800000000019281E-2</v>
      </c>
    </row>
    <row r="714" spans="2:10" x14ac:dyDescent="0.2">
      <c r="B714" s="92">
        <v>0.97777800000000004</v>
      </c>
      <c r="C714" s="92">
        <v>724.46550000000002</v>
      </c>
      <c r="D714" s="92">
        <v>108.2503</v>
      </c>
      <c r="E714" s="92"/>
      <c r="F714" s="92">
        <v>0.97777800000000004</v>
      </c>
      <c r="G714" s="92">
        <v>724.56740000000002</v>
      </c>
      <c r="H714" s="92">
        <v>107.5412</v>
      </c>
      <c r="I714" s="92"/>
      <c r="J714" s="93">
        <f t="shared" si="17"/>
        <v>0.10190000000000055</v>
      </c>
    </row>
    <row r="715" spans="2:10" x14ac:dyDescent="0.2">
      <c r="B715" s="92">
        <v>0.97916700000000001</v>
      </c>
      <c r="C715" s="92">
        <v>724.48950000000002</v>
      </c>
      <c r="D715" s="92">
        <v>108.25360000000001</v>
      </c>
      <c r="E715" s="92"/>
      <c r="F715" s="92">
        <v>0.97916700000000001</v>
      </c>
      <c r="G715" s="92">
        <v>724.54480000000001</v>
      </c>
      <c r="H715" s="92">
        <v>107.5429</v>
      </c>
      <c r="I715" s="92"/>
      <c r="J715" s="93">
        <f t="shared" ref="J715:J778" si="18">+ABS(G715-C715)</f>
        <v>5.5299999999988358E-2</v>
      </c>
    </row>
    <row r="716" spans="2:10" x14ac:dyDescent="0.2">
      <c r="B716" s="92">
        <v>0.98055599999999998</v>
      </c>
      <c r="C716" s="92">
        <v>724.50059999999996</v>
      </c>
      <c r="D716" s="92">
        <v>108.27500000000001</v>
      </c>
      <c r="E716" s="92"/>
      <c r="F716" s="92">
        <v>0.98055599999999998</v>
      </c>
      <c r="G716" s="92">
        <v>724.56370000000004</v>
      </c>
      <c r="H716" s="92">
        <v>107.5611</v>
      </c>
      <c r="I716" s="92"/>
      <c r="J716" s="93">
        <f t="shared" si="18"/>
        <v>6.3100000000076761E-2</v>
      </c>
    </row>
    <row r="717" spans="2:10" x14ac:dyDescent="0.2">
      <c r="B717" s="92">
        <v>0.98194400000000004</v>
      </c>
      <c r="C717" s="92">
        <v>724.51639999999998</v>
      </c>
      <c r="D717" s="92">
        <v>108.28149999999999</v>
      </c>
      <c r="E717" s="92"/>
      <c r="F717" s="92">
        <v>0.98194400000000004</v>
      </c>
      <c r="G717" s="92">
        <v>724.5471</v>
      </c>
      <c r="H717" s="92">
        <v>107.56440000000001</v>
      </c>
      <c r="I717" s="92"/>
      <c r="J717" s="93">
        <f t="shared" si="18"/>
        <v>3.0700000000024374E-2</v>
      </c>
    </row>
    <row r="718" spans="2:10" x14ac:dyDescent="0.2">
      <c r="B718" s="92">
        <v>0.98333300000000001</v>
      </c>
      <c r="C718" s="92">
        <v>724.50570000000005</v>
      </c>
      <c r="D718" s="92">
        <v>108.28149999999999</v>
      </c>
      <c r="E718" s="92"/>
      <c r="F718" s="92">
        <v>0.98333300000000001</v>
      </c>
      <c r="G718" s="92">
        <v>724.53449999999998</v>
      </c>
      <c r="H718" s="92">
        <v>107.5727</v>
      </c>
      <c r="I718" s="92"/>
      <c r="J718" s="93">
        <f t="shared" si="18"/>
        <v>2.8799999999932879E-2</v>
      </c>
    </row>
    <row r="719" spans="2:10" x14ac:dyDescent="0.2">
      <c r="B719" s="92">
        <v>0.98472199999999999</v>
      </c>
      <c r="C719" s="92">
        <v>724.46590000000003</v>
      </c>
      <c r="D719" s="92">
        <v>108.2996</v>
      </c>
      <c r="E719" s="92"/>
      <c r="F719" s="92">
        <v>0.98472199999999999</v>
      </c>
      <c r="G719" s="92">
        <v>724.54690000000005</v>
      </c>
      <c r="H719" s="92">
        <v>107.5826</v>
      </c>
      <c r="I719" s="92"/>
      <c r="J719" s="93">
        <f t="shared" si="18"/>
        <v>8.100000000001728E-2</v>
      </c>
    </row>
    <row r="720" spans="2:10" x14ac:dyDescent="0.2">
      <c r="B720" s="92">
        <v>0.98611099999999996</v>
      </c>
      <c r="C720" s="92">
        <v>724.45489999999995</v>
      </c>
      <c r="D720" s="92">
        <v>108.3062</v>
      </c>
      <c r="E720" s="92"/>
      <c r="F720" s="92">
        <v>0.98611099999999996</v>
      </c>
      <c r="G720" s="92">
        <v>724.55200000000002</v>
      </c>
      <c r="H720" s="92">
        <v>107.58929999999999</v>
      </c>
      <c r="I720" s="92"/>
      <c r="J720" s="93">
        <f t="shared" si="18"/>
        <v>9.7100000000068576E-2</v>
      </c>
    </row>
    <row r="721" spans="2:10" x14ac:dyDescent="0.2">
      <c r="B721" s="92">
        <v>0.98750000000000004</v>
      </c>
      <c r="C721" s="92">
        <v>724.4932</v>
      </c>
      <c r="D721" s="92">
        <v>108.321</v>
      </c>
      <c r="E721" s="92"/>
      <c r="F721" s="92">
        <v>0.98750000000000004</v>
      </c>
      <c r="G721" s="92">
        <v>724.55050000000006</v>
      </c>
      <c r="H721" s="92">
        <v>107.6058</v>
      </c>
      <c r="I721" s="92"/>
      <c r="J721" s="93">
        <f t="shared" si="18"/>
        <v>5.7300000000054752E-2</v>
      </c>
    </row>
    <row r="722" spans="2:10" x14ac:dyDescent="0.2">
      <c r="B722" s="92">
        <v>0.98888900000000002</v>
      </c>
      <c r="C722" s="92">
        <v>724.49829999999997</v>
      </c>
      <c r="D722" s="92">
        <v>108.3276</v>
      </c>
      <c r="E722" s="92"/>
      <c r="F722" s="92">
        <v>0.98888900000000002</v>
      </c>
      <c r="G722" s="92">
        <v>724.53269999999998</v>
      </c>
      <c r="H722" s="92">
        <v>107.6075</v>
      </c>
      <c r="I722" s="92"/>
      <c r="J722" s="93">
        <f t="shared" si="18"/>
        <v>3.4400000000005093E-2</v>
      </c>
    </row>
    <row r="723" spans="2:10" x14ac:dyDescent="0.2">
      <c r="B723" s="92">
        <v>0.99027799999999999</v>
      </c>
      <c r="C723" s="92">
        <v>724.5068</v>
      </c>
      <c r="D723" s="92">
        <v>108.34569999999999</v>
      </c>
      <c r="E723" s="92"/>
      <c r="F723" s="92">
        <v>0.99027799999999999</v>
      </c>
      <c r="G723" s="92">
        <v>724.53560000000004</v>
      </c>
      <c r="H723" s="92">
        <v>107.6174</v>
      </c>
      <c r="I723" s="92"/>
      <c r="J723" s="93">
        <f t="shared" si="18"/>
        <v>2.8800000000046566E-2</v>
      </c>
    </row>
    <row r="724" spans="2:10" x14ac:dyDescent="0.2">
      <c r="B724" s="92">
        <v>0.99166699999999997</v>
      </c>
      <c r="C724" s="92">
        <v>724.47429999999997</v>
      </c>
      <c r="D724" s="92">
        <v>108.3523</v>
      </c>
      <c r="E724" s="92"/>
      <c r="F724" s="92">
        <v>0.99166699999999997</v>
      </c>
      <c r="G724" s="92">
        <v>724.53729999999996</v>
      </c>
      <c r="H724" s="92">
        <v>107.62569999999999</v>
      </c>
      <c r="I724" s="92"/>
      <c r="J724" s="93">
        <f t="shared" si="18"/>
        <v>6.2999999999988177E-2</v>
      </c>
    </row>
    <row r="725" spans="2:10" x14ac:dyDescent="0.2">
      <c r="B725" s="92">
        <v>0.99305600000000005</v>
      </c>
      <c r="C725" s="92">
        <v>724.47839999999997</v>
      </c>
      <c r="D725" s="92">
        <v>108.3506</v>
      </c>
      <c r="E725" s="92"/>
      <c r="F725" s="92">
        <v>0.99305600000000005</v>
      </c>
      <c r="G725" s="92">
        <v>724.53629999999998</v>
      </c>
      <c r="H725" s="92">
        <v>107.6307</v>
      </c>
      <c r="I725" s="92"/>
      <c r="J725" s="93">
        <f t="shared" si="18"/>
        <v>5.7900000000017826E-2</v>
      </c>
    </row>
    <row r="726" spans="2:10" x14ac:dyDescent="0.2">
      <c r="B726" s="92">
        <v>0.99444399999999999</v>
      </c>
      <c r="C726" s="92">
        <v>724.46579999999994</v>
      </c>
      <c r="D726" s="92">
        <v>108.3621</v>
      </c>
      <c r="E726" s="92"/>
      <c r="F726" s="92">
        <v>0.99444399999999999</v>
      </c>
      <c r="G726" s="92">
        <v>724.52239999999995</v>
      </c>
      <c r="H726" s="92">
        <v>107.6373</v>
      </c>
      <c r="I726" s="92"/>
      <c r="J726" s="93">
        <f t="shared" si="18"/>
        <v>5.6600000000003092E-2</v>
      </c>
    </row>
    <row r="727" spans="2:10" x14ac:dyDescent="0.2">
      <c r="B727" s="92">
        <v>0.99583299999999997</v>
      </c>
      <c r="C727" s="92">
        <v>724.47879999999998</v>
      </c>
      <c r="D727" s="92">
        <v>108.372</v>
      </c>
      <c r="E727" s="92"/>
      <c r="F727" s="92">
        <v>0.99583299999999997</v>
      </c>
      <c r="G727" s="92">
        <v>724.53290000000004</v>
      </c>
      <c r="H727" s="92">
        <v>107.6572</v>
      </c>
      <c r="I727" s="92"/>
      <c r="J727" s="93">
        <f t="shared" si="18"/>
        <v>5.4100000000062209E-2</v>
      </c>
    </row>
    <row r="728" spans="2:10" x14ac:dyDescent="0.2">
      <c r="B728" s="92">
        <v>0.99722200000000005</v>
      </c>
      <c r="C728" s="92">
        <v>724.46619999999996</v>
      </c>
      <c r="D728" s="92">
        <v>108.3835</v>
      </c>
      <c r="E728" s="92"/>
      <c r="F728" s="92">
        <v>0.99722200000000005</v>
      </c>
      <c r="G728" s="92">
        <v>724.53769999999997</v>
      </c>
      <c r="H728" s="92">
        <v>107.6572</v>
      </c>
      <c r="I728" s="92"/>
      <c r="J728" s="93">
        <f t="shared" si="18"/>
        <v>7.1500000000014552E-2</v>
      </c>
    </row>
    <row r="729" spans="2:10" x14ac:dyDescent="0.2">
      <c r="B729" s="92">
        <v>0.99861100000000003</v>
      </c>
      <c r="C729" s="92">
        <v>724.49149999999997</v>
      </c>
      <c r="D729" s="92">
        <v>108.38849999999999</v>
      </c>
      <c r="E729" s="92"/>
      <c r="F729" s="92">
        <v>0.99861100000000003</v>
      </c>
      <c r="G729" s="92">
        <v>724.54499999999996</v>
      </c>
      <c r="H729" s="92">
        <v>107.6605</v>
      </c>
      <c r="I729" s="92"/>
      <c r="J729" s="93">
        <f t="shared" si="18"/>
        <v>5.3499999999985448E-2</v>
      </c>
    </row>
    <row r="730" spans="2:10" x14ac:dyDescent="0.2">
      <c r="B730" s="92">
        <v>1</v>
      </c>
      <c r="C730" s="92">
        <v>724.4896</v>
      </c>
      <c r="D730" s="92">
        <v>108.4</v>
      </c>
      <c r="E730" s="92"/>
      <c r="F730" s="92">
        <v>1</v>
      </c>
      <c r="G730" s="92">
        <v>724.56960000000004</v>
      </c>
      <c r="H730" s="92">
        <v>107.6738</v>
      </c>
      <c r="I730" s="92"/>
      <c r="J730" s="93">
        <f t="shared" si="18"/>
        <v>8.0000000000040927E-2</v>
      </c>
    </row>
    <row r="731" spans="2:10" x14ac:dyDescent="0.2">
      <c r="B731" s="92">
        <v>1.0013890000000001</v>
      </c>
      <c r="C731" s="92">
        <v>724.46349999999995</v>
      </c>
      <c r="D731" s="92">
        <v>108.4148</v>
      </c>
      <c r="E731" s="92"/>
      <c r="F731" s="92">
        <v>1.0013890000000001</v>
      </c>
      <c r="G731" s="92">
        <v>724.56769999999995</v>
      </c>
      <c r="H731" s="92">
        <v>107.6837</v>
      </c>
      <c r="I731" s="92"/>
      <c r="J731" s="93">
        <f t="shared" si="18"/>
        <v>0.10419999999999163</v>
      </c>
    </row>
    <row r="732" spans="2:10" x14ac:dyDescent="0.2">
      <c r="B732" s="92">
        <v>1.0027779999999999</v>
      </c>
      <c r="C732" s="92">
        <v>724.50609999999995</v>
      </c>
      <c r="D732" s="92">
        <v>108.42140000000001</v>
      </c>
      <c r="E732" s="92"/>
      <c r="F732" s="92">
        <v>1.0027779999999999</v>
      </c>
      <c r="G732" s="92">
        <v>724.54769999999996</v>
      </c>
      <c r="H732" s="92">
        <v>107.6887</v>
      </c>
      <c r="I732" s="92"/>
      <c r="J732" s="93">
        <f t="shared" si="18"/>
        <v>4.1600000000016735E-2</v>
      </c>
    </row>
    <row r="733" spans="2:10" x14ac:dyDescent="0.2">
      <c r="B733" s="92">
        <v>1.004167</v>
      </c>
      <c r="C733" s="92">
        <v>724.43089999999995</v>
      </c>
      <c r="D733" s="92">
        <v>108.42140000000001</v>
      </c>
      <c r="E733" s="92"/>
      <c r="F733" s="92">
        <v>1.004167</v>
      </c>
      <c r="G733" s="92">
        <v>724.5471</v>
      </c>
      <c r="H733" s="92">
        <v>107.7003</v>
      </c>
      <c r="I733" s="92"/>
      <c r="J733" s="93">
        <f t="shared" si="18"/>
        <v>0.11620000000004893</v>
      </c>
    </row>
    <row r="734" spans="2:10" x14ac:dyDescent="0.2">
      <c r="B734" s="92">
        <v>1.0055559999999999</v>
      </c>
      <c r="C734" s="92">
        <v>724.48820000000001</v>
      </c>
      <c r="D734" s="92">
        <v>108.4329</v>
      </c>
      <c r="E734" s="92"/>
      <c r="F734" s="92">
        <v>1.0055559999999999</v>
      </c>
      <c r="G734" s="92">
        <v>724.50360000000001</v>
      </c>
      <c r="H734" s="92">
        <v>107.7119</v>
      </c>
      <c r="I734" s="92"/>
      <c r="J734" s="93">
        <f t="shared" si="18"/>
        <v>1.5399999999999636E-2</v>
      </c>
    </row>
    <row r="735" spans="2:10" x14ac:dyDescent="0.2">
      <c r="B735" s="92">
        <v>1.0069440000000001</v>
      </c>
      <c r="C735" s="92">
        <v>724.46100000000001</v>
      </c>
      <c r="D735" s="92">
        <v>108.43940000000001</v>
      </c>
      <c r="E735" s="92"/>
      <c r="F735" s="92">
        <v>1.0069440000000001</v>
      </c>
      <c r="G735" s="92">
        <v>724.56820000000005</v>
      </c>
      <c r="H735" s="92">
        <v>107.7152</v>
      </c>
      <c r="I735" s="92"/>
      <c r="J735" s="93">
        <f t="shared" si="18"/>
        <v>0.10720000000003438</v>
      </c>
    </row>
    <row r="736" spans="2:10" x14ac:dyDescent="0.2">
      <c r="B736" s="92">
        <v>1.0083329999999999</v>
      </c>
      <c r="C736" s="92">
        <v>724.49519999999995</v>
      </c>
      <c r="D736" s="92">
        <v>108.4559</v>
      </c>
      <c r="E736" s="92"/>
      <c r="F736" s="92">
        <v>1.0083329999999999</v>
      </c>
      <c r="G736" s="92">
        <v>724.5421</v>
      </c>
      <c r="H736" s="92">
        <v>107.71850000000001</v>
      </c>
      <c r="I736" s="92"/>
      <c r="J736" s="93">
        <f t="shared" si="18"/>
        <v>4.6900000000050568E-2</v>
      </c>
    </row>
    <row r="737" spans="2:10" x14ac:dyDescent="0.2">
      <c r="B737" s="92">
        <v>1.009722</v>
      </c>
      <c r="C737" s="92">
        <v>724.45699999999999</v>
      </c>
      <c r="D737" s="92">
        <v>108.4691</v>
      </c>
      <c r="E737" s="92"/>
      <c r="F737" s="92">
        <v>1.009722</v>
      </c>
      <c r="G737" s="92">
        <v>724.54660000000001</v>
      </c>
      <c r="H737" s="92">
        <v>107.7367</v>
      </c>
      <c r="I737" s="92"/>
      <c r="J737" s="93">
        <f t="shared" si="18"/>
        <v>8.9600000000018554E-2</v>
      </c>
    </row>
    <row r="738" spans="2:10" x14ac:dyDescent="0.2">
      <c r="B738" s="92">
        <v>1.0111110000000001</v>
      </c>
      <c r="C738" s="92">
        <v>724.49590000000001</v>
      </c>
      <c r="D738" s="92">
        <v>108.47069999999999</v>
      </c>
      <c r="E738" s="92"/>
      <c r="F738" s="92">
        <v>1.0111110000000001</v>
      </c>
      <c r="G738" s="92">
        <v>724.53359999999998</v>
      </c>
      <c r="H738" s="92">
        <v>107.7384</v>
      </c>
      <c r="I738" s="92"/>
      <c r="J738" s="93">
        <f t="shared" si="18"/>
        <v>3.7699999999972533E-2</v>
      </c>
    </row>
    <row r="739" spans="2:10" x14ac:dyDescent="0.2">
      <c r="B739" s="92">
        <v>1.0125</v>
      </c>
      <c r="C739" s="92">
        <v>724.49530000000004</v>
      </c>
      <c r="D739" s="92">
        <v>108.48390000000001</v>
      </c>
      <c r="E739" s="92"/>
      <c r="F739" s="92">
        <v>1.0125</v>
      </c>
      <c r="G739" s="92">
        <v>724.54259999999999</v>
      </c>
      <c r="H739" s="92">
        <v>107.75</v>
      </c>
      <c r="I739" s="92"/>
      <c r="J739" s="93">
        <f t="shared" si="18"/>
        <v>4.729999999995016E-2</v>
      </c>
    </row>
    <row r="740" spans="2:10" x14ac:dyDescent="0.2">
      <c r="B740" s="92">
        <v>1.013889</v>
      </c>
      <c r="C740" s="92">
        <v>724.48299999999995</v>
      </c>
      <c r="D740" s="92">
        <v>108.4888</v>
      </c>
      <c r="E740" s="92"/>
      <c r="F740" s="92">
        <v>1.013889</v>
      </c>
      <c r="G740" s="92">
        <v>724.54989999999998</v>
      </c>
      <c r="H740" s="92">
        <v>107.7533</v>
      </c>
      <c r="I740" s="92"/>
      <c r="J740" s="93">
        <f t="shared" si="18"/>
        <v>6.6900000000032378E-2</v>
      </c>
    </row>
    <row r="741" spans="2:10" x14ac:dyDescent="0.2">
      <c r="B741" s="92">
        <v>1.0152779999999999</v>
      </c>
      <c r="C741" s="92">
        <v>724.4425</v>
      </c>
      <c r="D741" s="92">
        <v>108.49209999999999</v>
      </c>
      <c r="E741" s="92"/>
      <c r="F741" s="92">
        <v>1.0152779999999999</v>
      </c>
      <c r="G741" s="92">
        <v>724.52200000000005</v>
      </c>
      <c r="H741" s="92">
        <v>107.76649999999999</v>
      </c>
      <c r="I741" s="92"/>
      <c r="J741" s="93">
        <f t="shared" si="18"/>
        <v>7.9500000000052751E-2</v>
      </c>
    </row>
    <row r="742" spans="2:10" x14ac:dyDescent="0.2">
      <c r="B742" s="92">
        <v>1.016667</v>
      </c>
      <c r="C742" s="92">
        <v>724.45519999999999</v>
      </c>
      <c r="D742" s="92">
        <v>108.5085</v>
      </c>
      <c r="E742" s="92"/>
      <c r="F742" s="92">
        <v>1.016667</v>
      </c>
      <c r="G742" s="92">
        <v>724.54840000000002</v>
      </c>
      <c r="H742" s="92">
        <v>107.7698</v>
      </c>
      <c r="I742" s="92"/>
      <c r="J742" s="93">
        <f t="shared" si="18"/>
        <v>9.3200000000024374E-2</v>
      </c>
    </row>
    <row r="743" spans="2:10" x14ac:dyDescent="0.2">
      <c r="B743" s="92">
        <v>1.0180560000000001</v>
      </c>
      <c r="C743" s="92">
        <v>724.47770000000003</v>
      </c>
      <c r="D743" s="92">
        <v>108.5168</v>
      </c>
      <c r="E743" s="92"/>
      <c r="F743" s="92">
        <v>1.0180560000000001</v>
      </c>
      <c r="G743" s="92">
        <v>724.57259999999997</v>
      </c>
      <c r="H743" s="92">
        <v>107.7765</v>
      </c>
      <c r="I743" s="92"/>
      <c r="J743" s="93">
        <f t="shared" si="18"/>
        <v>9.48999999999387E-2</v>
      </c>
    </row>
    <row r="744" spans="2:10" x14ac:dyDescent="0.2">
      <c r="B744" s="92">
        <v>1.019444</v>
      </c>
      <c r="C744" s="92">
        <v>724.51369999999997</v>
      </c>
      <c r="D744" s="92">
        <v>108.5217</v>
      </c>
      <c r="E744" s="92"/>
      <c r="F744" s="92">
        <v>1.019444</v>
      </c>
      <c r="G744" s="92">
        <v>724.56240000000003</v>
      </c>
      <c r="H744" s="92">
        <v>107.7881</v>
      </c>
      <c r="I744" s="92"/>
      <c r="J744" s="93">
        <f t="shared" si="18"/>
        <v>4.8700000000053478E-2</v>
      </c>
    </row>
    <row r="745" spans="2:10" x14ac:dyDescent="0.2">
      <c r="B745" s="92">
        <v>1.0208330000000001</v>
      </c>
      <c r="C745" s="92">
        <v>724.51750000000004</v>
      </c>
      <c r="D745" s="92">
        <v>108.5266</v>
      </c>
      <c r="E745" s="92"/>
      <c r="F745" s="92">
        <v>1.0208330000000001</v>
      </c>
      <c r="G745" s="92">
        <v>724.56060000000002</v>
      </c>
      <c r="H745" s="92">
        <v>107.798</v>
      </c>
      <c r="I745" s="92"/>
      <c r="J745" s="93">
        <f t="shared" si="18"/>
        <v>4.3099999999981264E-2</v>
      </c>
    </row>
    <row r="746" spans="2:10" x14ac:dyDescent="0.2">
      <c r="B746" s="92">
        <v>1.022222</v>
      </c>
      <c r="C746" s="92">
        <v>724.45809999999994</v>
      </c>
      <c r="D746" s="92">
        <v>108.53319999999999</v>
      </c>
      <c r="E746" s="92"/>
      <c r="F746" s="92">
        <v>1.022222</v>
      </c>
      <c r="G746" s="92">
        <v>724.51670000000001</v>
      </c>
      <c r="H746" s="92">
        <v>107.803</v>
      </c>
      <c r="I746" s="92"/>
      <c r="J746" s="93">
        <f t="shared" si="18"/>
        <v>5.8600000000069485E-2</v>
      </c>
    </row>
    <row r="747" spans="2:10" x14ac:dyDescent="0.2">
      <c r="B747" s="92">
        <v>1.023611</v>
      </c>
      <c r="C747" s="92">
        <v>724.47519999999997</v>
      </c>
      <c r="D747" s="92">
        <v>108.5414</v>
      </c>
      <c r="E747" s="92"/>
      <c r="F747" s="92">
        <v>1.023611</v>
      </c>
      <c r="G747" s="92">
        <v>724.5018</v>
      </c>
      <c r="H747" s="92">
        <v>107.8146</v>
      </c>
      <c r="I747" s="92"/>
      <c r="J747" s="93">
        <f t="shared" si="18"/>
        <v>2.6600000000030377E-2</v>
      </c>
    </row>
    <row r="748" spans="2:10" x14ac:dyDescent="0.2">
      <c r="B748" s="92">
        <v>1.0249999999999999</v>
      </c>
      <c r="C748" s="92">
        <v>724.4452</v>
      </c>
      <c r="D748" s="92">
        <v>108.5513</v>
      </c>
      <c r="E748" s="92"/>
      <c r="F748" s="92">
        <v>1.0249999999999999</v>
      </c>
      <c r="G748" s="92">
        <v>724.57629999999995</v>
      </c>
      <c r="H748" s="92">
        <v>107.8245</v>
      </c>
      <c r="I748" s="92"/>
      <c r="J748" s="93">
        <f t="shared" si="18"/>
        <v>0.1310999999999467</v>
      </c>
    </row>
    <row r="749" spans="2:10" x14ac:dyDescent="0.2">
      <c r="B749" s="92">
        <v>1.026389</v>
      </c>
      <c r="C749" s="92">
        <v>724.51599999999996</v>
      </c>
      <c r="D749" s="92">
        <v>108.5595</v>
      </c>
      <c r="E749" s="92"/>
      <c r="F749" s="92">
        <v>1.026389</v>
      </c>
      <c r="G749" s="92">
        <v>724.51430000000005</v>
      </c>
      <c r="H749" s="92">
        <v>107.8245</v>
      </c>
      <c r="I749" s="92"/>
      <c r="J749" s="93">
        <f t="shared" si="18"/>
        <v>1.6999999999143256E-3</v>
      </c>
    </row>
    <row r="750" spans="2:10" x14ac:dyDescent="0.2">
      <c r="B750" s="92">
        <v>1.0277780000000001</v>
      </c>
      <c r="C750" s="92">
        <v>724.51419999999996</v>
      </c>
      <c r="D750" s="92">
        <v>108.571</v>
      </c>
      <c r="E750" s="92"/>
      <c r="F750" s="92">
        <v>1.0277780000000001</v>
      </c>
      <c r="G750" s="92">
        <v>724.548</v>
      </c>
      <c r="H750" s="92">
        <v>107.83110000000001</v>
      </c>
      <c r="I750" s="92"/>
      <c r="J750" s="93">
        <f t="shared" si="18"/>
        <v>3.3800000000042019E-2</v>
      </c>
    </row>
    <row r="751" spans="2:10" x14ac:dyDescent="0.2">
      <c r="B751" s="92">
        <v>1.0291669999999999</v>
      </c>
      <c r="C751" s="92">
        <v>724.45069999999998</v>
      </c>
      <c r="D751" s="92">
        <v>108.5793</v>
      </c>
      <c r="E751" s="92"/>
      <c r="F751" s="92">
        <v>1.0291669999999999</v>
      </c>
      <c r="G751" s="92">
        <v>724.53570000000002</v>
      </c>
      <c r="H751" s="92">
        <v>107.846</v>
      </c>
      <c r="I751" s="92"/>
      <c r="J751" s="93">
        <f t="shared" si="18"/>
        <v>8.500000000003638E-2</v>
      </c>
    </row>
    <row r="752" spans="2:10" x14ac:dyDescent="0.2">
      <c r="B752" s="92">
        <v>1.030556</v>
      </c>
      <c r="C752" s="92">
        <v>724.48670000000004</v>
      </c>
      <c r="D752" s="92">
        <v>108.5842</v>
      </c>
      <c r="E752" s="92"/>
      <c r="F752" s="92">
        <v>1.030556</v>
      </c>
      <c r="G752" s="92">
        <v>724.52170000000001</v>
      </c>
      <c r="H752" s="92">
        <v>107.8527</v>
      </c>
      <c r="I752" s="92"/>
      <c r="J752" s="93">
        <f t="shared" si="18"/>
        <v>3.4999999999968168E-2</v>
      </c>
    </row>
    <row r="753" spans="2:10" x14ac:dyDescent="0.2">
      <c r="B753" s="92">
        <v>1.031944</v>
      </c>
      <c r="C753" s="92">
        <v>724.52149999999995</v>
      </c>
      <c r="D753" s="92">
        <v>108.58750000000001</v>
      </c>
      <c r="E753" s="92"/>
      <c r="F753" s="92">
        <v>1.031944</v>
      </c>
      <c r="G753" s="92">
        <v>724.56590000000006</v>
      </c>
      <c r="H753" s="92">
        <v>107.85429999999999</v>
      </c>
      <c r="I753" s="92"/>
      <c r="J753" s="93">
        <f t="shared" si="18"/>
        <v>4.4400000000109685E-2</v>
      </c>
    </row>
    <row r="754" spans="2:10" x14ac:dyDescent="0.2">
      <c r="B754" s="92">
        <v>1.0333330000000001</v>
      </c>
      <c r="C754" s="92">
        <v>724.49810000000002</v>
      </c>
      <c r="D754" s="92">
        <v>108.599</v>
      </c>
      <c r="E754" s="92"/>
      <c r="F754" s="92">
        <v>1.0333330000000001</v>
      </c>
      <c r="G754" s="92">
        <v>724.54499999999996</v>
      </c>
      <c r="H754" s="92">
        <v>107.8643</v>
      </c>
      <c r="I754" s="92"/>
      <c r="J754" s="93">
        <f t="shared" si="18"/>
        <v>4.6899999999936881E-2</v>
      </c>
    </row>
    <row r="755" spans="2:10" x14ac:dyDescent="0.2">
      <c r="B755" s="92">
        <v>1.0347219999999999</v>
      </c>
      <c r="C755" s="92">
        <v>724.52470000000005</v>
      </c>
      <c r="D755" s="92">
        <v>108.6056</v>
      </c>
      <c r="E755" s="92"/>
      <c r="F755" s="92">
        <v>1.0347219999999999</v>
      </c>
      <c r="G755" s="92">
        <v>724.56470000000002</v>
      </c>
      <c r="H755" s="92">
        <v>107.8775</v>
      </c>
      <c r="I755" s="92"/>
      <c r="J755" s="93">
        <f t="shared" si="18"/>
        <v>3.999999999996362E-2</v>
      </c>
    </row>
    <row r="756" spans="2:10" x14ac:dyDescent="0.2">
      <c r="B756" s="92">
        <v>1.036111</v>
      </c>
      <c r="C756" s="92">
        <v>724.49749999999995</v>
      </c>
      <c r="D756" s="92">
        <v>108.6122</v>
      </c>
      <c r="E756" s="92"/>
      <c r="F756" s="92">
        <v>1.036111</v>
      </c>
      <c r="G756" s="92">
        <v>724.55169999999998</v>
      </c>
      <c r="H756" s="92">
        <v>107.8792</v>
      </c>
      <c r="I756" s="92"/>
      <c r="J756" s="93">
        <f t="shared" si="18"/>
        <v>5.4200000000037107E-2</v>
      </c>
    </row>
    <row r="757" spans="2:10" x14ac:dyDescent="0.2">
      <c r="B757" s="92">
        <v>1.0375000000000001</v>
      </c>
      <c r="C757" s="92">
        <v>724.51900000000001</v>
      </c>
      <c r="D757" s="92">
        <v>108.6122</v>
      </c>
      <c r="E757" s="92"/>
      <c r="F757" s="92">
        <v>1.0375000000000001</v>
      </c>
      <c r="G757" s="92">
        <v>724.54729999999995</v>
      </c>
      <c r="H757" s="92">
        <v>107.8858</v>
      </c>
      <c r="I757" s="92"/>
      <c r="J757" s="93">
        <f t="shared" si="18"/>
        <v>2.8299999999944703E-2</v>
      </c>
    </row>
    <row r="758" spans="2:10" x14ac:dyDescent="0.2">
      <c r="B758" s="92">
        <v>1.038889</v>
      </c>
      <c r="C758" s="92">
        <v>724.5077</v>
      </c>
      <c r="D758" s="92">
        <v>108.6253</v>
      </c>
      <c r="E758" s="92"/>
      <c r="F758" s="92">
        <v>1.038889</v>
      </c>
      <c r="G758" s="92">
        <v>724.5702</v>
      </c>
      <c r="H758" s="92">
        <v>107.8908</v>
      </c>
      <c r="I758" s="92"/>
      <c r="J758" s="93">
        <f t="shared" si="18"/>
        <v>6.25E-2</v>
      </c>
    </row>
    <row r="759" spans="2:10" x14ac:dyDescent="0.2">
      <c r="B759" s="92">
        <v>1.040278</v>
      </c>
      <c r="C759" s="92">
        <v>724.51120000000003</v>
      </c>
      <c r="D759" s="92">
        <v>108.63679999999999</v>
      </c>
      <c r="E759" s="92"/>
      <c r="F759" s="92">
        <v>1.040278</v>
      </c>
      <c r="G759" s="92">
        <v>724.54349999999999</v>
      </c>
      <c r="H759" s="92">
        <v>107.9057</v>
      </c>
      <c r="I759" s="92"/>
      <c r="J759" s="93">
        <f t="shared" si="18"/>
        <v>3.2299999999963802E-2</v>
      </c>
    </row>
    <row r="760" spans="2:10" x14ac:dyDescent="0.2">
      <c r="B760" s="92">
        <v>1.0416669999999999</v>
      </c>
      <c r="C760" s="92">
        <v>724.47609999999997</v>
      </c>
      <c r="D760" s="92">
        <v>108.6401</v>
      </c>
      <c r="E760" s="92"/>
      <c r="F760" s="92">
        <v>1.0416669999999999</v>
      </c>
      <c r="G760" s="92">
        <v>724.53880000000004</v>
      </c>
      <c r="H760" s="92">
        <v>107.9057</v>
      </c>
      <c r="I760" s="92"/>
      <c r="J760" s="93">
        <f t="shared" si="18"/>
        <v>6.2700000000063483E-2</v>
      </c>
    </row>
    <row r="761" spans="2:10" x14ac:dyDescent="0.2">
      <c r="B761" s="92">
        <v>1.043056</v>
      </c>
      <c r="C761" s="92">
        <v>724.50810000000001</v>
      </c>
      <c r="D761" s="92">
        <v>108.6467</v>
      </c>
      <c r="E761" s="92"/>
      <c r="F761" s="92">
        <v>1.043056</v>
      </c>
      <c r="G761" s="92">
        <v>724.55629999999996</v>
      </c>
      <c r="H761" s="92">
        <v>107.92230000000001</v>
      </c>
      <c r="I761" s="92"/>
      <c r="J761" s="93">
        <f t="shared" si="18"/>
        <v>4.8199999999951615E-2</v>
      </c>
    </row>
    <row r="762" spans="2:10" x14ac:dyDescent="0.2">
      <c r="B762" s="92">
        <v>1.0444439999999999</v>
      </c>
      <c r="C762" s="92">
        <v>724.49699999999996</v>
      </c>
      <c r="D762" s="92">
        <v>108.6533</v>
      </c>
      <c r="E762" s="92"/>
      <c r="F762" s="92">
        <v>1.0444439999999999</v>
      </c>
      <c r="G762" s="92">
        <v>724.56110000000001</v>
      </c>
      <c r="H762" s="92">
        <v>107.92230000000001</v>
      </c>
      <c r="I762" s="92"/>
      <c r="J762" s="93">
        <f t="shared" si="18"/>
        <v>6.4100000000053114E-2</v>
      </c>
    </row>
    <row r="763" spans="2:10" x14ac:dyDescent="0.2">
      <c r="B763" s="92">
        <v>1.045833</v>
      </c>
      <c r="C763" s="92">
        <v>724.49639999999999</v>
      </c>
      <c r="D763" s="92">
        <v>108.6664</v>
      </c>
      <c r="E763" s="92"/>
      <c r="F763" s="92">
        <v>1.045833</v>
      </c>
      <c r="G763" s="92">
        <v>724.5376</v>
      </c>
      <c r="H763" s="92">
        <v>107.9289</v>
      </c>
      <c r="I763" s="92"/>
      <c r="J763" s="93">
        <f t="shared" si="18"/>
        <v>4.1200000000003456E-2</v>
      </c>
    </row>
    <row r="764" spans="2:10" x14ac:dyDescent="0.2">
      <c r="B764" s="92">
        <v>1.0472220000000001</v>
      </c>
      <c r="C764" s="92">
        <v>724.45600000000002</v>
      </c>
      <c r="D764" s="92">
        <v>108.66970000000001</v>
      </c>
      <c r="E764" s="92"/>
      <c r="F764" s="92">
        <v>1.0472220000000001</v>
      </c>
      <c r="G764" s="92">
        <v>724.53539999999998</v>
      </c>
      <c r="H764" s="92">
        <v>107.93219999999999</v>
      </c>
      <c r="I764" s="92"/>
      <c r="J764" s="93">
        <f t="shared" si="18"/>
        <v>7.9399999999964166E-2</v>
      </c>
    </row>
    <row r="765" spans="2:10" x14ac:dyDescent="0.2">
      <c r="B765" s="92">
        <v>1.048611</v>
      </c>
      <c r="C765" s="92">
        <v>724.44899999999996</v>
      </c>
      <c r="D765" s="92">
        <v>108.6747</v>
      </c>
      <c r="E765" s="92"/>
      <c r="F765" s="92">
        <v>1.048611</v>
      </c>
      <c r="G765" s="92">
        <v>724.53129999999999</v>
      </c>
      <c r="H765" s="92">
        <v>107.94540000000001</v>
      </c>
      <c r="I765" s="92"/>
      <c r="J765" s="93">
        <f t="shared" si="18"/>
        <v>8.2300000000032014E-2</v>
      </c>
    </row>
    <row r="766" spans="2:10" x14ac:dyDescent="0.2">
      <c r="B766" s="92">
        <v>1.05</v>
      </c>
      <c r="C766" s="92">
        <v>724.54669999999999</v>
      </c>
      <c r="D766" s="92">
        <v>108.6829</v>
      </c>
      <c r="E766" s="92"/>
      <c r="F766" s="92">
        <v>1.05</v>
      </c>
      <c r="G766" s="92">
        <v>724.54470000000003</v>
      </c>
      <c r="H766" s="92">
        <v>107.9504</v>
      </c>
      <c r="I766" s="92"/>
      <c r="J766" s="93">
        <f t="shared" si="18"/>
        <v>1.9999999999527063E-3</v>
      </c>
    </row>
    <row r="767" spans="2:10" x14ac:dyDescent="0.2">
      <c r="B767" s="92">
        <v>1.0513889999999999</v>
      </c>
      <c r="C767" s="92">
        <v>724.50630000000001</v>
      </c>
      <c r="D767" s="92">
        <v>108.6862</v>
      </c>
      <c r="E767" s="92"/>
      <c r="F767" s="92">
        <v>1.0513889999999999</v>
      </c>
      <c r="G767" s="92">
        <v>724.50559999999996</v>
      </c>
      <c r="H767" s="92">
        <v>107.9554</v>
      </c>
      <c r="I767" s="92"/>
      <c r="J767" s="93">
        <f t="shared" si="18"/>
        <v>7.000000000516593E-4</v>
      </c>
    </row>
    <row r="768" spans="2:10" x14ac:dyDescent="0.2">
      <c r="B768" s="92">
        <v>1.052778</v>
      </c>
      <c r="C768" s="92">
        <v>724.40139999999997</v>
      </c>
      <c r="D768" s="92">
        <v>108.6895</v>
      </c>
      <c r="E768" s="92"/>
      <c r="F768" s="92">
        <v>1.052778</v>
      </c>
      <c r="G768" s="92">
        <v>724.54060000000004</v>
      </c>
      <c r="H768" s="92">
        <v>107.9637</v>
      </c>
      <c r="I768" s="92"/>
      <c r="J768" s="93">
        <f t="shared" si="18"/>
        <v>0.13920000000007349</v>
      </c>
    </row>
    <row r="769" spans="2:10" x14ac:dyDescent="0.2">
      <c r="B769" s="92">
        <v>1.0541670000000001</v>
      </c>
      <c r="C769" s="92">
        <v>724.49749999999995</v>
      </c>
      <c r="D769" s="92">
        <v>108.7026</v>
      </c>
      <c r="E769" s="92"/>
      <c r="F769" s="92">
        <v>1.0541670000000001</v>
      </c>
      <c r="G769" s="92">
        <v>724.51229999999998</v>
      </c>
      <c r="H769" s="92">
        <v>107.97029999999999</v>
      </c>
      <c r="I769" s="92"/>
      <c r="J769" s="93">
        <f t="shared" si="18"/>
        <v>1.4800000000036562E-2</v>
      </c>
    </row>
    <row r="770" spans="2:10" x14ac:dyDescent="0.2">
      <c r="B770" s="92">
        <v>1.0555559999999999</v>
      </c>
      <c r="C770" s="92">
        <v>724.4905</v>
      </c>
      <c r="D770" s="92">
        <v>108.7076</v>
      </c>
      <c r="E770" s="92"/>
      <c r="F770" s="92">
        <v>1.0555559999999999</v>
      </c>
      <c r="G770" s="92">
        <v>724.53300000000002</v>
      </c>
      <c r="H770" s="92">
        <v>107.9786</v>
      </c>
      <c r="I770" s="92"/>
      <c r="J770" s="93">
        <f t="shared" si="18"/>
        <v>4.250000000001819E-2</v>
      </c>
    </row>
    <row r="771" spans="2:10" x14ac:dyDescent="0.2">
      <c r="B771" s="92">
        <v>1.0569440000000001</v>
      </c>
      <c r="C771" s="92">
        <v>724.47379999999998</v>
      </c>
      <c r="D771" s="92">
        <v>108.72069999999999</v>
      </c>
      <c r="E771" s="92"/>
      <c r="F771" s="92">
        <v>1.0569440000000001</v>
      </c>
      <c r="G771" s="92">
        <v>724.55690000000004</v>
      </c>
      <c r="H771" s="92">
        <v>107.9786</v>
      </c>
      <c r="I771" s="92"/>
      <c r="J771" s="93">
        <f t="shared" si="18"/>
        <v>8.3100000000058571E-2</v>
      </c>
    </row>
    <row r="772" spans="2:10" x14ac:dyDescent="0.2">
      <c r="B772" s="92">
        <v>1.058333</v>
      </c>
      <c r="C772" s="92">
        <v>724.50170000000003</v>
      </c>
      <c r="D772" s="92">
        <v>108.729</v>
      </c>
      <c r="E772" s="92"/>
      <c r="F772" s="92">
        <v>1.058333</v>
      </c>
      <c r="G772" s="92">
        <v>724.55060000000003</v>
      </c>
      <c r="H772" s="92">
        <v>107.99509999999999</v>
      </c>
      <c r="I772" s="92"/>
      <c r="J772" s="93">
        <f t="shared" si="18"/>
        <v>4.8900000000003274E-2</v>
      </c>
    </row>
    <row r="773" spans="2:10" x14ac:dyDescent="0.2">
      <c r="B773" s="92">
        <v>1.0597220000000001</v>
      </c>
      <c r="C773" s="92">
        <v>724.44920000000002</v>
      </c>
      <c r="D773" s="92">
        <v>108.7306</v>
      </c>
      <c r="E773" s="92"/>
      <c r="F773" s="92">
        <v>1.0597220000000001</v>
      </c>
      <c r="G773" s="92">
        <v>724.54840000000002</v>
      </c>
      <c r="H773" s="92">
        <v>107.99850000000001</v>
      </c>
      <c r="I773" s="92"/>
      <c r="J773" s="93">
        <f t="shared" si="18"/>
        <v>9.919999999999618E-2</v>
      </c>
    </row>
    <row r="774" spans="2:10" x14ac:dyDescent="0.2">
      <c r="B774" s="92">
        <v>1.0611109999999999</v>
      </c>
      <c r="C774" s="92">
        <v>724.47170000000006</v>
      </c>
      <c r="D774" s="92">
        <v>108.7388</v>
      </c>
      <c r="E774" s="92"/>
      <c r="F774" s="92">
        <v>1.0611109999999999</v>
      </c>
      <c r="G774" s="92">
        <v>724.53440000000001</v>
      </c>
      <c r="H774" s="92">
        <v>108.0051</v>
      </c>
      <c r="I774" s="92"/>
      <c r="J774" s="93">
        <f t="shared" si="18"/>
        <v>6.2699999999949796E-2</v>
      </c>
    </row>
    <row r="775" spans="2:10" x14ac:dyDescent="0.2">
      <c r="B775" s="92">
        <v>1.0625</v>
      </c>
      <c r="C775" s="92">
        <v>724.4837</v>
      </c>
      <c r="D775" s="92">
        <v>108.7405</v>
      </c>
      <c r="E775" s="92"/>
      <c r="F775" s="92">
        <v>1.0625</v>
      </c>
      <c r="G775" s="92">
        <v>724.53700000000003</v>
      </c>
      <c r="H775" s="92">
        <v>108.00839999999999</v>
      </c>
      <c r="I775" s="92"/>
      <c r="J775" s="93">
        <f t="shared" si="18"/>
        <v>5.3300000000035652E-2</v>
      </c>
    </row>
    <row r="776" spans="2:10" x14ac:dyDescent="0.2">
      <c r="B776" s="92">
        <v>1.0638890000000001</v>
      </c>
      <c r="C776" s="92">
        <v>724.45399999999995</v>
      </c>
      <c r="D776" s="92">
        <v>108.74379999999999</v>
      </c>
      <c r="E776" s="92"/>
      <c r="F776" s="92">
        <v>1.0638890000000001</v>
      </c>
      <c r="G776" s="92">
        <v>724.56370000000004</v>
      </c>
      <c r="H776" s="92">
        <v>108.0183</v>
      </c>
      <c r="I776" s="92"/>
      <c r="J776" s="93">
        <f t="shared" si="18"/>
        <v>0.10970000000008895</v>
      </c>
    </row>
    <row r="777" spans="2:10" x14ac:dyDescent="0.2">
      <c r="B777" s="92">
        <v>1.0652779999999999</v>
      </c>
      <c r="C777" s="92">
        <v>724.43219999999997</v>
      </c>
      <c r="D777" s="92">
        <v>108.7503</v>
      </c>
      <c r="E777" s="92"/>
      <c r="F777" s="92">
        <v>1.0652779999999999</v>
      </c>
      <c r="G777" s="92">
        <v>724.48649999999998</v>
      </c>
      <c r="H777" s="92">
        <v>108.02330000000001</v>
      </c>
      <c r="I777" s="92"/>
      <c r="J777" s="93">
        <f t="shared" si="18"/>
        <v>5.4300000000012005E-2</v>
      </c>
    </row>
    <row r="778" spans="2:10" x14ac:dyDescent="0.2">
      <c r="B778" s="92">
        <v>1.066667</v>
      </c>
      <c r="C778" s="92">
        <v>724.49789999999996</v>
      </c>
      <c r="D778" s="92">
        <v>108.752</v>
      </c>
      <c r="E778" s="92"/>
      <c r="F778" s="92">
        <v>1.066667</v>
      </c>
      <c r="G778" s="92">
        <v>724.52980000000002</v>
      </c>
      <c r="H778" s="92">
        <v>108.0299</v>
      </c>
      <c r="I778" s="92"/>
      <c r="J778" s="93">
        <f t="shared" si="18"/>
        <v>3.190000000006421E-2</v>
      </c>
    </row>
    <row r="779" spans="2:10" x14ac:dyDescent="0.2">
      <c r="B779" s="92">
        <v>1.0680559999999999</v>
      </c>
      <c r="C779" s="92">
        <v>724.44929999999999</v>
      </c>
      <c r="D779" s="92">
        <v>108.7586</v>
      </c>
      <c r="E779" s="92"/>
      <c r="F779" s="92">
        <v>1.0680559999999999</v>
      </c>
      <c r="G779" s="92">
        <v>724.55430000000001</v>
      </c>
      <c r="H779" s="92">
        <v>108.0432</v>
      </c>
      <c r="I779" s="92"/>
      <c r="J779" s="93">
        <f t="shared" ref="J779:J842" si="19">+ABS(G779-C779)</f>
        <v>0.10500000000001819</v>
      </c>
    </row>
    <row r="780" spans="2:10" x14ac:dyDescent="0.2">
      <c r="B780" s="92">
        <v>1.0694440000000001</v>
      </c>
      <c r="C780" s="92">
        <v>724.43949999999995</v>
      </c>
      <c r="D780" s="92">
        <v>108.7668</v>
      </c>
      <c r="E780" s="92"/>
      <c r="F780" s="92">
        <v>1.0694440000000001</v>
      </c>
      <c r="G780" s="92">
        <v>724.57429999999999</v>
      </c>
      <c r="H780" s="92">
        <v>108.0382</v>
      </c>
      <c r="I780" s="92"/>
      <c r="J780" s="93">
        <f t="shared" si="19"/>
        <v>0.13480000000004111</v>
      </c>
    </row>
    <row r="781" spans="2:10" x14ac:dyDescent="0.2">
      <c r="B781" s="92">
        <v>1.0708329999999999</v>
      </c>
      <c r="C781" s="92">
        <v>724.46199999999999</v>
      </c>
      <c r="D781" s="92">
        <v>108.77500000000001</v>
      </c>
      <c r="E781" s="92"/>
      <c r="F781" s="92">
        <v>1.0708329999999999</v>
      </c>
      <c r="G781" s="92">
        <v>724.54160000000002</v>
      </c>
      <c r="H781" s="92">
        <v>108.0515</v>
      </c>
      <c r="I781" s="92"/>
      <c r="J781" s="93">
        <f t="shared" si="19"/>
        <v>7.9600000000027649E-2</v>
      </c>
    </row>
    <row r="782" spans="2:10" x14ac:dyDescent="0.2">
      <c r="B782" s="92">
        <v>1.072222</v>
      </c>
      <c r="C782" s="92">
        <v>724.52359999999999</v>
      </c>
      <c r="D782" s="92">
        <v>108.7783</v>
      </c>
      <c r="E782" s="92"/>
      <c r="F782" s="92">
        <v>1.072222</v>
      </c>
      <c r="G782" s="92">
        <v>724.51549999999997</v>
      </c>
      <c r="H782" s="92">
        <v>108.0548</v>
      </c>
      <c r="I782" s="92"/>
      <c r="J782" s="93">
        <f t="shared" si="19"/>
        <v>8.1000000000130967E-3</v>
      </c>
    </row>
    <row r="783" spans="2:10" x14ac:dyDescent="0.2">
      <c r="B783" s="92">
        <v>1.0736110000000001</v>
      </c>
      <c r="C783" s="92">
        <v>724.52840000000003</v>
      </c>
      <c r="D783" s="92">
        <v>108.7915</v>
      </c>
      <c r="E783" s="92"/>
      <c r="F783" s="92">
        <v>1.0736110000000001</v>
      </c>
      <c r="G783" s="92">
        <v>724.548</v>
      </c>
      <c r="H783" s="92">
        <v>108.0598</v>
      </c>
      <c r="I783" s="92"/>
      <c r="J783" s="93">
        <f t="shared" si="19"/>
        <v>1.9599999999968531E-2</v>
      </c>
    </row>
    <row r="784" spans="2:10" x14ac:dyDescent="0.2">
      <c r="B784" s="92">
        <v>1.075</v>
      </c>
      <c r="C784" s="92">
        <v>724.47209999999995</v>
      </c>
      <c r="D784" s="92">
        <v>108.7882</v>
      </c>
      <c r="E784" s="92"/>
      <c r="F784" s="92">
        <v>1.075</v>
      </c>
      <c r="G784" s="92">
        <v>724.55</v>
      </c>
      <c r="H784" s="92">
        <v>108.07470000000001</v>
      </c>
      <c r="I784" s="92"/>
      <c r="J784" s="93">
        <f t="shared" si="19"/>
        <v>7.7899999999999636E-2</v>
      </c>
    </row>
    <row r="785" spans="2:10" x14ac:dyDescent="0.2">
      <c r="B785" s="92">
        <v>1.076389</v>
      </c>
      <c r="C785" s="92">
        <v>724.49210000000005</v>
      </c>
      <c r="D785" s="92">
        <v>108.7931</v>
      </c>
      <c r="E785" s="92"/>
      <c r="F785" s="92">
        <v>1.076389</v>
      </c>
      <c r="G785" s="92">
        <v>724.57029999999997</v>
      </c>
      <c r="H785" s="92">
        <v>108.0763</v>
      </c>
      <c r="I785" s="92"/>
      <c r="J785" s="93">
        <f t="shared" si="19"/>
        <v>7.819999999992433E-2</v>
      </c>
    </row>
    <row r="786" spans="2:10" x14ac:dyDescent="0.2">
      <c r="B786" s="92">
        <v>1.0777779999999999</v>
      </c>
      <c r="C786" s="92">
        <v>724.47529999999995</v>
      </c>
      <c r="D786" s="92">
        <v>108.80629999999999</v>
      </c>
      <c r="E786" s="92"/>
      <c r="F786" s="92">
        <v>1.0777779999999999</v>
      </c>
      <c r="G786" s="92">
        <v>724.53819999999996</v>
      </c>
      <c r="H786" s="92">
        <v>108.078</v>
      </c>
      <c r="I786" s="92"/>
      <c r="J786" s="93">
        <f t="shared" si="19"/>
        <v>6.2900000000013279E-2</v>
      </c>
    </row>
    <row r="787" spans="2:10" x14ac:dyDescent="0.2">
      <c r="B787" s="92">
        <v>1.079167</v>
      </c>
      <c r="C787" s="92">
        <v>724.46169999999995</v>
      </c>
      <c r="D787" s="92">
        <v>108.8096</v>
      </c>
      <c r="E787" s="92"/>
      <c r="F787" s="92">
        <v>1.079167</v>
      </c>
      <c r="G787" s="92">
        <v>724.54330000000004</v>
      </c>
      <c r="H787" s="92">
        <v>108.08459999999999</v>
      </c>
      <c r="I787" s="92"/>
      <c r="J787" s="93">
        <f t="shared" si="19"/>
        <v>8.1600000000094042E-2</v>
      </c>
    </row>
    <row r="788" spans="2:10" x14ac:dyDescent="0.2">
      <c r="B788" s="92">
        <v>1.0805560000000001</v>
      </c>
      <c r="C788" s="92">
        <v>724.47220000000004</v>
      </c>
      <c r="D788" s="92">
        <v>108.81610000000001</v>
      </c>
      <c r="E788" s="92"/>
      <c r="F788" s="92">
        <v>1.0805560000000001</v>
      </c>
      <c r="G788" s="92">
        <v>724.56179999999995</v>
      </c>
      <c r="H788" s="92">
        <v>108.0962</v>
      </c>
      <c r="I788" s="92"/>
      <c r="J788" s="93">
        <f t="shared" si="19"/>
        <v>8.9599999999904867E-2</v>
      </c>
    </row>
    <row r="789" spans="2:10" x14ac:dyDescent="0.2">
      <c r="B789" s="92">
        <v>1.081944</v>
      </c>
      <c r="C789" s="92">
        <v>724.50409999999999</v>
      </c>
      <c r="D789" s="92">
        <v>108.8227</v>
      </c>
      <c r="E789" s="92"/>
      <c r="F789" s="92">
        <v>1.081944</v>
      </c>
      <c r="G789" s="92">
        <v>724.54269999999997</v>
      </c>
      <c r="H789" s="92">
        <v>108.0962</v>
      </c>
      <c r="I789" s="92"/>
      <c r="J789" s="93">
        <f t="shared" si="19"/>
        <v>3.8599999999973988E-2</v>
      </c>
    </row>
    <row r="790" spans="2:10" x14ac:dyDescent="0.2">
      <c r="B790" s="92">
        <v>1.0833330000000001</v>
      </c>
      <c r="C790" s="92">
        <v>724.48680000000002</v>
      </c>
      <c r="D790" s="92">
        <v>108.8211</v>
      </c>
      <c r="E790" s="92"/>
      <c r="F790" s="92">
        <v>1.0833330000000001</v>
      </c>
      <c r="G790" s="92">
        <v>724.52750000000003</v>
      </c>
      <c r="H790" s="92">
        <v>108.10120000000001</v>
      </c>
      <c r="I790" s="92"/>
      <c r="J790" s="93">
        <f t="shared" si="19"/>
        <v>4.070000000001528E-2</v>
      </c>
    </row>
    <row r="791" spans="2:10" x14ac:dyDescent="0.2">
      <c r="B791" s="92">
        <v>1.084722</v>
      </c>
      <c r="C791" s="92">
        <v>724.4665</v>
      </c>
      <c r="D791" s="92">
        <v>108.8227</v>
      </c>
      <c r="E791" s="92"/>
      <c r="F791" s="92">
        <v>1.084722</v>
      </c>
      <c r="G791" s="92">
        <v>724.53129999999999</v>
      </c>
      <c r="H791" s="92">
        <v>108.1062</v>
      </c>
      <c r="I791" s="92"/>
      <c r="J791" s="93">
        <f t="shared" si="19"/>
        <v>6.4799999999991087E-2</v>
      </c>
    </row>
    <row r="792" spans="2:10" x14ac:dyDescent="0.2">
      <c r="B792" s="92">
        <v>1.086111</v>
      </c>
      <c r="C792" s="92">
        <v>724.50350000000003</v>
      </c>
      <c r="D792" s="92">
        <v>108.8359</v>
      </c>
      <c r="E792" s="92"/>
      <c r="F792" s="92">
        <v>1.086111</v>
      </c>
      <c r="G792" s="92">
        <v>724.54510000000005</v>
      </c>
      <c r="H792" s="92">
        <v>108.1177</v>
      </c>
      <c r="I792" s="92"/>
      <c r="J792" s="93">
        <f t="shared" si="19"/>
        <v>4.1600000000016735E-2</v>
      </c>
    </row>
    <row r="793" spans="2:10" x14ac:dyDescent="0.2">
      <c r="B793" s="92">
        <v>1.0874999999999999</v>
      </c>
      <c r="C793" s="92">
        <v>724.48180000000002</v>
      </c>
      <c r="D793" s="92">
        <v>108.8425</v>
      </c>
      <c r="E793" s="92"/>
      <c r="F793" s="92">
        <v>1.0874999999999999</v>
      </c>
      <c r="G793" s="92">
        <v>724.5788</v>
      </c>
      <c r="H793" s="92">
        <v>108.12439999999999</v>
      </c>
      <c r="I793" s="92"/>
      <c r="J793" s="93">
        <f t="shared" si="19"/>
        <v>9.6999999999979991E-2</v>
      </c>
    </row>
    <row r="794" spans="2:10" x14ac:dyDescent="0.2">
      <c r="B794" s="92">
        <v>1.088889</v>
      </c>
      <c r="C794" s="92">
        <v>724.51120000000003</v>
      </c>
      <c r="D794" s="92">
        <v>108.8458</v>
      </c>
      <c r="E794" s="92"/>
      <c r="F794" s="92">
        <v>1.088889</v>
      </c>
      <c r="G794" s="92">
        <v>724.53750000000002</v>
      </c>
      <c r="H794" s="92">
        <v>108.1327</v>
      </c>
      <c r="I794" s="92"/>
      <c r="J794" s="93">
        <f t="shared" si="19"/>
        <v>2.6299999999991996E-2</v>
      </c>
    </row>
    <row r="795" spans="2:10" x14ac:dyDescent="0.2">
      <c r="B795" s="92">
        <v>1.0902780000000001</v>
      </c>
      <c r="C795" s="92">
        <v>724.4597</v>
      </c>
      <c r="D795" s="92">
        <v>108.8556</v>
      </c>
      <c r="E795" s="92"/>
      <c r="F795" s="92">
        <v>1.0902780000000001</v>
      </c>
      <c r="G795" s="92">
        <v>724.54480000000001</v>
      </c>
      <c r="H795" s="92">
        <v>108.136</v>
      </c>
      <c r="I795" s="92"/>
      <c r="J795" s="93">
        <f t="shared" si="19"/>
        <v>8.5100000000011278E-2</v>
      </c>
    </row>
    <row r="796" spans="2:10" x14ac:dyDescent="0.2">
      <c r="B796" s="92">
        <v>1.0916669999999999</v>
      </c>
      <c r="C796" s="92">
        <v>724.46220000000005</v>
      </c>
      <c r="D796" s="92">
        <v>108.85890000000001</v>
      </c>
      <c r="E796" s="92"/>
      <c r="F796" s="92">
        <v>1.0916669999999999</v>
      </c>
      <c r="G796" s="92">
        <v>724.50570000000005</v>
      </c>
      <c r="H796" s="92">
        <v>108.1409</v>
      </c>
      <c r="I796" s="92"/>
      <c r="J796" s="93">
        <f t="shared" si="19"/>
        <v>4.3499999999994543E-2</v>
      </c>
    </row>
    <row r="797" spans="2:10" x14ac:dyDescent="0.2">
      <c r="B797" s="92">
        <v>1.093056</v>
      </c>
      <c r="C797" s="92">
        <v>724.52260000000001</v>
      </c>
      <c r="D797" s="92">
        <v>108.86060000000001</v>
      </c>
      <c r="E797" s="92"/>
      <c r="F797" s="92">
        <v>1.093056</v>
      </c>
      <c r="G797" s="92">
        <v>724.53120000000001</v>
      </c>
      <c r="H797" s="92">
        <v>108.14919999999999</v>
      </c>
      <c r="I797" s="92"/>
      <c r="J797" s="93">
        <f t="shared" si="19"/>
        <v>8.6000000000012733E-3</v>
      </c>
    </row>
    <row r="798" spans="2:10" x14ac:dyDescent="0.2">
      <c r="B798" s="92">
        <v>1.094444</v>
      </c>
      <c r="C798" s="92">
        <v>724.51689999999996</v>
      </c>
      <c r="D798" s="92">
        <v>108.86709999999999</v>
      </c>
      <c r="E798" s="92"/>
      <c r="F798" s="92">
        <v>1.094444</v>
      </c>
      <c r="G798" s="92">
        <v>724.53499999999997</v>
      </c>
      <c r="H798" s="92">
        <v>108.1542</v>
      </c>
      <c r="I798" s="92"/>
      <c r="J798" s="93">
        <f t="shared" si="19"/>
        <v>1.8100000000004002E-2</v>
      </c>
    </row>
    <row r="799" spans="2:10" x14ac:dyDescent="0.2">
      <c r="B799" s="92">
        <v>1.0958330000000001</v>
      </c>
      <c r="C799" s="92">
        <v>724.54629999999997</v>
      </c>
      <c r="D799" s="92">
        <v>108.8704</v>
      </c>
      <c r="E799" s="92"/>
      <c r="F799" s="92">
        <v>1.0958330000000001</v>
      </c>
      <c r="G799" s="92">
        <v>724.56880000000001</v>
      </c>
      <c r="H799" s="92">
        <v>108.16079999999999</v>
      </c>
      <c r="I799" s="92"/>
      <c r="J799" s="93">
        <f t="shared" si="19"/>
        <v>2.250000000003638E-2</v>
      </c>
    </row>
    <row r="800" spans="2:10" x14ac:dyDescent="0.2">
      <c r="B800" s="92">
        <v>1.0972219999999999</v>
      </c>
      <c r="C800" s="92">
        <v>724.46130000000005</v>
      </c>
      <c r="D800" s="92">
        <v>108.87869999999999</v>
      </c>
      <c r="E800" s="92"/>
      <c r="F800" s="92">
        <v>1.0972219999999999</v>
      </c>
      <c r="G800" s="92">
        <v>724.57740000000001</v>
      </c>
      <c r="H800" s="92">
        <v>108.1658</v>
      </c>
      <c r="I800" s="92"/>
      <c r="J800" s="93">
        <f t="shared" si="19"/>
        <v>0.11609999999996035</v>
      </c>
    </row>
    <row r="801" spans="2:10" x14ac:dyDescent="0.2">
      <c r="B801" s="92">
        <v>1.098611</v>
      </c>
      <c r="C801" s="92">
        <v>724.50149999999996</v>
      </c>
      <c r="D801" s="92">
        <v>108.88200000000001</v>
      </c>
      <c r="E801" s="92"/>
      <c r="F801" s="92">
        <v>1.098611</v>
      </c>
      <c r="G801" s="92">
        <v>724.57</v>
      </c>
      <c r="H801" s="92">
        <v>108.16249999999999</v>
      </c>
      <c r="I801" s="92"/>
      <c r="J801" s="93">
        <f t="shared" si="19"/>
        <v>6.8500000000085493E-2</v>
      </c>
    </row>
    <row r="802" spans="2:10" x14ac:dyDescent="0.2">
      <c r="B802" s="92">
        <v>1.1000000000000001</v>
      </c>
      <c r="C802" s="92">
        <v>724.50239999999997</v>
      </c>
      <c r="D802" s="92">
        <v>108.89019999999999</v>
      </c>
      <c r="E802" s="92"/>
      <c r="F802" s="92">
        <v>1.1000000000000001</v>
      </c>
      <c r="G802" s="92">
        <v>724.50009999999997</v>
      </c>
      <c r="H802" s="92">
        <v>108.1708</v>
      </c>
      <c r="I802" s="92"/>
      <c r="J802" s="93">
        <f t="shared" si="19"/>
        <v>2.299999999991087E-3</v>
      </c>
    </row>
    <row r="803" spans="2:10" x14ac:dyDescent="0.2">
      <c r="B803" s="92">
        <v>1.101389</v>
      </c>
      <c r="C803" s="92">
        <v>724.505</v>
      </c>
      <c r="D803" s="92">
        <v>108.8935</v>
      </c>
      <c r="E803" s="92"/>
      <c r="F803" s="92">
        <v>1.101389</v>
      </c>
      <c r="G803" s="92">
        <v>724.49950000000001</v>
      </c>
      <c r="H803" s="92">
        <v>108.1824</v>
      </c>
      <c r="I803" s="92"/>
      <c r="J803" s="93">
        <f t="shared" si="19"/>
        <v>5.4999999999836291E-3</v>
      </c>
    </row>
    <row r="804" spans="2:10" x14ac:dyDescent="0.2">
      <c r="B804" s="92">
        <v>1.102778</v>
      </c>
      <c r="C804" s="92">
        <v>724.50210000000004</v>
      </c>
      <c r="D804" s="92">
        <v>108.8968</v>
      </c>
      <c r="E804" s="92"/>
      <c r="F804" s="92">
        <v>1.102778</v>
      </c>
      <c r="G804" s="92">
        <v>724.54020000000003</v>
      </c>
      <c r="H804" s="92">
        <v>108.1857</v>
      </c>
      <c r="I804" s="92"/>
      <c r="J804" s="93">
        <f t="shared" si="19"/>
        <v>3.8099999999985812E-2</v>
      </c>
    </row>
    <row r="805" spans="2:10" x14ac:dyDescent="0.2">
      <c r="B805" s="92">
        <v>1.1041669999999999</v>
      </c>
      <c r="C805" s="92">
        <v>724.51</v>
      </c>
      <c r="D805" s="92">
        <v>108.90009999999999</v>
      </c>
      <c r="E805" s="92"/>
      <c r="F805" s="92">
        <v>1.1041669999999999</v>
      </c>
      <c r="G805" s="92">
        <v>724.52880000000005</v>
      </c>
      <c r="H805" s="92">
        <v>108.1956</v>
      </c>
      <c r="I805" s="92"/>
      <c r="J805" s="93">
        <f t="shared" si="19"/>
        <v>1.8800000000055661E-2</v>
      </c>
    </row>
    <row r="806" spans="2:10" x14ac:dyDescent="0.2">
      <c r="B806" s="92">
        <v>1.105556</v>
      </c>
      <c r="C806" s="92">
        <v>724.45759999999996</v>
      </c>
      <c r="D806" s="92">
        <v>108.90170000000001</v>
      </c>
      <c r="E806" s="92"/>
      <c r="F806" s="92">
        <v>1.105556</v>
      </c>
      <c r="G806" s="92">
        <v>724.53229999999996</v>
      </c>
      <c r="H806" s="92">
        <v>108.194</v>
      </c>
      <c r="I806" s="92"/>
      <c r="J806" s="93">
        <f t="shared" si="19"/>
        <v>7.4700000000007094E-2</v>
      </c>
    </row>
    <row r="807" spans="2:10" x14ac:dyDescent="0.2">
      <c r="B807" s="92">
        <v>1.1069439999999999</v>
      </c>
      <c r="C807" s="92">
        <v>724.49869999999999</v>
      </c>
      <c r="D807" s="92">
        <v>108.9132</v>
      </c>
      <c r="E807" s="92"/>
      <c r="F807" s="92">
        <v>1.1069439999999999</v>
      </c>
      <c r="G807" s="92">
        <v>724.56640000000004</v>
      </c>
      <c r="H807" s="92">
        <v>108.2072</v>
      </c>
      <c r="I807" s="92"/>
      <c r="J807" s="93">
        <f t="shared" si="19"/>
        <v>6.7700000000058935E-2</v>
      </c>
    </row>
    <row r="808" spans="2:10" x14ac:dyDescent="0.2">
      <c r="B808" s="92">
        <v>1.108333</v>
      </c>
      <c r="C808" s="92">
        <v>724.49969999999996</v>
      </c>
      <c r="D808" s="92">
        <v>108.92140000000001</v>
      </c>
      <c r="E808" s="92"/>
      <c r="F808" s="92">
        <v>1.108333</v>
      </c>
      <c r="G808" s="92">
        <v>724.52729999999997</v>
      </c>
      <c r="H808" s="92">
        <v>108.2122</v>
      </c>
      <c r="I808" s="92"/>
      <c r="J808" s="93">
        <f t="shared" si="19"/>
        <v>2.760000000000673E-2</v>
      </c>
    </row>
    <row r="809" spans="2:10" x14ac:dyDescent="0.2">
      <c r="B809" s="92">
        <v>1.1097220000000001</v>
      </c>
      <c r="C809" s="92">
        <v>724.49680000000001</v>
      </c>
      <c r="D809" s="92">
        <v>108.9247</v>
      </c>
      <c r="E809" s="92"/>
      <c r="F809" s="92">
        <v>1.1097220000000001</v>
      </c>
      <c r="G809" s="92">
        <v>724.55409999999995</v>
      </c>
      <c r="H809" s="92">
        <v>108.2221</v>
      </c>
      <c r="I809" s="92"/>
      <c r="J809" s="93">
        <f t="shared" si="19"/>
        <v>5.7299999999941065E-2</v>
      </c>
    </row>
    <row r="810" spans="2:10" x14ac:dyDescent="0.2">
      <c r="B810" s="92">
        <v>1.111111</v>
      </c>
      <c r="C810" s="92">
        <v>724.52530000000002</v>
      </c>
      <c r="D810" s="92">
        <v>108.9198</v>
      </c>
      <c r="E810" s="92"/>
      <c r="F810" s="92">
        <v>1.111111</v>
      </c>
      <c r="G810" s="92">
        <v>724.56960000000004</v>
      </c>
      <c r="H810" s="92">
        <v>108.2238</v>
      </c>
      <c r="I810" s="92"/>
      <c r="J810" s="93">
        <f t="shared" si="19"/>
        <v>4.43000000000211E-2</v>
      </c>
    </row>
    <row r="811" spans="2:10" x14ac:dyDescent="0.2">
      <c r="B811" s="92">
        <v>1.1125</v>
      </c>
      <c r="C811" s="92">
        <v>724.50059999999996</v>
      </c>
      <c r="D811" s="92">
        <v>108.9297</v>
      </c>
      <c r="E811" s="92"/>
      <c r="F811" s="92">
        <v>1.1125</v>
      </c>
      <c r="G811" s="92">
        <v>724.56169999999997</v>
      </c>
      <c r="H811" s="92">
        <v>108.2321</v>
      </c>
      <c r="I811" s="92"/>
      <c r="J811" s="93">
        <f t="shared" si="19"/>
        <v>6.1100000000010368E-2</v>
      </c>
    </row>
    <row r="812" spans="2:10" x14ac:dyDescent="0.2">
      <c r="B812" s="92">
        <v>1.1138889999999999</v>
      </c>
      <c r="C812" s="92">
        <v>724.43610000000001</v>
      </c>
      <c r="D812" s="92">
        <v>108.9297</v>
      </c>
      <c r="E812" s="92"/>
      <c r="F812" s="92">
        <v>1.1138889999999999</v>
      </c>
      <c r="G812" s="92">
        <v>724.56330000000003</v>
      </c>
      <c r="H812" s="92">
        <v>108.2403</v>
      </c>
      <c r="I812" s="92"/>
      <c r="J812" s="93">
        <f t="shared" si="19"/>
        <v>0.12720000000001619</v>
      </c>
    </row>
    <row r="813" spans="2:10" x14ac:dyDescent="0.2">
      <c r="B813" s="92">
        <v>1.115278</v>
      </c>
      <c r="C813" s="92">
        <v>724.51110000000006</v>
      </c>
      <c r="D813" s="92">
        <v>108.9362</v>
      </c>
      <c r="E813" s="92"/>
      <c r="F813" s="92">
        <v>1.115278</v>
      </c>
      <c r="G813" s="92">
        <v>724.56209999999999</v>
      </c>
      <c r="H813" s="92">
        <v>108.23869999999999</v>
      </c>
      <c r="I813" s="92"/>
      <c r="J813" s="93">
        <f t="shared" si="19"/>
        <v>5.0999999999930878E-2</v>
      </c>
    </row>
    <row r="814" spans="2:10" x14ac:dyDescent="0.2">
      <c r="B814" s="92">
        <v>1.1166670000000001</v>
      </c>
      <c r="C814" s="92">
        <v>724.4665</v>
      </c>
      <c r="D814" s="92">
        <v>108.94119999999999</v>
      </c>
      <c r="E814" s="92"/>
      <c r="F814" s="92">
        <v>1.1166670000000001</v>
      </c>
      <c r="G814" s="92">
        <v>724.57539999999995</v>
      </c>
      <c r="H814" s="92">
        <v>108.2437</v>
      </c>
      <c r="I814" s="92"/>
      <c r="J814" s="93">
        <f t="shared" si="19"/>
        <v>0.1088999999999487</v>
      </c>
    </row>
    <row r="815" spans="2:10" x14ac:dyDescent="0.2">
      <c r="B815" s="92">
        <v>1.1180559999999999</v>
      </c>
      <c r="C815" s="92">
        <v>724.44090000000006</v>
      </c>
      <c r="D815" s="92">
        <v>108.94280000000001</v>
      </c>
      <c r="E815" s="92"/>
      <c r="F815" s="92">
        <v>1.1180559999999999</v>
      </c>
      <c r="G815" s="92">
        <v>724.572</v>
      </c>
      <c r="H815" s="92">
        <v>108.2453</v>
      </c>
      <c r="I815" s="92"/>
      <c r="J815" s="93">
        <f t="shared" si="19"/>
        <v>0.1310999999999467</v>
      </c>
    </row>
    <row r="816" spans="2:10" x14ac:dyDescent="0.2">
      <c r="B816" s="92">
        <v>1.1194440000000001</v>
      </c>
      <c r="C816" s="92">
        <v>724.45669999999996</v>
      </c>
      <c r="D816" s="92">
        <v>108.9494</v>
      </c>
      <c r="E816" s="92"/>
      <c r="F816" s="92">
        <v>1.1194440000000001</v>
      </c>
      <c r="G816" s="92">
        <v>724.53579999999999</v>
      </c>
      <c r="H816" s="92">
        <v>108.2602</v>
      </c>
      <c r="I816" s="92"/>
      <c r="J816" s="93">
        <f t="shared" si="19"/>
        <v>7.9100000000039472E-2</v>
      </c>
    </row>
    <row r="817" spans="2:10" x14ac:dyDescent="0.2">
      <c r="B817" s="92">
        <v>1.120833</v>
      </c>
      <c r="C817" s="92">
        <v>724.43899999999996</v>
      </c>
      <c r="D817" s="92">
        <v>108.9543</v>
      </c>
      <c r="E817" s="92"/>
      <c r="F817" s="92">
        <v>1.120833</v>
      </c>
      <c r="G817" s="92">
        <v>724.57780000000002</v>
      </c>
      <c r="H817" s="92">
        <v>108.26519999999999</v>
      </c>
      <c r="I817" s="92"/>
      <c r="J817" s="93">
        <f t="shared" si="19"/>
        <v>0.13880000000006021</v>
      </c>
    </row>
    <row r="818" spans="2:10" x14ac:dyDescent="0.2">
      <c r="B818" s="92">
        <v>1.1222220000000001</v>
      </c>
      <c r="C818" s="92">
        <v>724.48050000000001</v>
      </c>
      <c r="D818" s="92">
        <v>108.9593</v>
      </c>
      <c r="E818" s="92"/>
      <c r="F818" s="92">
        <v>1.1222220000000001</v>
      </c>
      <c r="G818" s="92">
        <v>724.50879999999995</v>
      </c>
      <c r="H818" s="92">
        <v>108.2685</v>
      </c>
      <c r="I818" s="92"/>
      <c r="J818" s="93">
        <f t="shared" si="19"/>
        <v>2.8299999999944703E-2</v>
      </c>
    </row>
    <row r="819" spans="2:10" x14ac:dyDescent="0.2">
      <c r="B819" s="92">
        <v>1.1236109999999999</v>
      </c>
      <c r="C819" s="92">
        <v>724.48559999999998</v>
      </c>
      <c r="D819" s="92">
        <v>108.9659</v>
      </c>
      <c r="E819" s="92"/>
      <c r="F819" s="92">
        <v>1.1236109999999999</v>
      </c>
      <c r="G819" s="92">
        <v>724.52660000000003</v>
      </c>
      <c r="H819" s="92">
        <v>108.26690000000001</v>
      </c>
      <c r="I819" s="92"/>
      <c r="J819" s="93">
        <f t="shared" si="19"/>
        <v>4.100000000005366E-2</v>
      </c>
    </row>
    <row r="820" spans="2:10" x14ac:dyDescent="0.2">
      <c r="B820" s="92">
        <v>1.125</v>
      </c>
      <c r="C820" s="92">
        <v>724.51779999999997</v>
      </c>
      <c r="D820" s="92">
        <v>108.9659</v>
      </c>
      <c r="E820" s="92"/>
      <c r="F820" s="92">
        <v>1.125</v>
      </c>
      <c r="G820" s="92">
        <v>724.55240000000003</v>
      </c>
      <c r="H820" s="92">
        <v>108.2818</v>
      </c>
      <c r="I820" s="92"/>
      <c r="J820" s="93">
        <f t="shared" si="19"/>
        <v>3.4600000000068576E-2</v>
      </c>
    </row>
    <row r="821" spans="2:10" x14ac:dyDescent="0.2">
      <c r="B821" s="92">
        <v>1.1263890000000001</v>
      </c>
      <c r="C821" s="92">
        <v>724.47990000000004</v>
      </c>
      <c r="D821" s="92">
        <v>108.97239999999999</v>
      </c>
      <c r="E821" s="92"/>
      <c r="F821" s="92">
        <v>1.1263890000000001</v>
      </c>
      <c r="G821" s="92">
        <v>724.57050000000004</v>
      </c>
      <c r="H821" s="92">
        <v>108.2867</v>
      </c>
      <c r="I821" s="92"/>
      <c r="J821" s="93">
        <f t="shared" si="19"/>
        <v>9.0599999999994907E-2</v>
      </c>
    </row>
    <row r="822" spans="2:10" x14ac:dyDescent="0.2">
      <c r="B822" s="92">
        <v>1.1277779999999999</v>
      </c>
      <c r="C822" s="92">
        <v>724.4502</v>
      </c>
      <c r="D822" s="92">
        <v>108.9757</v>
      </c>
      <c r="E822" s="92"/>
      <c r="F822" s="92">
        <v>1.1277779999999999</v>
      </c>
      <c r="G822" s="92">
        <v>724.54319999999996</v>
      </c>
      <c r="H822" s="92">
        <v>108.2884</v>
      </c>
      <c r="I822" s="92"/>
      <c r="J822" s="93">
        <f t="shared" si="19"/>
        <v>9.2999999999960892E-2</v>
      </c>
    </row>
    <row r="823" spans="2:10" x14ac:dyDescent="0.2">
      <c r="B823" s="92">
        <v>1.129167</v>
      </c>
      <c r="C823" s="92">
        <v>724.47799999999995</v>
      </c>
      <c r="D823" s="92">
        <v>108.98399999999999</v>
      </c>
      <c r="E823" s="92"/>
      <c r="F823" s="92">
        <v>1.129167</v>
      </c>
      <c r="G823" s="92">
        <v>724.59950000000003</v>
      </c>
      <c r="H823" s="92">
        <v>108.29340000000001</v>
      </c>
      <c r="I823" s="92"/>
      <c r="J823" s="93">
        <f t="shared" si="19"/>
        <v>0.12150000000008276</v>
      </c>
    </row>
    <row r="824" spans="2:10" x14ac:dyDescent="0.2">
      <c r="B824" s="92">
        <v>1.1305559999999999</v>
      </c>
      <c r="C824" s="92">
        <v>724.53300000000002</v>
      </c>
      <c r="D824" s="92">
        <v>108.98560000000001</v>
      </c>
      <c r="E824" s="92"/>
      <c r="F824" s="92">
        <v>1.1305559999999999</v>
      </c>
      <c r="G824" s="92">
        <v>724.55340000000001</v>
      </c>
      <c r="H824" s="92">
        <v>108.30159999999999</v>
      </c>
      <c r="I824" s="92"/>
      <c r="J824" s="93">
        <f t="shared" si="19"/>
        <v>2.0399999999995089E-2</v>
      </c>
    </row>
    <row r="825" spans="2:10" x14ac:dyDescent="0.2">
      <c r="B825" s="92">
        <v>1.1319440000000001</v>
      </c>
      <c r="C825" s="92">
        <v>724.44799999999998</v>
      </c>
      <c r="D825" s="92">
        <v>108.99379999999999</v>
      </c>
      <c r="E825" s="92"/>
      <c r="F825" s="92">
        <v>1.1319440000000001</v>
      </c>
      <c r="G825" s="92">
        <v>724.55629999999996</v>
      </c>
      <c r="H825" s="92">
        <v>108.3116</v>
      </c>
      <c r="I825" s="92"/>
      <c r="J825" s="93">
        <f t="shared" si="19"/>
        <v>0.10829999999998563</v>
      </c>
    </row>
    <row r="826" spans="2:10" x14ac:dyDescent="0.2">
      <c r="B826" s="92">
        <v>1.1333329999999999</v>
      </c>
      <c r="C826" s="92">
        <v>724.4375</v>
      </c>
      <c r="D826" s="92">
        <v>108.9872</v>
      </c>
      <c r="E826" s="92"/>
      <c r="F826" s="92">
        <v>1.1333329999999999</v>
      </c>
      <c r="G826" s="92">
        <v>724.55409999999995</v>
      </c>
      <c r="H826" s="92">
        <v>108.31489999999999</v>
      </c>
      <c r="I826" s="92"/>
      <c r="J826" s="93">
        <f t="shared" si="19"/>
        <v>0.11659999999994852</v>
      </c>
    </row>
    <row r="827" spans="2:10" x14ac:dyDescent="0.2">
      <c r="B827" s="92">
        <v>1.134722</v>
      </c>
      <c r="C827" s="92">
        <v>724.47199999999998</v>
      </c>
      <c r="D827" s="92">
        <v>108.9971</v>
      </c>
      <c r="E827" s="92"/>
      <c r="F827" s="92">
        <v>1.134722</v>
      </c>
      <c r="G827" s="92">
        <v>724.56269999999995</v>
      </c>
      <c r="H827" s="92">
        <v>108.3199</v>
      </c>
      <c r="I827" s="92"/>
      <c r="J827" s="93">
        <f t="shared" si="19"/>
        <v>9.0699999999969805E-2</v>
      </c>
    </row>
    <row r="828" spans="2:10" x14ac:dyDescent="0.2">
      <c r="B828" s="92">
        <v>1.1361110000000001</v>
      </c>
      <c r="C828" s="92">
        <v>724.48</v>
      </c>
      <c r="D828" s="92">
        <v>109.0004</v>
      </c>
      <c r="E828" s="92"/>
      <c r="F828" s="92">
        <v>1.1361110000000001</v>
      </c>
      <c r="G828" s="92">
        <v>724.56299999999999</v>
      </c>
      <c r="H828" s="92">
        <v>108.3265</v>
      </c>
      <c r="I828" s="92"/>
      <c r="J828" s="93">
        <f t="shared" si="19"/>
        <v>8.2999999999969987E-2</v>
      </c>
    </row>
    <row r="829" spans="2:10" x14ac:dyDescent="0.2">
      <c r="B829" s="92">
        <v>1.1375</v>
      </c>
      <c r="C829" s="92">
        <v>724.53369999999995</v>
      </c>
      <c r="D829" s="92">
        <v>109.0004</v>
      </c>
      <c r="E829" s="92"/>
      <c r="F829" s="92">
        <v>1.1375</v>
      </c>
      <c r="G829" s="92">
        <v>724.62630000000001</v>
      </c>
      <c r="H829" s="92">
        <v>108.3282</v>
      </c>
      <c r="I829" s="92"/>
      <c r="J829" s="93">
        <f t="shared" si="19"/>
        <v>9.26000000000613E-2</v>
      </c>
    </row>
    <row r="830" spans="2:10" x14ac:dyDescent="0.2">
      <c r="B830" s="92">
        <v>1.138889</v>
      </c>
      <c r="C830" s="92">
        <v>724.61940000000004</v>
      </c>
      <c r="D830" s="92">
        <v>109.00700000000001</v>
      </c>
      <c r="E830" s="92"/>
      <c r="F830" s="92">
        <v>1.138889</v>
      </c>
      <c r="G830" s="92">
        <v>724.75170000000003</v>
      </c>
      <c r="H830" s="92">
        <v>108.32980000000001</v>
      </c>
      <c r="I830" s="92"/>
      <c r="J830" s="93">
        <f t="shared" si="19"/>
        <v>0.13229999999998654</v>
      </c>
    </row>
    <row r="831" spans="2:10" x14ac:dyDescent="0.2">
      <c r="B831" s="92">
        <v>1.1402779999999999</v>
      </c>
      <c r="C831" s="92">
        <v>724.76400000000001</v>
      </c>
      <c r="D831" s="92">
        <v>109.0202</v>
      </c>
      <c r="E831" s="92"/>
      <c r="F831" s="92">
        <v>1.1402779999999999</v>
      </c>
      <c r="G831" s="92">
        <v>724.86559999999997</v>
      </c>
      <c r="H831" s="92">
        <v>108.34139999999999</v>
      </c>
      <c r="I831" s="92"/>
      <c r="J831" s="93">
        <f t="shared" si="19"/>
        <v>0.10159999999996217</v>
      </c>
    </row>
    <row r="832" spans="2:10" x14ac:dyDescent="0.2">
      <c r="B832" s="92">
        <v>1.141667</v>
      </c>
      <c r="C832" s="92">
        <v>724.83609999999999</v>
      </c>
      <c r="D832" s="92">
        <v>109.03</v>
      </c>
      <c r="E832" s="92"/>
      <c r="F832" s="92">
        <v>1.141667</v>
      </c>
      <c r="G832" s="92">
        <v>724.96460000000002</v>
      </c>
      <c r="H832" s="92">
        <v>108.3646</v>
      </c>
      <c r="I832" s="92"/>
      <c r="J832" s="93">
        <f t="shared" si="19"/>
        <v>0.12850000000003092</v>
      </c>
    </row>
    <row r="833" spans="2:10" x14ac:dyDescent="0.2">
      <c r="B833" s="92">
        <v>1.1430560000000001</v>
      </c>
      <c r="C833" s="92">
        <v>724.97910000000002</v>
      </c>
      <c r="D833" s="92">
        <v>109.04810000000001</v>
      </c>
      <c r="E833" s="92"/>
      <c r="F833" s="92">
        <v>1.1430560000000001</v>
      </c>
      <c r="G833" s="92">
        <v>725.0684</v>
      </c>
      <c r="H833" s="92">
        <v>108.3878</v>
      </c>
      <c r="I833" s="92"/>
      <c r="J833" s="93">
        <f t="shared" si="19"/>
        <v>8.9299999999980173E-2</v>
      </c>
    </row>
    <row r="834" spans="2:10" x14ac:dyDescent="0.2">
      <c r="B834" s="92">
        <v>1.144444</v>
      </c>
      <c r="C834" s="92">
        <v>725.06569999999999</v>
      </c>
      <c r="D834" s="92">
        <v>109.0629</v>
      </c>
      <c r="E834" s="92"/>
      <c r="F834" s="92">
        <v>1.144444</v>
      </c>
      <c r="G834" s="92">
        <v>725.24440000000004</v>
      </c>
      <c r="H834" s="92">
        <v>108.4243</v>
      </c>
      <c r="I834" s="92"/>
      <c r="J834" s="93">
        <f t="shared" si="19"/>
        <v>0.17870000000004893</v>
      </c>
    </row>
    <row r="835" spans="2:10" x14ac:dyDescent="0.2">
      <c r="B835" s="92">
        <v>1.1458330000000001</v>
      </c>
      <c r="C835" s="92">
        <v>725.24199999999996</v>
      </c>
      <c r="D835" s="92">
        <v>109.08929999999999</v>
      </c>
      <c r="E835" s="92"/>
      <c r="F835" s="92">
        <v>1.1458330000000001</v>
      </c>
      <c r="G835" s="92">
        <v>725.32380000000001</v>
      </c>
      <c r="H835" s="92">
        <v>108.459</v>
      </c>
      <c r="I835" s="92"/>
      <c r="J835" s="93">
        <f t="shared" si="19"/>
        <v>8.1800000000043838E-2</v>
      </c>
    </row>
    <row r="836" spans="2:10" x14ac:dyDescent="0.2">
      <c r="B836" s="92">
        <v>1.147222</v>
      </c>
      <c r="C836" s="92">
        <v>725.3777</v>
      </c>
      <c r="D836" s="92">
        <v>109.1189</v>
      </c>
      <c r="E836" s="92"/>
      <c r="F836" s="92">
        <v>1.147222</v>
      </c>
      <c r="G836" s="92">
        <v>725.48239999999998</v>
      </c>
      <c r="H836" s="92">
        <v>108.5038</v>
      </c>
      <c r="I836" s="92"/>
      <c r="J836" s="93">
        <f t="shared" si="19"/>
        <v>0.10469999999997981</v>
      </c>
    </row>
    <row r="837" spans="2:10" x14ac:dyDescent="0.2">
      <c r="B837" s="92">
        <v>1.148611</v>
      </c>
      <c r="C837" s="92">
        <v>725.44740000000002</v>
      </c>
      <c r="D837" s="92">
        <v>109.1534</v>
      </c>
      <c r="E837" s="92"/>
      <c r="F837" s="92">
        <v>1.148611</v>
      </c>
      <c r="G837" s="92">
        <v>725.59079999999994</v>
      </c>
      <c r="H837" s="92">
        <v>108.54519999999999</v>
      </c>
      <c r="I837" s="92"/>
      <c r="J837" s="93">
        <f t="shared" si="19"/>
        <v>0.1433999999999287</v>
      </c>
    </row>
    <row r="838" spans="2:10" x14ac:dyDescent="0.2">
      <c r="B838" s="92">
        <v>1.1499999999999999</v>
      </c>
      <c r="C838" s="92">
        <v>725.61109999999996</v>
      </c>
      <c r="D838" s="92">
        <v>109.1913</v>
      </c>
      <c r="E838" s="92"/>
      <c r="F838" s="92">
        <v>1.1499999999999999</v>
      </c>
      <c r="G838" s="92">
        <v>725.702</v>
      </c>
      <c r="H838" s="92">
        <v>108.5966</v>
      </c>
      <c r="I838" s="92"/>
      <c r="J838" s="93">
        <f t="shared" si="19"/>
        <v>9.0900000000033288E-2</v>
      </c>
    </row>
    <row r="839" spans="2:10" x14ac:dyDescent="0.2">
      <c r="B839" s="92">
        <v>1.151389</v>
      </c>
      <c r="C839" s="92">
        <v>725.69970000000001</v>
      </c>
      <c r="D839" s="92">
        <v>109.2225</v>
      </c>
      <c r="E839" s="92"/>
      <c r="F839" s="92">
        <v>1.151389</v>
      </c>
      <c r="G839" s="92">
        <v>725.85889999999995</v>
      </c>
      <c r="H839" s="92">
        <v>108.6512</v>
      </c>
      <c r="I839" s="92"/>
      <c r="J839" s="93">
        <f t="shared" si="19"/>
        <v>0.15919999999994161</v>
      </c>
    </row>
    <row r="840" spans="2:10" x14ac:dyDescent="0.2">
      <c r="B840" s="92">
        <v>1.1527780000000001</v>
      </c>
      <c r="C840" s="92">
        <v>725.83090000000004</v>
      </c>
      <c r="D840" s="92">
        <v>109.267</v>
      </c>
      <c r="E840" s="92"/>
      <c r="F840" s="92">
        <v>1.1527780000000001</v>
      </c>
      <c r="G840" s="92">
        <v>725.96889999999996</v>
      </c>
      <c r="H840" s="92">
        <v>108.70099999999999</v>
      </c>
      <c r="I840" s="92"/>
      <c r="J840" s="93">
        <f t="shared" si="19"/>
        <v>0.13799999999991996</v>
      </c>
    </row>
    <row r="841" spans="2:10" x14ac:dyDescent="0.2">
      <c r="B841" s="92">
        <v>1.1541669999999999</v>
      </c>
      <c r="C841" s="92">
        <v>725.95119999999997</v>
      </c>
      <c r="D841" s="92">
        <v>109.31140000000001</v>
      </c>
      <c r="E841" s="92"/>
      <c r="F841" s="92">
        <v>1.1541669999999999</v>
      </c>
      <c r="G841" s="92">
        <v>726.11360000000002</v>
      </c>
      <c r="H841" s="92">
        <v>108.75230000000001</v>
      </c>
      <c r="I841" s="92"/>
      <c r="J841" s="93">
        <f t="shared" si="19"/>
        <v>0.16240000000004784</v>
      </c>
    </row>
    <row r="842" spans="2:10" x14ac:dyDescent="0.2">
      <c r="B842" s="92">
        <v>1.155556</v>
      </c>
      <c r="C842" s="92">
        <v>726.0675</v>
      </c>
      <c r="D842" s="92">
        <v>109.3575</v>
      </c>
      <c r="E842" s="92"/>
      <c r="F842" s="92">
        <v>1.155556</v>
      </c>
      <c r="G842" s="92">
        <v>726.21230000000003</v>
      </c>
      <c r="H842" s="92">
        <v>108.812</v>
      </c>
      <c r="I842" s="92"/>
      <c r="J842" s="93">
        <f t="shared" si="19"/>
        <v>0.14480000000003201</v>
      </c>
    </row>
    <row r="843" spans="2:10" x14ac:dyDescent="0.2">
      <c r="B843" s="92">
        <v>1.156944</v>
      </c>
      <c r="C843" s="92">
        <v>726.19579999999996</v>
      </c>
      <c r="D843" s="92">
        <v>109.40519999999999</v>
      </c>
      <c r="E843" s="92"/>
      <c r="F843" s="92">
        <v>1.156944</v>
      </c>
      <c r="G843" s="92">
        <v>726.35739999999998</v>
      </c>
      <c r="H843" s="92">
        <v>108.87</v>
      </c>
      <c r="I843" s="92"/>
      <c r="J843" s="93">
        <f t="shared" ref="J843:J906" si="20">+ABS(G843-C843)</f>
        <v>0.16160000000002128</v>
      </c>
    </row>
    <row r="844" spans="2:10" x14ac:dyDescent="0.2">
      <c r="B844" s="92">
        <v>1.1583330000000001</v>
      </c>
      <c r="C844" s="92">
        <v>726.34950000000003</v>
      </c>
      <c r="D844" s="92">
        <v>109.45780000000001</v>
      </c>
      <c r="E844" s="92"/>
      <c r="F844" s="92">
        <v>1.1583330000000001</v>
      </c>
      <c r="G844" s="92">
        <v>726.46559999999999</v>
      </c>
      <c r="H844" s="92">
        <v>108.92959999999999</v>
      </c>
      <c r="I844" s="92"/>
      <c r="J844" s="93">
        <f t="shared" si="20"/>
        <v>0.11609999999996035</v>
      </c>
    </row>
    <row r="845" spans="2:10" x14ac:dyDescent="0.2">
      <c r="B845" s="92">
        <v>1.1597219999999999</v>
      </c>
      <c r="C845" s="92">
        <v>726.43859999999995</v>
      </c>
      <c r="D845" s="92">
        <v>109.51049999999999</v>
      </c>
      <c r="E845" s="92"/>
      <c r="F845" s="92">
        <v>1.1597219999999999</v>
      </c>
      <c r="G845" s="92">
        <v>726.5634</v>
      </c>
      <c r="H845" s="92">
        <v>108.99420000000001</v>
      </c>
      <c r="I845" s="92"/>
      <c r="J845" s="93">
        <f t="shared" si="20"/>
        <v>0.1248000000000502</v>
      </c>
    </row>
    <row r="846" spans="2:10" x14ac:dyDescent="0.2">
      <c r="B846" s="92">
        <v>1.161111</v>
      </c>
      <c r="C846" s="92">
        <v>726.58119999999997</v>
      </c>
      <c r="D846" s="92">
        <v>109.5697</v>
      </c>
      <c r="E846" s="92"/>
      <c r="F846" s="92">
        <v>1.161111</v>
      </c>
      <c r="G846" s="92">
        <v>726.69709999999998</v>
      </c>
      <c r="H846" s="92">
        <v>109.0622</v>
      </c>
      <c r="I846" s="92"/>
      <c r="J846" s="93">
        <f t="shared" si="20"/>
        <v>0.11590000000001055</v>
      </c>
    </row>
    <row r="847" spans="2:10" x14ac:dyDescent="0.2">
      <c r="B847" s="92">
        <v>1.1625000000000001</v>
      </c>
      <c r="C847" s="92">
        <v>726.72109999999998</v>
      </c>
      <c r="D847" s="92">
        <v>109.6323</v>
      </c>
      <c r="E847" s="92"/>
      <c r="F847" s="92">
        <v>1.1625000000000001</v>
      </c>
      <c r="G847" s="92">
        <v>726.86339999999996</v>
      </c>
      <c r="H847" s="92">
        <v>109.13509999999999</v>
      </c>
      <c r="I847" s="92"/>
      <c r="J847" s="93">
        <f t="shared" si="20"/>
        <v>0.14229999999997744</v>
      </c>
    </row>
    <row r="848" spans="2:10" x14ac:dyDescent="0.2">
      <c r="B848" s="92">
        <v>1.163889</v>
      </c>
      <c r="C848" s="92">
        <v>726.85419999999999</v>
      </c>
      <c r="D848" s="92">
        <v>109.6932</v>
      </c>
      <c r="E848" s="92"/>
      <c r="F848" s="92">
        <v>1.163889</v>
      </c>
      <c r="G848" s="92">
        <v>727.00319999999999</v>
      </c>
      <c r="H848" s="92">
        <v>109.2047</v>
      </c>
      <c r="I848" s="92"/>
      <c r="J848" s="93">
        <f t="shared" si="20"/>
        <v>0.14900000000000091</v>
      </c>
    </row>
    <row r="849" spans="2:10" x14ac:dyDescent="0.2">
      <c r="B849" s="92">
        <v>1.165278</v>
      </c>
      <c r="C849" s="92">
        <v>727.0258</v>
      </c>
      <c r="D849" s="92">
        <v>109.7689</v>
      </c>
      <c r="E849" s="92"/>
      <c r="F849" s="92">
        <v>1.165278</v>
      </c>
      <c r="G849" s="92">
        <v>727.20650000000001</v>
      </c>
      <c r="H849" s="92">
        <v>109.27589999999999</v>
      </c>
      <c r="I849" s="92"/>
      <c r="J849" s="93">
        <f t="shared" si="20"/>
        <v>0.18070000000000164</v>
      </c>
    </row>
    <row r="850" spans="2:10" x14ac:dyDescent="0.2">
      <c r="B850" s="92">
        <v>1.1666669999999999</v>
      </c>
      <c r="C850" s="92">
        <v>727.16160000000002</v>
      </c>
      <c r="D850" s="92">
        <v>109.8331</v>
      </c>
      <c r="E850" s="92"/>
      <c r="F850" s="92">
        <v>1.1666669999999999</v>
      </c>
      <c r="G850" s="92">
        <v>727.35019999999997</v>
      </c>
      <c r="H850" s="92">
        <v>109.3505</v>
      </c>
      <c r="I850" s="92"/>
      <c r="J850" s="93">
        <f t="shared" si="20"/>
        <v>0.18859999999995125</v>
      </c>
    </row>
    <row r="851" spans="2:10" x14ac:dyDescent="0.2">
      <c r="B851" s="92">
        <v>1.168056</v>
      </c>
      <c r="C851" s="92">
        <v>727.3655</v>
      </c>
      <c r="D851" s="92">
        <v>109.9088</v>
      </c>
      <c r="E851" s="92"/>
      <c r="F851" s="92">
        <v>1.168056</v>
      </c>
      <c r="G851" s="92">
        <v>727.51570000000004</v>
      </c>
      <c r="H851" s="92">
        <v>109.4284</v>
      </c>
      <c r="I851" s="92"/>
      <c r="J851" s="93">
        <f t="shared" si="20"/>
        <v>0.15020000000004075</v>
      </c>
    </row>
    <row r="852" spans="2:10" x14ac:dyDescent="0.2">
      <c r="B852" s="92">
        <v>1.1694439999999999</v>
      </c>
      <c r="C852" s="92">
        <v>727.51300000000003</v>
      </c>
      <c r="D852" s="92">
        <v>109.9812</v>
      </c>
      <c r="E852" s="92"/>
      <c r="F852" s="92">
        <v>1.1694439999999999</v>
      </c>
      <c r="G852" s="92">
        <v>727.73350000000005</v>
      </c>
      <c r="H852" s="92">
        <v>109.5245</v>
      </c>
      <c r="I852" s="92"/>
      <c r="J852" s="93">
        <f t="shared" si="20"/>
        <v>0.22050000000001546</v>
      </c>
    </row>
    <row r="853" spans="2:10" x14ac:dyDescent="0.2">
      <c r="B853" s="92">
        <v>1.170833</v>
      </c>
      <c r="C853" s="92">
        <v>727.69650000000001</v>
      </c>
      <c r="D853" s="92">
        <v>110.0651</v>
      </c>
      <c r="E853" s="92"/>
      <c r="F853" s="92">
        <v>1.170833</v>
      </c>
      <c r="G853" s="92">
        <v>727.83439999999996</v>
      </c>
      <c r="H853" s="92">
        <v>109.59910000000001</v>
      </c>
      <c r="I853" s="92"/>
      <c r="J853" s="93">
        <f t="shared" si="20"/>
        <v>0.13789999999994507</v>
      </c>
    </row>
    <row r="854" spans="2:10" x14ac:dyDescent="0.2">
      <c r="B854" s="92">
        <v>1.1722220000000001</v>
      </c>
      <c r="C854" s="92">
        <v>727.83270000000005</v>
      </c>
      <c r="D854" s="92">
        <v>110.1507</v>
      </c>
      <c r="E854" s="92"/>
      <c r="F854" s="92">
        <v>1.1722220000000001</v>
      </c>
      <c r="G854" s="92">
        <v>728.01750000000004</v>
      </c>
      <c r="H854" s="92">
        <v>109.6935</v>
      </c>
      <c r="I854" s="92"/>
      <c r="J854" s="93">
        <f t="shared" si="20"/>
        <v>0.18479999999999563</v>
      </c>
    </row>
    <row r="855" spans="2:10" x14ac:dyDescent="0.2">
      <c r="B855" s="92">
        <v>1.173611</v>
      </c>
      <c r="C855" s="92">
        <v>727.98519999999996</v>
      </c>
      <c r="D855" s="92">
        <v>110.2363</v>
      </c>
      <c r="E855" s="92"/>
      <c r="F855" s="92">
        <v>1.173611</v>
      </c>
      <c r="G855" s="92">
        <v>728.18769999999995</v>
      </c>
      <c r="H855" s="92">
        <v>109.78959999999999</v>
      </c>
      <c r="I855" s="92"/>
      <c r="J855" s="93">
        <f t="shared" si="20"/>
        <v>0.20249999999998636</v>
      </c>
    </row>
    <row r="856" spans="2:10" x14ac:dyDescent="0.2">
      <c r="B856" s="92">
        <v>1.175</v>
      </c>
      <c r="C856" s="92">
        <v>728.18150000000003</v>
      </c>
      <c r="D856" s="92">
        <v>110.33669999999999</v>
      </c>
      <c r="E856" s="92"/>
      <c r="F856" s="92">
        <v>1.175</v>
      </c>
      <c r="G856" s="92">
        <v>728.34860000000003</v>
      </c>
      <c r="H856" s="92">
        <v>109.89239999999999</v>
      </c>
      <c r="I856" s="92"/>
      <c r="J856" s="93">
        <f t="shared" si="20"/>
        <v>0.16710000000000491</v>
      </c>
    </row>
    <row r="857" spans="2:10" x14ac:dyDescent="0.2">
      <c r="B857" s="92">
        <v>1.1763889999999999</v>
      </c>
      <c r="C857" s="92">
        <v>728.36</v>
      </c>
      <c r="D857" s="92">
        <v>110.4421</v>
      </c>
      <c r="E857" s="92"/>
      <c r="F857" s="92">
        <v>1.1763889999999999</v>
      </c>
      <c r="G857" s="92">
        <v>728.48009999999999</v>
      </c>
      <c r="H857" s="92">
        <v>110.0001</v>
      </c>
      <c r="I857" s="92"/>
      <c r="J857" s="93">
        <f t="shared" si="20"/>
        <v>0.12009999999997945</v>
      </c>
    </row>
    <row r="858" spans="2:10" x14ac:dyDescent="0.2">
      <c r="B858" s="92">
        <v>1.177778</v>
      </c>
      <c r="C858" s="92">
        <v>728.50070000000005</v>
      </c>
      <c r="D858" s="92">
        <v>110.55410000000001</v>
      </c>
      <c r="E858" s="92"/>
      <c r="F858" s="92">
        <v>1.177778</v>
      </c>
      <c r="G858" s="92">
        <v>728.65800000000002</v>
      </c>
      <c r="H858" s="92">
        <v>110.1062</v>
      </c>
      <c r="I858" s="92"/>
      <c r="J858" s="93">
        <f t="shared" si="20"/>
        <v>0.1572999999999638</v>
      </c>
    </row>
    <row r="859" spans="2:10" x14ac:dyDescent="0.2">
      <c r="B859" s="92">
        <v>1.1791670000000001</v>
      </c>
      <c r="C859" s="92">
        <v>728.68320000000006</v>
      </c>
      <c r="D859" s="92">
        <v>110.6644</v>
      </c>
      <c r="E859" s="92"/>
      <c r="F859" s="92">
        <v>1.1791670000000001</v>
      </c>
      <c r="G859" s="92">
        <v>728.86670000000004</v>
      </c>
      <c r="H859" s="92">
        <v>110.2272</v>
      </c>
      <c r="I859" s="92"/>
      <c r="J859" s="93">
        <f t="shared" si="20"/>
        <v>0.1834999999999809</v>
      </c>
    </row>
    <row r="860" spans="2:10" x14ac:dyDescent="0.2">
      <c r="B860" s="92">
        <v>1.1805559999999999</v>
      </c>
      <c r="C860" s="92">
        <v>728.88160000000005</v>
      </c>
      <c r="D860" s="92">
        <v>110.7813</v>
      </c>
      <c r="E860" s="92"/>
      <c r="F860" s="92">
        <v>1.1805559999999999</v>
      </c>
      <c r="G860" s="92">
        <v>729.03560000000004</v>
      </c>
      <c r="H860" s="92">
        <v>110.3399</v>
      </c>
      <c r="I860" s="92"/>
      <c r="J860" s="93">
        <f t="shared" si="20"/>
        <v>0.15399999999999636</v>
      </c>
    </row>
    <row r="861" spans="2:10" x14ac:dyDescent="0.2">
      <c r="B861" s="92">
        <v>1.1819440000000001</v>
      </c>
      <c r="C861" s="92">
        <v>728.97770000000003</v>
      </c>
      <c r="D861" s="92">
        <v>110.8982</v>
      </c>
      <c r="E861" s="92"/>
      <c r="F861" s="92">
        <v>1.1819440000000001</v>
      </c>
      <c r="G861" s="92">
        <v>729.1404</v>
      </c>
      <c r="H861" s="92">
        <v>110.46250000000001</v>
      </c>
      <c r="I861" s="92"/>
      <c r="J861" s="93">
        <f t="shared" si="20"/>
        <v>0.16269999999997253</v>
      </c>
    </row>
    <row r="862" spans="2:10" x14ac:dyDescent="0.2">
      <c r="B862" s="92">
        <v>1.183333</v>
      </c>
      <c r="C862" s="92">
        <v>729.22180000000003</v>
      </c>
      <c r="D862" s="92">
        <v>111.0184</v>
      </c>
      <c r="E862" s="92"/>
      <c r="F862" s="92">
        <v>1.183333</v>
      </c>
      <c r="G862" s="92">
        <v>729.38549999999998</v>
      </c>
      <c r="H862" s="92">
        <v>110.5686</v>
      </c>
      <c r="I862" s="92"/>
      <c r="J862" s="93">
        <f t="shared" si="20"/>
        <v>0.16369999999994889</v>
      </c>
    </row>
    <row r="863" spans="2:10" x14ac:dyDescent="0.2">
      <c r="B863" s="92">
        <v>1.1847220000000001</v>
      </c>
      <c r="C863" s="92">
        <v>729.34429999999998</v>
      </c>
      <c r="D863" s="92">
        <v>111.1485</v>
      </c>
      <c r="E863" s="92"/>
      <c r="F863" s="92">
        <v>1.1847220000000001</v>
      </c>
      <c r="G863" s="92">
        <v>729.53039999999999</v>
      </c>
      <c r="H863" s="92">
        <v>110.6995</v>
      </c>
      <c r="I863" s="92"/>
      <c r="J863" s="93">
        <f t="shared" si="20"/>
        <v>0.18610000000001037</v>
      </c>
    </row>
    <row r="864" spans="2:10" x14ac:dyDescent="0.2">
      <c r="B864" s="92">
        <v>1.1861109999999999</v>
      </c>
      <c r="C864" s="92">
        <v>729.53399999999999</v>
      </c>
      <c r="D864" s="92">
        <v>111.2539</v>
      </c>
      <c r="E864" s="92"/>
      <c r="F864" s="92">
        <v>1.1861109999999999</v>
      </c>
      <c r="G864" s="92">
        <v>729.71979999999996</v>
      </c>
      <c r="H864" s="92">
        <v>110.8139</v>
      </c>
      <c r="I864" s="92"/>
      <c r="J864" s="93">
        <f t="shared" si="20"/>
        <v>0.18579999999997199</v>
      </c>
    </row>
    <row r="865" spans="2:10" x14ac:dyDescent="0.2">
      <c r="B865" s="92">
        <v>1.1875</v>
      </c>
      <c r="C865" s="92">
        <v>729.65549999999996</v>
      </c>
      <c r="D865" s="92">
        <v>111.37569999999999</v>
      </c>
      <c r="E865" s="92"/>
      <c r="F865" s="92">
        <v>1.1875</v>
      </c>
      <c r="G865" s="92">
        <v>729.85479999999995</v>
      </c>
      <c r="H865" s="92">
        <v>110.93819999999999</v>
      </c>
      <c r="I865" s="92"/>
      <c r="J865" s="93">
        <f t="shared" si="20"/>
        <v>0.19929999999999382</v>
      </c>
    </row>
    <row r="866" spans="2:10" x14ac:dyDescent="0.2">
      <c r="B866" s="92">
        <v>1.1888890000000001</v>
      </c>
      <c r="C866" s="92">
        <v>729.87549999999999</v>
      </c>
      <c r="D866" s="92">
        <v>111.4992</v>
      </c>
      <c r="E866" s="92"/>
      <c r="F866" s="92">
        <v>1.1888890000000001</v>
      </c>
      <c r="G866" s="92">
        <v>730.02380000000005</v>
      </c>
      <c r="H866" s="92">
        <v>111.0509</v>
      </c>
      <c r="I866" s="92"/>
      <c r="J866" s="93">
        <f t="shared" si="20"/>
        <v>0.14830000000006294</v>
      </c>
    </row>
    <row r="867" spans="2:10" x14ac:dyDescent="0.2">
      <c r="B867" s="92">
        <v>1.1902779999999999</v>
      </c>
      <c r="C867" s="92">
        <v>730.08489999999995</v>
      </c>
      <c r="D867" s="92">
        <v>111.61620000000001</v>
      </c>
      <c r="E867" s="92"/>
      <c r="F867" s="92">
        <v>1.1902779999999999</v>
      </c>
      <c r="G867" s="92">
        <v>730.18409999999994</v>
      </c>
      <c r="H867" s="92">
        <v>111.1769</v>
      </c>
      <c r="I867" s="92"/>
      <c r="J867" s="93">
        <f t="shared" si="20"/>
        <v>9.919999999999618E-2</v>
      </c>
    </row>
    <row r="868" spans="2:10" x14ac:dyDescent="0.2">
      <c r="B868" s="92">
        <v>1.191667</v>
      </c>
      <c r="C868" s="92">
        <v>730.21199999999999</v>
      </c>
      <c r="D868" s="92">
        <v>111.7381</v>
      </c>
      <c r="E868" s="92"/>
      <c r="F868" s="92">
        <v>1.191667</v>
      </c>
      <c r="G868" s="92">
        <v>730.40620000000001</v>
      </c>
      <c r="H868" s="92">
        <v>111.2963</v>
      </c>
      <c r="I868" s="92"/>
      <c r="J868" s="93">
        <f t="shared" si="20"/>
        <v>0.19420000000002346</v>
      </c>
    </row>
    <row r="869" spans="2:10" x14ac:dyDescent="0.2">
      <c r="B869" s="92">
        <v>1.1930559999999999</v>
      </c>
      <c r="C869" s="92">
        <v>730.40890000000002</v>
      </c>
      <c r="D869" s="92">
        <v>111.86660000000001</v>
      </c>
      <c r="E869" s="92"/>
      <c r="F869" s="92">
        <v>1.1930559999999999</v>
      </c>
      <c r="G869" s="92">
        <v>730.64149999999995</v>
      </c>
      <c r="H869" s="92">
        <v>111.414</v>
      </c>
      <c r="I869" s="92"/>
      <c r="J869" s="93">
        <f t="shared" si="20"/>
        <v>0.23259999999993397</v>
      </c>
    </row>
    <row r="870" spans="2:10" x14ac:dyDescent="0.2">
      <c r="B870" s="92">
        <v>1.1944440000000001</v>
      </c>
      <c r="C870" s="92">
        <v>730.54300000000001</v>
      </c>
      <c r="D870" s="92">
        <v>111.98350000000001</v>
      </c>
      <c r="E870" s="92"/>
      <c r="F870" s="92">
        <v>1.1944440000000001</v>
      </c>
      <c r="G870" s="92">
        <v>730.77099999999996</v>
      </c>
      <c r="H870" s="92">
        <v>111.5433</v>
      </c>
      <c r="I870" s="92"/>
      <c r="J870" s="93">
        <f t="shared" si="20"/>
        <v>0.2279999999999518</v>
      </c>
    </row>
    <row r="871" spans="2:10" x14ac:dyDescent="0.2">
      <c r="B871" s="92">
        <v>1.1958329999999999</v>
      </c>
      <c r="C871" s="92">
        <v>730.77880000000005</v>
      </c>
      <c r="D871" s="92">
        <v>112.1203</v>
      </c>
      <c r="E871" s="92"/>
      <c r="F871" s="92">
        <v>1.1958329999999999</v>
      </c>
      <c r="G871" s="92">
        <v>730.94669999999996</v>
      </c>
      <c r="H871" s="92">
        <v>111.6643</v>
      </c>
      <c r="I871" s="92"/>
      <c r="J871" s="93">
        <f t="shared" si="20"/>
        <v>0.16789999999991778</v>
      </c>
    </row>
    <row r="872" spans="2:10" x14ac:dyDescent="0.2">
      <c r="B872" s="92">
        <v>1.197222</v>
      </c>
      <c r="C872" s="92">
        <v>730.92619999999999</v>
      </c>
      <c r="D872" s="92">
        <v>112.2405</v>
      </c>
      <c r="E872" s="92"/>
      <c r="F872" s="92">
        <v>1.197222</v>
      </c>
      <c r="G872" s="92">
        <v>731.07619999999997</v>
      </c>
      <c r="H872" s="92">
        <v>111.7936</v>
      </c>
      <c r="I872" s="92"/>
      <c r="J872" s="93">
        <f t="shared" si="20"/>
        <v>0.14999999999997726</v>
      </c>
    </row>
    <row r="873" spans="2:10" x14ac:dyDescent="0.2">
      <c r="B873" s="92">
        <v>1.1986110000000001</v>
      </c>
      <c r="C873" s="92">
        <v>731.08810000000005</v>
      </c>
      <c r="D873" s="92">
        <v>112.3723</v>
      </c>
      <c r="E873" s="92"/>
      <c r="F873" s="92">
        <v>1.1986110000000001</v>
      </c>
      <c r="G873" s="92">
        <v>731.26840000000004</v>
      </c>
      <c r="H873" s="92">
        <v>111.92959999999999</v>
      </c>
      <c r="I873" s="92"/>
      <c r="J873" s="93">
        <f t="shared" si="20"/>
        <v>0.18029999999998836</v>
      </c>
    </row>
    <row r="874" spans="2:10" x14ac:dyDescent="0.2">
      <c r="B874" s="92">
        <v>1.2</v>
      </c>
      <c r="C874" s="92">
        <v>731.25519999999995</v>
      </c>
      <c r="D874" s="92">
        <v>112.5107</v>
      </c>
      <c r="E874" s="92"/>
      <c r="F874" s="92">
        <v>1.2</v>
      </c>
      <c r="G874" s="92">
        <v>731.42460000000005</v>
      </c>
      <c r="H874" s="92">
        <v>112.0622</v>
      </c>
      <c r="I874" s="92"/>
      <c r="J874" s="93">
        <f t="shared" si="20"/>
        <v>0.16940000000010969</v>
      </c>
    </row>
    <row r="875" spans="2:10" x14ac:dyDescent="0.2">
      <c r="B875" s="92">
        <v>1.201389</v>
      </c>
      <c r="C875" s="92">
        <v>731.38890000000004</v>
      </c>
      <c r="D875" s="92">
        <v>112.6409</v>
      </c>
      <c r="E875" s="92"/>
      <c r="F875" s="92">
        <v>1.201389</v>
      </c>
      <c r="G875" s="92">
        <v>731.61080000000004</v>
      </c>
      <c r="H875" s="92">
        <v>112.1965</v>
      </c>
      <c r="I875" s="92"/>
      <c r="J875" s="93">
        <f t="shared" si="20"/>
        <v>0.22190000000000509</v>
      </c>
    </row>
    <row r="876" spans="2:10" x14ac:dyDescent="0.2">
      <c r="B876" s="92">
        <v>1.2027779999999999</v>
      </c>
      <c r="C876" s="92">
        <v>731.5951</v>
      </c>
      <c r="D876" s="92">
        <v>112.78100000000001</v>
      </c>
      <c r="E876" s="92"/>
      <c r="F876" s="92">
        <v>1.2027779999999999</v>
      </c>
      <c r="G876" s="92">
        <v>731.81970000000001</v>
      </c>
      <c r="H876" s="92">
        <v>112.3291</v>
      </c>
      <c r="I876" s="92"/>
      <c r="J876" s="93">
        <f t="shared" si="20"/>
        <v>0.22460000000000946</v>
      </c>
    </row>
    <row r="877" spans="2:10" x14ac:dyDescent="0.2">
      <c r="B877" s="92">
        <v>1.204167</v>
      </c>
      <c r="C877" s="92">
        <v>731.726</v>
      </c>
      <c r="D877" s="92">
        <v>112.9145</v>
      </c>
      <c r="E877" s="92"/>
      <c r="F877" s="92">
        <v>1.204167</v>
      </c>
      <c r="G877" s="92">
        <v>731.95849999999996</v>
      </c>
      <c r="H877" s="92">
        <v>112.4701</v>
      </c>
      <c r="I877" s="92"/>
      <c r="J877" s="93">
        <f t="shared" si="20"/>
        <v>0.23249999999995907</v>
      </c>
    </row>
    <row r="878" spans="2:10" x14ac:dyDescent="0.2">
      <c r="B878" s="92">
        <v>1.2055560000000001</v>
      </c>
      <c r="C878" s="92">
        <v>731.93349999999998</v>
      </c>
      <c r="D878" s="92">
        <v>113.0562</v>
      </c>
      <c r="E878" s="92"/>
      <c r="F878" s="92">
        <v>1.2055560000000001</v>
      </c>
      <c r="G878" s="92">
        <v>732.11990000000003</v>
      </c>
      <c r="H878" s="92">
        <v>112.60939999999999</v>
      </c>
      <c r="I878" s="92"/>
      <c r="J878" s="93">
        <f t="shared" si="20"/>
        <v>0.18640000000004875</v>
      </c>
    </row>
    <row r="879" spans="2:10" x14ac:dyDescent="0.2">
      <c r="B879" s="92">
        <v>1.206944</v>
      </c>
      <c r="C879" s="92">
        <v>732.14530000000002</v>
      </c>
      <c r="D879" s="92">
        <v>113.19629999999999</v>
      </c>
      <c r="E879" s="92"/>
      <c r="F879" s="92">
        <v>1.206944</v>
      </c>
      <c r="G879" s="92">
        <v>732.30930000000001</v>
      </c>
      <c r="H879" s="92">
        <v>112.75360000000001</v>
      </c>
      <c r="I879" s="92"/>
      <c r="J879" s="93">
        <f t="shared" si="20"/>
        <v>0.16399999999998727</v>
      </c>
    </row>
    <row r="880" spans="2:10" x14ac:dyDescent="0.2">
      <c r="B880" s="92">
        <v>1.2083330000000001</v>
      </c>
      <c r="C880" s="92">
        <v>732.30050000000006</v>
      </c>
      <c r="D880" s="92">
        <v>113.3331</v>
      </c>
      <c r="E880" s="92"/>
      <c r="F880" s="92">
        <v>1.2083330000000001</v>
      </c>
      <c r="G880" s="92">
        <v>732.49350000000004</v>
      </c>
      <c r="H880" s="92">
        <v>112.8912</v>
      </c>
      <c r="I880" s="92"/>
      <c r="J880" s="93">
        <f t="shared" si="20"/>
        <v>0.19299999999998363</v>
      </c>
    </row>
    <row r="881" spans="2:10" x14ac:dyDescent="0.2">
      <c r="B881" s="92">
        <v>1.209722</v>
      </c>
      <c r="C881" s="92">
        <v>732.48940000000005</v>
      </c>
      <c r="D881" s="92">
        <v>113.47150000000001</v>
      </c>
      <c r="E881" s="92"/>
      <c r="F881" s="92">
        <v>1.209722</v>
      </c>
      <c r="G881" s="92">
        <v>732.66899999999998</v>
      </c>
      <c r="H881" s="92">
        <v>113.04219999999999</v>
      </c>
      <c r="I881" s="92"/>
      <c r="J881" s="93">
        <f t="shared" si="20"/>
        <v>0.1795999999999367</v>
      </c>
    </row>
    <row r="882" spans="2:10" x14ac:dyDescent="0.2">
      <c r="B882" s="92">
        <v>1.211111</v>
      </c>
      <c r="C882" s="92">
        <v>732.67529999999999</v>
      </c>
      <c r="D882" s="92">
        <v>113.6199</v>
      </c>
      <c r="E882" s="92"/>
      <c r="F882" s="92">
        <v>1.211111</v>
      </c>
      <c r="G882" s="92">
        <v>732.81449999999995</v>
      </c>
      <c r="H882" s="92">
        <v>113.17319999999999</v>
      </c>
      <c r="I882" s="92"/>
      <c r="J882" s="93">
        <f t="shared" si="20"/>
        <v>0.1391999999999598</v>
      </c>
    </row>
    <row r="883" spans="2:10" x14ac:dyDescent="0.2">
      <c r="B883" s="92">
        <v>1.2124999999999999</v>
      </c>
      <c r="C883" s="92">
        <v>732.81820000000005</v>
      </c>
      <c r="D883" s="92">
        <v>113.7617</v>
      </c>
      <c r="E883" s="92"/>
      <c r="F883" s="92">
        <v>1.2124999999999999</v>
      </c>
      <c r="G883" s="92">
        <v>733.03809999999999</v>
      </c>
      <c r="H883" s="92">
        <v>113.3241</v>
      </c>
      <c r="I883" s="92"/>
      <c r="J883" s="93">
        <f t="shared" si="20"/>
        <v>0.2198999999999387</v>
      </c>
    </row>
    <row r="884" spans="2:10" x14ac:dyDescent="0.2">
      <c r="B884" s="92">
        <v>1.213889</v>
      </c>
      <c r="C884" s="92">
        <v>733.0181</v>
      </c>
      <c r="D884" s="92">
        <v>113.9002</v>
      </c>
      <c r="E884" s="92"/>
      <c r="F884" s="92">
        <v>1.213889</v>
      </c>
      <c r="G884" s="92">
        <v>733.20939999999996</v>
      </c>
      <c r="H884" s="92">
        <v>113.46339999999999</v>
      </c>
      <c r="I884" s="92"/>
      <c r="J884" s="93">
        <f t="shared" si="20"/>
        <v>0.19129999999995562</v>
      </c>
    </row>
    <row r="885" spans="2:10" x14ac:dyDescent="0.2">
      <c r="B885" s="92">
        <v>1.2152780000000001</v>
      </c>
      <c r="C885" s="92">
        <v>733.22860000000003</v>
      </c>
      <c r="D885" s="92">
        <v>114.0453</v>
      </c>
      <c r="E885" s="92"/>
      <c r="F885" s="92">
        <v>1.2152780000000001</v>
      </c>
      <c r="G885" s="92">
        <v>733.39769999999999</v>
      </c>
      <c r="H885" s="92">
        <v>113.60599999999999</v>
      </c>
      <c r="I885" s="92"/>
      <c r="J885" s="93">
        <f t="shared" si="20"/>
        <v>0.16909999999995762</v>
      </c>
    </row>
    <row r="886" spans="2:10" x14ac:dyDescent="0.2">
      <c r="B886" s="92">
        <v>1.2166669999999999</v>
      </c>
      <c r="C886" s="92">
        <v>733.38530000000003</v>
      </c>
      <c r="D886" s="92">
        <v>114.18380000000001</v>
      </c>
      <c r="E886" s="92"/>
      <c r="F886" s="92">
        <v>1.2166669999999999</v>
      </c>
      <c r="G886" s="92">
        <v>733.54169999999999</v>
      </c>
      <c r="H886" s="92">
        <v>113.747</v>
      </c>
      <c r="I886" s="92"/>
      <c r="J886" s="93">
        <f t="shared" si="20"/>
        <v>0.15639999999996235</v>
      </c>
    </row>
    <row r="887" spans="2:10" x14ac:dyDescent="0.2">
      <c r="B887" s="92">
        <v>1.218056</v>
      </c>
      <c r="C887" s="92">
        <v>733.5163</v>
      </c>
      <c r="D887" s="92">
        <v>114.32389999999999</v>
      </c>
      <c r="E887" s="92"/>
      <c r="F887" s="92">
        <v>1.218056</v>
      </c>
      <c r="G887" s="92">
        <v>733.68910000000005</v>
      </c>
      <c r="H887" s="92">
        <v>113.88630000000001</v>
      </c>
      <c r="I887" s="92"/>
      <c r="J887" s="93">
        <f t="shared" si="20"/>
        <v>0.17280000000005202</v>
      </c>
    </row>
    <row r="888" spans="2:10" x14ac:dyDescent="0.2">
      <c r="B888" s="92">
        <v>1.219444</v>
      </c>
      <c r="C888" s="92">
        <v>733.70320000000004</v>
      </c>
      <c r="D888" s="92">
        <v>114.4525</v>
      </c>
      <c r="E888" s="92"/>
      <c r="F888" s="92">
        <v>1.219444</v>
      </c>
      <c r="G888" s="92">
        <v>733.89639999999997</v>
      </c>
      <c r="H888" s="92">
        <v>114.0223</v>
      </c>
      <c r="I888" s="92"/>
      <c r="J888" s="93">
        <f t="shared" si="20"/>
        <v>0.19319999999993342</v>
      </c>
    </row>
    <row r="889" spans="2:10" x14ac:dyDescent="0.2">
      <c r="B889" s="92">
        <v>1.2208330000000001</v>
      </c>
      <c r="C889" s="92">
        <v>733.91129999999998</v>
      </c>
      <c r="D889" s="92">
        <v>114.59439999999999</v>
      </c>
      <c r="E889" s="92"/>
      <c r="F889" s="92">
        <v>1.2208330000000001</v>
      </c>
      <c r="G889" s="92">
        <v>734.07010000000002</v>
      </c>
      <c r="H889" s="92">
        <v>114.1583</v>
      </c>
      <c r="I889" s="92"/>
      <c r="J889" s="93">
        <f t="shared" si="20"/>
        <v>0.15880000000004202</v>
      </c>
    </row>
    <row r="890" spans="2:10" x14ac:dyDescent="0.2">
      <c r="B890" s="92">
        <v>1.2222219999999999</v>
      </c>
      <c r="C890" s="92">
        <v>734.03700000000003</v>
      </c>
      <c r="D890" s="92">
        <v>114.7346</v>
      </c>
      <c r="E890" s="92"/>
      <c r="F890" s="92">
        <v>1.2222219999999999</v>
      </c>
      <c r="G890" s="92">
        <v>734.26930000000004</v>
      </c>
      <c r="H890" s="92">
        <v>114.29600000000001</v>
      </c>
      <c r="I890" s="92"/>
      <c r="J890" s="93">
        <f t="shared" si="20"/>
        <v>0.23230000000000928</v>
      </c>
    </row>
    <row r="891" spans="2:10" x14ac:dyDescent="0.2">
      <c r="B891" s="92">
        <v>1.223611</v>
      </c>
      <c r="C891" s="92">
        <v>734.27769999999998</v>
      </c>
      <c r="D891" s="92">
        <v>114.8764</v>
      </c>
      <c r="E891" s="92"/>
      <c r="F891" s="92">
        <v>1.223611</v>
      </c>
      <c r="G891" s="92">
        <v>734.40729999999996</v>
      </c>
      <c r="H891" s="92">
        <v>114.4353</v>
      </c>
      <c r="I891" s="92"/>
      <c r="J891" s="93">
        <f t="shared" si="20"/>
        <v>0.12959999999998217</v>
      </c>
    </row>
    <row r="892" spans="2:10" x14ac:dyDescent="0.2">
      <c r="B892" s="92">
        <v>1.2250000000000001</v>
      </c>
      <c r="C892" s="92">
        <v>734.44410000000005</v>
      </c>
      <c r="D892" s="92">
        <v>115.0133</v>
      </c>
      <c r="E892" s="92"/>
      <c r="F892" s="92">
        <v>1.2250000000000001</v>
      </c>
      <c r="G892" s="92">
        <v>734.5942</v>
      </c>
      <c r="H892" s="92">
        <v>114.5697</v>
      </c>
      <c r="I892" s="92"/>
      <c r="J892" s="93">
        <f t="shared" si="20"/>
        <v>0.15009999999995216</v>
      </c>
    </row>
    <row r="893" spans="2:10" x14ac:dyDescent="0.2">
      <c r="B893" s="92">
        <v>1.226389</v>
      </c>
      <c r="C893" s="92">
        <v>734.54830000000004</v>
      </c>
      <c r="D893" s="92">
        <v>115.15349999999999</v>
      </c>
      <c r="E893" s="92"/>
      <c r="F893" s="92">
        <v>1.226389</v>
      </c>
      <c r="G893" s="92">
        <v>734.77650000000006</v>
      </c>
      <c r="H893" s="92">
        <v>114.7041</v>
      </c>
      <c r="I893" s="92"/>
      <c r="J893" s="93">
        <f t="shared" si="20"/>
        <v>0.22820000000001528</v>
      </c>
    </row>
    <row r="894" spans="2:10" x14ac:dyDescent="0.2">
      <c r="B894" s="92">
        <v>1.227778</v>
      </c>
      <c r="C894" s="92">
        <v>734.71119999999996</v>
      </c>
      <c r="D894" s="92">
        <v>115.27889999999999</v>
      </c>
      <c r="E894" s="92"/>
      <c r="F894" s="92">
        <v>1.227778</v>
      </c>
      <c r="G894" s="92">
        <v>734.92939999999999</v>
      </c>
      <c r="H894" s="92">
        <v>114.85</v>
      </c>
      <c r="I894" s="92"/>
      <c r="J894" s="93">
        <f t="shared" si="20"/>
        <v>0.21820000000002437</v>
      </c>
    </row>
    <row r="895" spans="2:10" x14ac:dyDescent="0.2">
      <c r="B895" s="92">
        <v>1.2291669999999999</v>
      </c>
      <c r="C895" s="92">
        <v>734.91160000000002</v>
      </c>
      <c r="D895" s="92">
        <v>115.4175</v>
      </c>
      <c r="E895" s="92"/>
      <c r="F895" s="92">
        <v>1.2291669999999999</v>
      </c>
      <c r="G895" s="92">
        <v>735.06230000000005</v>
      </c>
      <c r="H895" s="92">
        <v>114.9828</v>
      </c>
      <c r="I895" s="92"/>
      <c r="J895" s="93">
        <f t="shared" si="20"/>
        <v>0.15070000000002892</v>
      </c>
    </row>
    <row r="896" spans="2:10" x14ac:dyDescent="0.2">
      <c r="B896" s="92">
        <v>1.230556</v>
      </c>
      <c r="C896" s="92">
        <v>735.0444</v>
      </c>
      <c r="D896" s="92">
        <v>115.5527</v>
      </c>
      <c r="E896" s="92"/>
      <c r="F896" s="92">
        <v>1.230556</v>
      </c>
      <c r="G896" s="92">
        <v>735.26170000000002</v>
      </c>
      <c r="H896" s="92">
        <v>115.12050000000001</v>
      </c>
      <c r="I896" s="92"/>
      <c r="J896" s="93">
        <f t="shared" si="20"/>
        <v>0.21730000000002292</v>
      </c>
    </row>
    <row r="897" spans="2:10" x14ac:dyDescent="0.2">
      <c r="B897" s="92">
        <v>1.2319439999999999</v>
      </c>
      <c r="C897" s="92">
        <v>735.19380000000001</v>
      </c>
      <c r="D897" s="92">
        <v>115.6814</v>
      </c>
      <c r="E897" s="92"/>
      <c r="F897" s="92">
        <v>1.2319439999999999</v>
      </c>
      <c r="G897" s="92">
        <v>735.35109999999997</v>
      </c>
      <c r="H897" s="92">
        <v>115.2465</v>
      </c>
      <c r="I897" s="92"/>
      <c r="J897" s="93">
        <f t="shared" si="20"/>
        <v>0.1572999999999638</v>
      </c>
    </row>
    <row r="898" spans="2:10" x14ac:dyDescent="0.2">
      <c r="B898" s="92">
        <v>1.233333</v>
      </c>
      <c r="C898" s="92">
        <v>735.3365</v>
      </c>
      <c r="D898" s="92">
        <v>115.8085</v>
      </c>
      <c r="E898" s="92"/>
      <c r="F898" s="92">
        <v>1.233333</v>
      </c>
      <c r="G898" s="92">
        <v>735.52750000000003</v>
      </c>
      <c r="H898" s="92">
        <v>115.361</v>
      </c>
      <c r="I898" s="92"/>
      <c r="J898" s="93">
        <f t="shared" si="20"/>
        <v>0.19100000000003092</v>
      </c>
    </row>
    <row r="899" spans="2:10" x14ac:dyDescent="0.2">
      <c r="B899" s="92">
        <v>1.2347220000000001</v>
      </c>
      <c r="C899" s="92">
        <v>735.49189999999999</v>
      </c>
      <c r="D899" s="92">
        <v>115.92400000000001</v>
      </c>
      <c r="E899" s="92"/>
      <c r="F899" s="92">
        <v>1.2347220000000001</v>
      </c>
      <c r="G899" s="92">
        <v>735.70870000000002</v>
      </c>
      <c r="H899" s="92">
        <v>115.49379999999999</v>
      </c>
      <c r="I899" s="92"/>
      <c r="J899" s="93">
        <f t="shared" si="20"/>
        <v>0.21680000000003474</v>
      </c>
    </row>
    <row r="900" spans="2:10" x14ac:dyDescent="0.2">
      <c r="B900" s="92">
        <v>1.236111</v>
      </c>
      <c r="C900" s="92">
        <v>735.61009999999999</v>
      </c>
      <c r="D900" s="92">
        <v>116.0543</v>
      </c>
      <c r="E900" s="92"/>
      <c r="F900" s="92">
        <v>1.236111</v>
      </c>
      <c r="G900" s="92">
        <v>735.80029999999999</v>
      </c>
      <c r="H900" s="92">
        <v>115.6165</v>
      </c>
      <c r="I900" s="92"/>
      <c r="J900" s="93">
        <f t="shared" si="20"/>
        <v>0.19020000000000437</v>
      </c>
    </row>
    <row r="901" spans="2:10" x14ac:dyDescent="0.2">
      <c r="B901" s="92">
        <v>1.2375</v>
      </c>
      <c r="C901" s="92">
        <v>735.7201</v>
      </c>
      <c r="D901" s="92">
        <v>116.188</v>
      </c>
      <c r="E901" s="92"/>
      <c r="F901" s="92">
        <v>1.2375</v>
      </c>
      <c r="G901" s="92">
        <v>735.90110000000004</v>
      </c>
      <c r="H901" s="92">
        <v>115.73269999999999</v>
      </c>
      <c r="I901" s="92"/>
      <c r="J901" s="93">
        <f t="shared" si="20"/>
        <v>0.18100000000004002</v>
      </c>
    </row>
    <row r="902" spans="2:10" x14ac:dyDescent="0.2">
      <c r="B902" s="92">
        <v>1.2388889999999999</v>
      </c>
      <c r="C902" s="92">
        <v>735.84569999999997</v>
      </c>
      <c r="D902" s="92">
        <v>116.3068</v>
      </c>
      <c r="E902" s="92"/>
      <c r="F902" s="92">
        <v>1.2388889999999999</v>
      </c>
      <c r="G902" s="92">
        <v>736.03129999999999</v>
      </c>
      <c r="H902" s="92">
        <v>115.85550000000001</v>
      </c>
      <c r="I902" s="92"/>
      <c r="J902" s="93">
        <f t="shared" si="20"/>
        <v>0.18560000000002219</v>
      </c>
    </row>
    <row r="903" spans="2:10" x14ac:dyDescent="0.2">
      <c r="B903" s="92">
        <v>1.240278</v>
      </c>
      <c r="C903" s="92">
        <v>735.93349999999998</v>
      </c>
      <c r="D903" s="92">
        <v>116.4191</v>
      </c>
      <c r="E903" s="92"/>
      <c r="F903" s="92">
        <v>1.240278</v>
      </c>
      <c r="G903" s="92">
        <v>736.10249999999996</v>
      </c>
      <c r="H903" s="92">
        <v>115.9584</v>
      </c>
      <c r="I903" s="92"/>
      <c r="J903" s="93">
        <f t="shared" si="20"/>
        <v>0.16899999999998272</v>
      </c>
    </row>
    <row r="904" spans="2:10" x14ac:dyDescent="0.2">
      <c r="B904" s="92">
        <v>1.2416670000000001</v>
      </c>
      <c r="C904" s="92">
        <v>735.99549999999999</v>
      </c>
      <c r="D904" s="92">
        <v>116.533</v>
      </c>
      <c r="E904" s="92"/>
      <c r="F904" s="92">
        <v>1.2416670000000001</v>
      </c>
      <c r="G904" s="92">
        <v>736.09969999999998</v>
      </c>
      <c r="H904" s="92">
        <v>116.0712</v>
      </c>
      <c r="I904" s="92"/>
      <c r="J904" s="93">
        <f t="shared" si="20"/>
        <v>0.10419999999999163</v>
      </c>
    </row>
    <row r="905" spans="2:10" x14ac:dyDescent="0.2">
      <c r="B905" s="92">
        <v>1.2430559999999999</v>
      </c>
      <c r="C905" s="92">
        <v>735.98860000000002</v>
      </c>
      <c r="D905" s="92">
        <v>116.64190000000001</v>
      </c>
      <c r="E905" s="92"/>
      <c r="F905" s="92">
        <v>1.2430559999999999</v>
      </c>
      <c r="G905" s="92">
        <v>736.09</v>
      </c>
      <c r="H905" s="92">
        <v>116.1691</v>
      </c>
      <c r="I905" s="92"/>
      <c r="J905" s="93">
        <f t="shared" si="20"/>
        <v>0.10140000000001237</v>
      </c>
    </row>
    <row r="906" spans="2:10" x14ac:dyDescent="0.2">
      <c r="B906" s="92">
        <v>1.2444440000000001</v>
      </c>
      <c r="C906" s="92">
        <v>735.94709999999998</v>
      </c>
      <c r="D906" s="92">
        <v>116.7343</v>
      </c>
      <c r="E906" s="92"/>
      <c r="F906" s="92">
        <v>1.2444440000000001</v>
      </c>
      <c r="G906" s="92">
        <v>736.12239999999997</v>
      </c>
      <c r="H906" s="92">
        <v>116.2471</v>
      </c>
      <c r="I906" s="92"/>
      <c r="J906" s="93">
        <f t="shared" si="20"/>
        <v>0.17529999999999291</v>
      </c>
    </row>
    <row r="907" spans="2:10" x14ac:dyDescent="0.2">
      <c r="B907" s="92">
        <v>1.245833</v>
      </c>
      <c r="C907" s="92">
        <v>735.95460000000003</v>
      </c>
      <c r="D907" s="92">
        <v>116.8202</v>
      </c>
      <c r="E907" s="92"/>
      <c r="F907" s="92">
        <v>1.245833</v>
      </c>
      <c r="G907" s="92">
        <v>736.06290000000001</v>
      </c>
      <c r="H907" s="92">
        <v>116.3184</v>
      </c>
      <c r="I907" s="92"/>
      <c r="J907" s="93">
        <f t="shared" ref="J907:J970" si="21">+ABS(G907-C907)</f>
        <v>0.10829999999998563</v>
      </c>
    </row>
    <row r="908" spans="2:10" x14ac:dyDescent="0.2">
      <c r="B908" s="92">
        <v>1.2472220000000001</v>
      </c>
      <c r="C908" s="92">
        <v>735.94920000000002</v>
      </c>
      <c r="D908" s="92">
        <v>116.8895</v>
      </c>
      <c r="E908" s="92"/>
      <c r="F908" s="92">
        <v>1.2472220000000001</v>
      </c>
      <c r="G908" s="92">
        <v>736.09280000000001</v>
      </c>
      <c r="H908" s="92">
        <v>116.3749</v>
      </c>
      <c r="I908" s="92"/>
      <c r="J908" s="93">
        <f t="shared" si="21"/>
        <v>0.14359999999999218</v>
      </c>
    </row>
    <row r="909" spans="2:10" x14ac:dyDescent="0.2">
      <c r="B909" s="92">
        <v>1.2486109999999999</v>
      </c>
      <c r="C909" s="92">
        <v>735.9769</v>
      </c>
      <c r="D909" s="92">
        <v>116.9456</v>
      </c>
      <c r="E909" s="92"/>
      <c r="F909" s="92">
        <v>1.2486109999999999</v>
      </c>
      <c r="G909" s="92">
        <v>736.07240000000002</v>
      </c>
      <c r="H909" s="92">
        <v>116.4164</v>
      </c>
      <c r="I909" s="92"/>
      <c r="J909" s="93">
        <f t="shared" si="21"/>
        <v>9.5500000000015461E-2</v>
      </c>
    </row>
    <row r="910" spans="2:10" x14ac:dyDescent="0.2">
      <c r="B910" s="92">
        <v>1.25</v>
      </c>
      <c r="C910" s="92">
        <v>735.99239999999998</v>
      </c>
      <c r="D910" s="92">
        <v>117.0001</v>
      </c>
      <c r="E910" s="92"/>
      <c r="F910" s="92">
        <v>1.25</v>
      </c>
      <c r="G910" s="92">
        <v>736.09059999999999</v>
      </c>
      <c r="H910" s="92">
        <v>116.45780000000001</v>
      </c>
      <c r="I910" s="92"/>
      <c r="J910" s="93">
        <f t="shared" si="21"/>
        <v>9.8200000000019827E-2</v>
      </c>
    </row>
    <row r="911" spans="2:10" x14ac:dyDescent="0.2">
      <c r="B911" s="92">
        <v>1.2513890000000001</v>
      </c>
      <c r="C911" s="92">
        <v>735.99879999999996</v>
      </c>
      <c r="D911" s="92">
        <v>117.04300000000001</v>
      </c>
      <c r="E911" s="92"/>
      <c r="F911" s="92">
        <v>1.2513890000000001</v>
      </c>
      <c r="G911" s="92">
        <v>736.10479999999995</v>
      </c>
      <c r="H911" s="92">
        <v>116.4944</v>
      </c>
      <c r="I911" s="92"/>
      <c r="J911" s="93">
        <f t="shared" si="21"/>
        <v>0.10599999999999454</v>
      </c>
    </row>
    <row r="912" spans="2:10" x14ac:dyDescent="0.2">
      <c r="B912" s="92">
        <v>1.2527779999999999</v>
      </c>
      <c r="C912" s="92">
        <v>735.98509999999999</v>
      </c>
      <c r="D912" s="92">
        <v>117.081</v>
      </c>
      <c r="E912" s="92"/>
      <c r="F912" s="92">
        <v>1.2527779999999999</v>
      </c>
      <c r="G912" s="92">
        <v>736.10509999999999</v>
      </c>
      <c r="H912" s="92">
        <v>116.5193</v>
      </c>
      <c r="I912" s="92"/>
      <c r="J912" s="93">
        <f t="shared" si="21"/>
        <v>0.12000000000000455</v>
      </c>
    </row>
    <row r="913" spans="2:10" x14ac:dyDescent="0.2">
      <c r="B913" s="92">
        <v>1.254167</v>
      </c>
      <c r="C913" s="92">
        <v>735.94870000000003</v>
      </c>
      <c r="D913" s="92">
        <v>117.11069999999999</v>
      </c>
      <c r="E913" s="92"/>
      <c r="F913" s="92">
        <v>1.254167</v>
      </c>
      <c r="G913" s="92">
        <v>736.07470000000001</v>
      </c>
      <c r="H913" s="92">
        <v>116.55410000000001</v>
      </c>
      <c r="I913" s="92"/>
      <c r="J913" s="93">
        <f t="shared" si="21"/>
        <v>0.12599999999997635</v>
      </c>
    </row>
    <row r="914" spans="2:10" x14ac:dyDescent="0.2">
      <c r="B914" s="92">
        <v>1.2555559999999999</v>
      </c>
      <c r="C914" s="92">
        <v>735.98099999999999</v>
      </c>
      <c r="D914" s="92">
        <v>117.152</v>
      </c>
      <c r="E914" s="92"/>
      <c r="F914" s="92">
        <v>1.2555559999999999</v>
      </c>
      <c r="G914" s="92">
        <v>736.08630000000005</v>
      </c>
      <c r="H914" s="92">
        <v>116.5873</v>
      </c>
      <c r="I914" s="92"/>
      <c r="J914" s="93">
        <f t="shared" si="21"/>
        <v>0.10530000000005657</v>
      </c>
    </row>
    <row r="915" spans="2:10" x14ac:dyDescent="0.2">
      <c r="B915" s="92">
        <v>1.2569440000000001</v>
      </c>
      <c r="C915" s="92">
        <v>735.98030000000006</v>
      </c>
      <c r="D915" s="92">
        <v>117.1718</v>
      </c>
      <c r="E915" s="92"/>
      <c r="F915" s="92">
        <v>1.2569440000000001</v>
      </c>
      <c r="G915" s="92">
        <v>736.11429999999996</v>
      </c>
      <c r="H915" s="92">
        <v>116.59229999999999</v>
      </c>
      <c r="I915" s="92"/>
      <c r="J915" s="93">
        <f t="shared" si="21"/>
        <v>0.13399999999990087</v>
      </c>
    </row>
    <row r="916" spans="2:10" x14ac:dyDescent="0.2">
      <c r="B916" s="92">
        <v>1.2583329999999999</v>
      </c>
      <c r="C916" s="92">
        <v>736.02629999999999</v>
      </c>
      <c r="D916" s="92">
        <v>117.2098</v>
      </c>
      <c r="E916" s="92"/>
      <c r="F916" s="92">
        <v>1.2583329999999999</v>
      </c>
      <c r="G916" s="92">
        <v>736.07259999999997</v>
      </c>
      <c r="H916" s="92">
        <v>116.61879999999999</v>
      </c>
      <c r="I916" s="92"/>
      <c r="J916" s="93">
        <f t="shared" si="21"/>
        <v>4.6299999999973807E-2</v>
      </c>
    </row>
    <row r="917" spans="2:10" x14ac:dyDescent="0.2">
      <c r="B917" s="92">
        <v>1.259722</v>
      </c>
      <c r="C917" s="92">
        <v>735.97789999999998</v>
      </c>
      <c r="D917" s="92">
        <v>117.2312</v>
      </c>
      <c r="E917" s="92"/>
      <c r="F917" s="92">
        <v>1.259722</v>
      </c>
      <c r="G917" s="92">
        <v>736.07249999999999</v>
      </c>
      <c r="H917" s="92">
        <v>116.6371</v>
      </c>
      <c r="I917" s="92"/>
      <c r="J917" s="93">
        <f t="shared" si="21"/>
        <v>9.4600000000014006E-2</v>
      </c>
    </row>
    <row r="918" spans="2:10" x14ac:dyDescent="0.2">
      <c r="B918" s="92">
        <v>1.2611110000000001</v>
      </c>
      <c r="C918" s="92">
        <v>735.99189999999999</v>
      </c>
      <c r="D918" s="92">
        <v>117.256</v>
      </c>
      <c r="E918" s="92"/>
      <c r="F918" s="92">
        <v>1.2611110000000001</v>
      </c>
      <c r="G918" s="92">
        <v>736.10569999999996</v>
      </c>
      <c r="H918" s="92">
        <v>116.64870000000001</v>
      </c>
      <c r="I918" s="92"/>
      <c r="J918" s="93">
        <f t="shared" si="21"/>
        <v>0.11379999999996926</v>
      </c>
    </row>
    <row r="919" spans="2:10" x14ac:dyDescent="0.2">
      <c r="B919" s="92">
        <v>1.2625</v>
      </c>
      <c r="C919" s="92">
        <v>736.02080000000001</v>
      </c>
      <c r="D919" s="92">
        <v>117.2791</v>
      </c>
      <c r="E919" s="92"/>
      <c r="F919" s="92">
        <v>1.2625</v>
      </c>
      <c r="G919" s="92">
        <v>736.10109999999997</v>
      </c>
      <c r="H919" s="92">
        <v>116.67359999999999</v>
      </c>
      <c r="I919" s="92"/>
      <c r="J919" s="93">
        <f t="shared" si="21"/>
        <v>8.0299999999965621E-2</v>
      </c>
    </row>
    <row r="920" spans="2:10" x14ac:dyDescent="0.2">
      <c r="B920" s="92">
        <v>1.263889</v>
      </c>
      <c r="C920" s="92">
        <v>735.99860000000001</v>
      </c>
      <c r="D920" s="92">
        <v>117.2923</v>
      </c>
      <c r="E920" s="92"/>
      <c r="F920" s="92">
        <v>1.263889</v>
      </c>
      <c r="G920" s="92">
        <v>736.101</v>
      </c>
      <c r="H920" s="92">
        <v>116.6919</v>
      </c>
      <c r="I920" s="92"/>
      <c r="J920" s="93">
        <f t="shared" si="21"/>
        <v>0.10239999999998872</v>
      </c>
    </row>
    <row r="921" spans="2:10" x14ac:dyDescent="0.2">
      <c r="B921" s="92">
        <v>1.2652779999999999</v>
      </c>
      <c r="C921" s="92">
        <v>735.99059999999997</v>
      </c>
      <c r="D921" s="92">
        <v>117.3237</v>
      </c>
      <c r="E921" s="92"/>
      <c r="F921" s="92">
        <v>1.2652779999999999</v>
      </c>
      <c r="G921" s="92">
        <v>736.11670000000004</v>
      </c>
      <c r="H921" s="92">
        <v>116.7118</v>
      </c>
      <c r="I921" s="92"/>
      <c r="J921" s="93">
        <f t="shared" si="21"/>
        <v>0.12610000000006494</v>
      </c>
    </row>
    <row r="922" spans="2:10" x14ac:dyDescent="0.2">
      <c r="B922" s="92">
        <v>1.266667</v>
      </c>
      <c r="C922" s="92">
        <v>735.98050000000001</v>
      </c>
      <c r="D922" s="92">
        <v>117.3386</v>
      </c>
      <c r="E922" s="92"/>
      <c r="F922" s="92">
        <v>1.266667</v>
      </c>
      <c r="G922" s="92">
        <v>736.1232</v>
      </c>
      <c r="H922" s="92">
        <v>116.7201</v>
      </c>
      <c r="I922" s="92"/>
      <c r="J922" s="93">
        <f t="shared" si="21"/>
        <v>0.14269999999999072</v>
      </c>
    </row>
    <row r="923" spans="2:10" x14ac:dyDescent="0.2">
      <c r="B923" s="92">
        <v>1.2680560000000001</v>
      </c>
      <c r="C923" s="92">
        <v>735.99710000000005</v>
      </c>
      <c r="D923" s="92">
        <v>117.36660000000001</v>
      </c>
      <c r="E923" s="92"/>
      <c r="F923" s="92">
        <v>1.2680560000000001</v>
      </c>
      <c r="G923" s="92">
        <v>736.1105</v>
      </c>
      <c r="H923" s="92">
        <v>116.72839999999999</v>
      </c>
      <c r="I923" s="92"/>
      <c r="J923" s="93">
        <f t="shared" si="21"/>
        <v>0.11339999999995598</v>
      </c>
    </row>
    <row r="924" spans="2:10" x14ac:dyDescent="0.2">
      <c r="B924" s="92">
        <v>1.269444</v>
      </c>
      <c r="C924" s="92">
        <v>736.01149999999996</v>
      </c>
      <c r="D924" s="92">
        <v>117.37820000000001</v>
      </c>
      <c r="E924" s="92"/>
      <c r="F924" s="92">
        <v>1.269444</v>
      </c>
      <c r="G924" s="92">
        <v>736.07920000000001</v>
      </c>
      <c r="H924" s="92">
        <v>116.7499</v>
      </c>
      <c r="I924" s="92"/>
      <c r="J924" s="93">
        <f t="shared" si="21"/>
        <v>6.7700000000058935E-2</v>
      </c>
    </row>
    <row r="925" spans="2:10" x14ac:dyDescent="0.2">
      <c r="B925" s="92">
        <v>1.2708330000000001</v>
      </c>
      <c r="C925" s="92">
        <v>736.01750000000004</v>
      </c>
      <c r="D925" s="92">
        <v>117.3997</v>
      </c>
      <c r="E925" s="92"/>
      <c r="F925" s="92">
        <v>1.2708330000000001</v>
      </c>
      <c r="G925" s="92">
        <v>736.08839999999998</v>
      </c>
      <c r="H925" s="92">
        <v>116.7616</v>
      </c>
      <c r="I925" s="92"/>
      <c r="J925" s="93">
        <f t="shared" si="21"/>
        <v>7.0899999999937791E-2</v>
      </c>
    </row>
    <row r="926" spans="2:10" x14ac:dyDescent="0.2">
      <c r="B926" s="92">
        <v>1.272222</v>
      </c>
      <c r="C926" s="92">
        <v>736.00890000000004</v>
      </c>
      <c r="D926" s="92">
        <v>117.4096</v>
      </c>
      <c r="E926" s="92"/>
      <c r="F926" s="92">
        <v>1.272222</v>
      </c>
      <c r="G926" s="92">
        <v>736.10450000000003</v>
      </c>
      <c r="H926" s="92">
        <v>116.76990000000001</v>
      </c>
      <c r="I926" s="92"/>
      <c r="J926" s="93">
        <f t="shared" si="21"/>
        <v>9.5599999999990359E-2</v>
      </c>
    </row>
    <row r="927" spans="2:10" x14ac:dyDescent="0.2">
      <c r="B927" s="92">
        <v>1.273611</v>
      </c>
      <c r="C927" s="92">
        <v>736.03790000000004</v>
      </c>
      <c r="D927" s="92">
        <v>117.4327</v>
      </c>
      <c r="E927" s="92"/>
      <c r="F927" s="92">
        <v>1.273611</v>
      </c>
      <c r="G927" s="92">
        <v>736.10090000000002</v>
      </c>
      <c r="H927" s="92">
        <v>116.7898</v>
      </c>
      <c r="I927" s="92"/>
      <c r="J927" s="93">
        <f t="shared" si="21"/>
        <v>6.2999999999988177E-2</v>
      </c>
    </row>
    <row r="928" spans="2:10" x14ac:dyDescent="0.2">
      <c r="B928" s="92">
        <v>1.2749999999999999</v>
      </c>
      <c r="C928" s="92">
        <v>735.97199999999998</v>
      </c>
      <c r="D928" s="92">
        <v>117.4525</v>
      </c>
      <c r="E928" s="92"/>
      <c r="F928" s="92">
        <v>1.2749999999999999</v>
      </c>
      <c r="G928" s="92">
        <v>736.14030000000002</v>
      </c>
      <c r="H928" s="92">
        <v>116.803</v>
      </c>
      <c r="I928" s="92"/>
      <c r="J928" s="93">
        <f t="shared" si="21"/>
        <v>0.16830000000004475</v>
      </c>
    </row>
    <row r="929" spans="2:10" x14ac:dyDescent="0.2">
      <c r="B929" s="92">
        <v>1.276389</v>
      </c>
      <c r="C929" s="92">
        <v>736.0299</v>
      </c>
      <c r="D929" s="92">
        <v>117.4641</v>
      </c>
      <c r="E929" s="92"/>
      <c r="F929" s="92">
        <v>1.276389</v>
      </c>
      <c r="G929" s="92">
        <v>736.10649999999998</v>
      </c>
      <c r="H929" s="92">
        <v>116.803</v>
      </c>
      <c r="I929" s="92"/>
      <c r="J929" s="93">
        <f t="shared" si="21"/>
        <v>7.6599999999984902E-2</v>
      </c>
    </row>
    <row r="930" spans="2:10" x14ac:dyDescent="0.2">
      <c r="B930" s="92">
        <v>1.2777780000000001</v>
      </c>
      <c r="C930" s="92">
        <v>736.00250000000005</v>
      </c>
      <c r="D930" s="92">
        <v>117.47069999999999</v>
      </c>
      <c r="E930" s="92"/>
      <c r="F930" s="92">
        <v>1.2777780000000001</v>
      </c>
      <c r="G930" s="92">
        <v>736.10029999999995</v>
      </c>
      <c r="H930" s="92">
        <v>116.81959999999999</v>
      </c>
      <c r="I930" s="92"/>
      <c r="J930" s="93">
        <f t="shared" si="21"/>
        <v>9.7799999999892862E-2</v>
      </c>
    </row>
    <row r="931" spans="2:10" x14ac:dyDescent="0.2">
      <c r="B931" s="92">
        <v>1.2791669999999999</v>
      </c>
      <c r="C931" s="92">
        <v>736.02210000000002</v>
      </c>
      <c r="D931" s="92">
        <v>117.4888</v>
      </c>
      <c r="E931" s="92"/>
      <c r="F931" s="92">
        <v>1.2791669999999999</v>
      </c>
      <c r="G931" s="92">
        <v>736.06259999999997</v>
      </c>
      <c r="H931" s="92">
        <v>116.8329</v>
      </c>
      <c r="I931" s="92"/>
      <c r="J931" s="93">
        <f t="shared" si="21"/>
        <v>4.0499999999951797E-2</v>
      </c>
    </row>
    <row r="932" spans="2:10" x14ac:dyDescent="0.2">
      <c r="B932" s="92">
        <v>1.280556</v>
      </c>
      <c r="C932" s="92">
        <v>735.95100000000002</v>
      </c>
      <c r="D932" s="92">
        <v>117.502</v>
      </c>
      <c r="E932" s="92"/>
      <c r="F932" s="92">
        <v>1.280556</v>
      </c>
      <c r="G932" s="92">
        <v>736.0874</v>
      </c>
      <c r="H932" s="92">
        <v>116.8462</v>
      </c>
      <c r="I932" s="92"/>
      <c r="J932" s="93">
        <f t="shared" si="21"/>
        <v>0.13639999999998054</v>
      </c>
    </row>
    <row r="933" spans="2:10" x14ac:dyDescent="0.2">
      <c r="B933" s="92">
        <v>1.281944</v>
      </c>
      <c r="C933" s="92">
        <v>736.02499999999998</v>
      </c>
      <c r="D933" s="92">
        <v>117.5202</v>
      </c>
      <c r="E933" s="92"/>
      <c r="F933" s="92">
        <v>1.281944</v>
      </c>
      <c r="G933" s="92">
        <v>736.12419999999997</v>
      </c>
      <c r="H933" s="92">
        <v>116.8562</v>
      </c>
      <c r="I933" s="92"/>
      <c r="J933" s="93">
        <f t="shared" si="21"/>
        <v>9.919999999999618E-2</v>
      </c>
    </row>
    <row r="934" spans="2:10" x14ac:dyDescent="0.2">
      <c r="B934" s="92">
        <v>1.2833330000000001</v>
      </c>
      <c r="C934" s="92">
        <v>736.02059999999994</v>
      </c>
      <c r="D934" s="92">
        <v>117.5284</v>
      </c>
      <c r="E934" s="92"/>
      <c r="F934" s="92">
        <v>1.2833330000000001</v>
      </c>
      <c r="G934" s="92">
        <v>736.10440000000006</v>
      </c>
      <c r="H934" s="92">
        <v>116.8678</v>
      </c>
      <c r="I934" s="92"/>
      <c r="J934" s="93">
        <f t="shared" si="21"/>
        <v>8.3800000000110231E-2</v>
      </c>
    </row>
    <row r="935" spans="2:10" x14ac:dyDescent="0.2">
      <c r="B935" s="92">
        <v>1.2847219999999999</v>
      </c>
      <c r="C935" s="92">
        <v>736.02809999999999</v>
      </c>
      <c r="D935" s="92">
        <v>117.545</v>
      </c>
      <c r="E935" s="92"/>
      <c r="F935" s="92">
        <v>1.2847219999999999</v>
      </c>
      <c r="G935" s="92">
        <v>736.08199999999999</v>
      </c>
      <c r="H935" s="92">
        <v>116.87609999999999</v>
      </c>
      <c r="I935" s="92"/>
      <c r="J935" s="93">
        <f t="shared" si="21"/>
        <v>5.3899999999998727E-2</v>
      </c>
    </row>
    <row r="936" spans="2:10" x14ac:dyDescent="0.2">
      <c r="B936" s="92">
        <v>1.286111</v>
      </c>
      <c r="C936" s="92">
        <v>736.02340000000004</v>
      </c>
      <c r="D936" s="92">
        <v>117.5598</v>
      </c>
      <c r="E936" s="92"/>
      <c r="F936" s="92">
        <v>1.286111</v>
      </c>
      <c r="G936" s="92">
        <v>736.08500000000004</v>
      </c>
      <c r="H936" s="92">
        <v>116.886</v>
      </c>
      <c r="I936" s="92"/>
      <c r="J936" s="93">
        <f t="shared" si="21"/>
        <v>6.1599999999998545E-2</v>
      </c>
    </row>
    <row r="937" spans="2:10" x14ac:dyDescent="0.2">
      <c r="B937" s="92">
        <v>1.2875000000000001</v>
      </c>
      <c r="C937" s="92">
        <v>736.06089999999995</v>
      </c>
      <c r="D937" s="92">
        <v>117.57299999999999</v>
      </c>
      <c r="E937" s="92"/>
      <c r="F937" s="92">
        <v>1.2875000000000001</v>
      </c>
      <c r="G937" s="92">
        <v>736.09770000000003</v>
      </c>
      <c r="H937" s="92">
        <v>116.896</v>
      </c>
      <c r="I937" s="92"/>
      <c r="J937" s="93">
        <f t="shared" si="21"/>
        <v>3.6800000000084765E-2</v>
      </c>
    </row>
    <row r="938" spans="2:10" x14ac:dyDescent="0.2">
      <c r="B938" s="92">
        <v>1.288889</v>
      </c>
      <c r="C938" s="92">
        <v>736.01020000000005</v>
      </c>
      <c r="D938" s="92">
        <v>117.58459999999999</v>
      </c>
      <c r="E938" s="92"/>
      <c r="F938" s="92">
        <v>1.288889</v>
      </c>
      <c r="G938" s="92">
        <v>736.10900000000004</v>
      </c>
      <c r="H938" s="92">
        <v>116.90430000000001</v>
      </c>
      <c r="I938" s="92"/>
      <c r="J938" s="93">
        <f t="shared" si="21"/>
        <v>9.8799999999982901E-2</v>
      </c>
    </row>
    <row r="939" spans="2:10" x14ac:dyDescent="0.2">
      <c r="B939" s="92">
        <v>1.290278</v>
      </c>
      <c r="C939" s="92">
        <v>736.04229999999995</v>
      </c>
      <c r="D939" s="92">
        <v>117.59780000000001</v>
      </c>
      <c r="E939" s="92"/>
      <c r="F939" s="92">
        <v>1.290278</v>
      </c>
      <c r="G939" s="92">
        <v>736.1019</v>
      </c>
      <c r="H939" s="92">
        <v>116.9259</v>
      </c>
      <c r="I939" s="92"/>
      <c r="J939" s="93">
        <f t="shared" si="21"/>
        <v>5.9600000000045839E-2</v>
      </c>
    </row>
    <row r="940" spans="2:10" x14ac:dyDescent="0.2">
      <c r="B940" s="92">
        <v>1.2916669999999999</v>
      </c>
      <c r="C940" s="92">
        <v>736.08</v>
      </c>
      <c r="D940" s="92">
        <v>117.6044</v>
      </c>
      <c r="E940" s="92"/>
      <c r="F940" s="92">
        <v>1.2916669999999999</v>
      </c>
      <c r="G940" s="92">
        <v>736.10149999999999</v>
      </c>
      <c r="H940" s="92">
        <v>116.9192</v>
      </c>
      <c r="I940" s="92"/>
      <c r="J940" s="93">
        <f t="shared" si="21"/>
        <v>2.149999999994634E-2</v>
      </c>
    </row>
    <row r="941" spans="2:10" x14ac:dyDescent="0.2">
      <c r="B941" s="92">
        <v>1.293056</v>
      </c>
      <c r="C941" s="92">
        <v>736.00350000000003</v>
      </c>
      <c r="D941" s="92">
        <v>117.6176</v>
      </c>
      <c r="E941" s="92"/>
      <c r="F941" s="92">
        <v>1.293056</v>
      </c>
      <c r="G941" s="92">
        <v>736.07069999999999</v>
      </c>
      <c r="H941" s="92">
        <v>116.92919999999999</v>
      </c>
      <c r="I941" s="92"/>
      <c r="J941" s="93">
        <f t="shared" si="21"/>
        <v>6.7199999999957072E-2</v>
      </c>
    </row>
    <row r="942" spans="2:10" x14ac:dyDescent="0.2">
      <c r="B942" s="92">
        <v>1.2944439999999999</v>
      </c>
      <c r="C942" s="92">
        <v>736.03840000000002</v>
      </c>
      <c r="D942" s="92">
        <v>117.6275</v>
      </c>
      <c r="E942" s="92"/>
      <c r="F942" s="92">
        <v>1.2944439999999999</v>
      </c>
      <c r="G942" s="92">
        <v>736.11749999999995</v>
      </c>
      <c r="H942" s="92">
        <v>116.94580000000001</v>
      </c>
      <c r="I942" s="92"/>
      <c r="J942" s="93">
        <f t="shared" si="21"/>
        <v>7.9099999999925785E-2</v>
      </c>
    </row>
    <row r="943" spans="2:10" x14ac:dyDescent="0.2">
      <c r="B943" s="92">
        <v>1.295833</v>
      </c>
      <c r="C943" s="92">
        <v>736.00120000000004</v>
      </c>
      <c r="D943" s="92">
        <v>117.64239999999999</v>
      </c>
      <c r="E943" s="92"/>
      <c r="F943" s="92">
        <v>1.295833</v>
      </c>
      <c r="G943" s="92">
        <v>736.05880000000002</v>
      </c>
      <c r="H943" s="92">
        <v>116.9508</v>
      </c>
      <c r="I943" s="92"/>
      <c r="J943" s="93">
        <f t="shared" si="21"/>
        <v>5.7599999999979445E-2</v>
      </c>
    </row>
    <row r="944" spans="2:10" x14ac:dyDescent="0.2">
      <c r="B944" s="92">
        <v>1.2972220000000001</v>
      </c>
      <c r="C944" s="92">
        <v>736.05359999999996</v>
      </c>
      <c r="D944" s="92">
        <v>117.65389999999999</v>
      </c>
      <c r="E944" s="92"/>
      <c r="F944" s="92">
        <v>1.2972220000000001</v>
      </c>
      <c r="G944" s="92">
        <v>736.11</v>
      </c>
      <c r="H944" s="92">
        <v>116.9607</v>
      </c>
      <c r="I944" s="92"/>
      <c r="J944" s="93">
        <f t="shared" si="21"/>
        <v>5.6400000000053296E-2</v>
      </c>
    </row>
    <row r="945" spans="2:10" x14ac:dyDescent="0.2">
      <c r="B945" s="92">
        <v>1.298611</v>
      </c>
      <c r="C945" s="92">
        <v>736.03300000000002</v>
      </c>
      <c r="D945" s="92">
        <v>117.6622</v>
      </c>
      <c r="E945" s="92"/>
      <c r="F945" s="92">
        <v>1.298611</v>
      </c>
      <c r="G945" s="92">
        <v>736.06479999999999</v>
      </c>
      <c r="H945" s="92">
        <v>116.97069999999999</v>
      </c>
      <c r="I945" s="92"/>
      <c r="J945" s="93">
        <f t="shared" si="21"/>
        <v>3.1799999999975626E-2</v>
      </c>
    </row>
    <row r="946" spans="2:10" x14ac:dyDescent="0.2">
      <c r="B946" s="92">
        <v>1.3</v>
      </c>
      <c r="C946" s="92">
        <v>736.02419999999995</v>
      </c>
      <c r="D946" s="92">
        <v>117.67870000000001</v>
      </c>
      <c r="E946" s="92"/>
      <c r="F946" s="92">
        <v>1.3</v>
      </c>
      <c r="G946" s="92">
        <v>736.11599999999999</v>
      </c>
      <c r="H946" s="92">
        <v>116.9806</v>
      </c>
      <c r="I946" s="92"/>
      <c r="J946" s="93">
        <f t="shared" si="21"/>
        <v>9.1800000000034743E-2</v>
      </c>
    </row>
    <row r="947" spans="2:10" x14ac:dyDescent="0.2">
      <c r="B947" s="92">
        <v>1.3013889999999999</v>
      </c>
      <c r="C947" s="92">
        <v>736.00480000000005</v>
      </c>
      <c r="D947" s="92">
        <v>117.68859999999999</v>
      </c>
      <c r="E947" s="92"/>
      <c r="F947" s="92">
        <v>1.3013889999999999</v>
      </c>
      <c r="G947" s="92">
        <v>736.13440000000003</v>
      </c>
      <c r="H947" s="92">
        <v>116.98560000000001</v>
      </c>
      <c r="I947" s="92"/>
      <c r="J947" s="93">
        <f t="shared" si="21"/>
        <v>0.12959999999998217</v>
      </c>
    </row>
    <row r="948" spans="2:10" x14ac:dyDescent="0.2">
      <c r="B948" s="92">
        <v>1.302778</v>
      </c>
      <c r="C948" s="92">
        <v>736.0317</v>
      </c>
      <c r="D948" s="92">
        <v>117.6952</v>
      </c>
      <c r="E948" s="92"/>
      <c r="F948" s="92">
        <v>1.302778</v>
      </c>
      <c r="G948" s="92">
        <v>736.09709999999995</v>
      </c>
      <c r="H948" s="92">
        <v>116.9873</v>
      </c>
      <c r="I948" s="92"/>
      <c r="J948" s="93">
        <f t="shared" si="21"/>
        <v>6.5399999999954161E-2</v>
      </c>
    </row>
    <row r="949" spans="2:10" x14ac:dyDescent="0.2">
      <c r="B949" s="92">
        <v>1.3041670000000001</v>
      </c>
      <c r="C949" s="92">
        <v>736.00969999999995</v>
      </c>
      <c r="D949" s="92">
        <v>117.70180000000001</v>
      </c>
      <c r="E949" s="92"/>
      <c r="F949" s="92">
        <v>1.3041670000000001</v>
      </c>
      <c r="G949" s="92">
        <v>736.13599999999997</v>
      </c>
      <c r="H949" s="92">
        <v>117.01220000000001</v>
      </c>
      <c r="I949" s="92"/>
      <c r="J949" s="93">
        <f t="shared" si="21"/>
        <v>0.12630000000001473</v>
      </c>
    </row>
    <row r="950" spans="2:10" x14ac:dyDescent="0.2">
      <c r="B950" s="92">
        <v>1.3055559999999999</v>
      </c>
      <c r="C950" s="92">
        <v>736.02390000000003</v>
      </c>
      <c r="D950" s="92">
        <v>117.72</v>
      </c>
      <c r="E950" s="92"/>
      <c r="F950" s="92">
        <v>1.3055559999999999</v>
      </c>
      <c r="G950" s="92">
        <v>736.07240000000002</v>
      </c>
      <c r="H950" s="92">
        <v>117.0172</v>
      </c>
      <c r="I950" s="92"/>
      <c r="J950" s="93">
        <f t="shared" si="21"/>
        <v>4.8499999999989996E-2</v>
      </c>
    </row>
    <row r="951" spans="2:10" x14ac:dyDescent="0.2">
      <c r="B951" s="92">
        <v>1.3069440000000001</v>
      </c>
      <c r="C951" s="92">
        <v>735.9991</v>
      </c>
      <c r="D951" s="92">
        <v>117.7299</v>
      </c>
      <c r="E951" s="92"/>
      <c r="F951" s="92">
        <v>1.3069440000000001</v>
      </c>
      <c r="G951" s="92">
        <v>736.13419999999996</v>
      </c>
      <c r="H951" s="92">
        <v>117.02209999999999</v>
      </c>
      <c r="I951" s="92"/>
      <c r="J951" s="93">
        <f t="shared" si="21"/>
        <v>0.1350999999999658</v>
      </c>
    </row>
    <row r="952" spans="2:10" x14ac:dyDescent="0.2">
      <c r="B952" s="92">
        <v>1.308333</v>
      </c>
      <c r="C952" s="92">
        <v>735.98800000000006</v>
      </c>
      <c r="D952" s="92">
        <v>117.73650000000001</v>
      </c>
      <c r="E952" s="92"/>
      <c r="F952" s="92">
        <v>1.308333</v>
      </c>
      <c r="G952" s="92">
        <v>736.10919999999999</v>
      </c>
      <c r="H952" s="92">
        <v>117.0271</v>
      </c>
      <c r="I952" s="92"/>
      <c r="J952" s="93">
        <f t="shared" si="21"/>
        <v>0.1211999999999307</v>
      </c>
    </row>
    <row r="953" spans="2:10" x14ac:dyDescent="0.2">
      <c r="B953" s="92">
        <v>1.3097220000000001</v>
      </c>
      <c r="C953" s="92">
        <v>736.03089999999997</v>
      </c>
      <c r="D953" s="92">
        <v>117.7497</v>
      </c>
      <c r="E953" s="92"/>
      <c r="F953" s="92">
        <v>1.3097220000000001</v>
      </c>
      <c r="G953" s="92">
        <v>736.0942</v>
      </c>
      <c r="H953" s="92">
        <v>117.03870000000001</v>
      </c>
      <c r="I953" s="92"/>
      <c r="J953" s="93">
        <f t="shared" si="21"/>
        <v>6.3300000000026557E-2</v>
      </c>
    </row>
    <row r="954" spans="2:10" x14ac:dyDescent="0.2">
      <c r="B954" s="92">
        <v>1.3111109999999999</v>
      </c>
      <c r="C954" s="92">
        <v>736.03480000000002</v>
      </c>
      <c r="D954" s="92">
        <v>117.7547</v>
      </c>
      <c r="E954" s="92"/>
      <c r="F954" s="92">
        <v>1.3111109999999999</v>
      </c>
      <c r="G954" s="92">
        <v>736.11869999999999</v>
      </c>
      <c r="H954" s="92">
        <v>117.0454</v>
      </c>
      <c r="I954" s="92"/>
      <c r="J954" s="93">
        <f t="shared" si="21"/>
        <v>8.3899999999971442E-2</v>
      </c>
    </row>
    <row r="955" spans="2:10" x14ac:dyDescent="0.2">
      <c r="B955" s="92">
        <v>1.3125</v>
      </c>
      <c r="C955" s="92">
        <v>736.03970000000004</v>
      </c>
      <c r="D955" s="92">
        <v>117.7679</v>
      </c>
      <c r="E955" s="92"/>
      <c r="F955" s="92">
        <v>1.3125</v>
      </c>
      <c r="G955" s="92">
        <v>736.07180000000005</v>
      </c>
      <c r="H955" s="92">
        <v>117.047</v>
      </c>
      <c r="I955" s="92"/>
      <c r="J955" s="93">
        <f t="shared" si="21"/>
        <v>3.2100000000014006E-2</v>
      </c>
    </row>
    <row r="956" spans="2:10" x14ac:dyDescent="0.2">
      <c r="B956" s="92">
        <v>1.3138890000000001</v>
      </c>
      <c r="C956" s="92">
        <v>736.01919999999996</v>
      </c>
      <c r="D956" s="92">
        <v>117.76949999999999</v>
      </c>
      <c r="E956" s="92"/>
      <c r="F956" s="92">
        <v>1.3138890000000001</v>
      </c>
      <c r="G956" s="92">
        <v>736.05330000000004</v>
      </c>
      <c r="H956" s="92">
        <v>117.0603</v>
      </c>
      <c r="I956" s="92"/>
      <c r="J956" s="93">
        <f t="shared" si="21"/>
        <v>3.4100000000080399E-2</v>
      </c>
    </row>
    <row r="957" spans="2:10" x14ac:dyDescent="0.2">
      <c r="B957" s="92">
        <v>1.3152779999999999</v>
      </c>
      <c r="C957" s="92">
        <v>736.00779999999997</v>
      </c>
      <c r="D957" s="92">
        <v>117.78279999999999</v>
      </c>
      <c r="E957" s="92"/>
      <c r="F957" s="92">
        <v>1.3152779999999999</v>
      </c>
      <c r="G957" s="92">
        <v>736.12120000000004</v>
      </c>
      <c r="H957" s="92">
        <v>117.0669</v>
      </c>
      <c r="I957" s="92"/>
      <c r="J957" s="93">
        <f t="shared" si="21"/>
        <v>0.11340000000006967</v>
      </c>
    </row>
    <row r="958" spans="2:10" x14ac:dyDescent="0.2">
      <c r="B958" s="92">
        <v>1.316667</v>
      </c>
      <c r="C958" s="92">
        <v>736.02779999999996</v>
      </c>
      <c r="D958" s="92">
        <v>117.79430000000001</v>
      </c>
      <c r="E958" s="92"/>
      <c r="F958" s="92">
        <v>1.316667</v>
      </c>
      <c r="G958" s="92">
        <v>736.1277</v>
      </c>
      <c r="H958" s="92">
        <v>117.0752</v>
      </c>
      <c r="I958" s="92"/>
      <c r="J958" s="93">
        <f t="shared" si="21"/>
        <v>9.9900000000047839E-2</v>
      </c>
    </row>
    <row r="959" spans="2:10" x14ac:dyDescent="0.2">
      <c r="B959" s="92">
        <v>1.3180559999999999</v>
      </c>
      <c r="C959" s="92">
        <v>736.02589999999998</v>
      </c>
      <c r="D959" s="92">
        <v>117.80589999999999</v>
      </c>
      <c r="E959" s="92"/>
      <c r="F959" s="92">
        <v>1.3180559999999999</v>
      </c>
      <c r="G959" s="92">
        <v>736.10270000000003</v>
      </c>
      <c r="H959" s="92">
        <v>117.0802</v>
      </c>
      <c r="I959" s="92"/>
      <c r="J959" s="93">
        <f t="shared" si="21"/>
        <v>7.6800000000048385E-2</v>
      </c>
    </row>
    <row r="960" spans="2:10" x14ac:dyDescent="0.2">
      <c r="B960" s="92">
        <v>1.3194440000000001</v>
      </c>
      <c r="C960" s="92">
        <v>736.0027</v>
      </c>
      <c r="D960" s="92">
        <v>117.8108</v>
      </c>
      <c r="E960" s="92"/>
      <c r="F960" s="92">
        <v>1.3194440000000001</v>
      </c>
      <c r="G960" s="92">
        <v>736.08989999999994</v>
      </c>
      <c r="H960" s="92">
        <v>117.0885</v>
      </c>
      <c r="I960" s="92"/>
      <c r="J960" s="93">
        <f t="shared" si="21"/>
        <v>8.7199999999938882E-2</v>
      </c>
    </row>
    <row r="961" spans="2:10" x14ac:dyDescent="0.2">
      <c r="B961" s="92">
        <v>1.3208329999999999</v>
      </c>
      <c r="C961" s="92">
        <v>736.03729999999996</v>
      </c>
      <c r="D961" s="92">
        <v>117.82729999999999</v>
      </c>
      <c r="E961" s="92"/>
      <c r="F961" s="92">
        <v>1.3208329999999999</v>
      </c>
      <c r="G961" s="92">
        <v>736.08900000000006</v>
      </c>
      <c r="H961" s="92">
        <v>117.09350000000001</v>
      </c>
      <c r="I961" s="92"/>
      <c r="J961" s="93">
        <f t="shared" si="21"/>
        <v>5.1700000000096225E-2</v>
      </c>
    </row>
    <row r="962" spans="2:10" x14ac:dyDescent="0.2">
      <c r="B962" s="92">
        <v>1.322222</v>
      </c>
      <c r="C962" s="92">
        <v>736.01949999999999</v>
      </c>
      <c r="D962" s="92">
        <v>117.8323</v>
      </c>
      <c r="E962" s="92"/>
      <c r="F962" s="92">
        <v>1.322222</v>
      </c>
      <c r="G962" s="92">
        <v>736.12710000000004</v>
      </c>
      <c r="H962" s="92">
        <v>117.10509999999999</v>
      </c>
      <c r="I962" s="92"/>
      <c r="J962" s="93">
        <f t="shared" si="21"/>
        <v>0.10760000000004766</v>
      </c>
    </row>
    <row r="963" spans="2:10" x14ac:dyDescent="0.2">
      <c r="B963" s="92">
        <v>1.3236110000000001</v>
      </c>
      <c r="C963" s="92">
        <v>736.02359999999999</v>
      </c>
      <c r="D963" s="92">
        <v>117.8306</v>
      </c>
      <c r="E963" s="92"/>
      <c r="F963" s="92">
        <v>1.3236110000000001</v>
      </c>
      <c r="G963" s="92">
        <v>736.10910000000001</v>
      </c>
      <c r="H963" s="92">
        <v>117.10680000000001</v>
      </c>
      <c r="I963" s="92"/>
      <c r="J963" s="93">
        <f t="shared" si="21"/>
        <v>8.5500000000024556E-2</v>
      </c>
    </row>
    <row r="964" spans="2:10" x14ac:dyDescent="0.2">
      <c r="B964" s="92">
        <v>1.325</v>
      </c>
      <c r="C964" s="92">
        <v>736.0027</v>
      </c>
      <c r="D964" s="92">
        <v>117.8455</v>
      </c>
      <c r="E964" s="92"/>
      <c r="F964" s="92">
        <v>1.325</v>
      </c>
      <c r="G964" s="92">
        <v>736.10810000000004</v>
      </c>
      <c r="H964" s="92">
        <v>117.13</v>
      </c>
      <c r="I964" s="92"/>
      <c r="J964" s="93">
        <f t="shared" si="21"/>
        <v>0.10540000000003147</v>
      </c>
    </row>
    <row r="965" spans="2:10" x14ac:dyDescent="0.2">
      <c r="B965" s="92">
        <v>1.326389</v>
      </c>
      <c r="C965" s="92">
        <v>736.04020000000003</v>
      </c>
      <c r="D965" s="92">
        <v>117.8587</v>
      </c>
      <c r="E965" s="92"/>
      <c r="F965" s="92">
        <v>1.326389</v>
      </c>
      <c r="G965" s="92">
        <v>736.11419999999998</v>
      </c>
      <c r="H965" s="92">
        <v>117.1317</v>
      </c>
      <c r="I965" s="92"/>
      <c r="J965" s="93">
        <f t="shared" si="21"/>
        <v>7.3999999999955435E-2</v>
      </c>
    </row>
    <row r="966" spans="2:10" x14ac:dyDescent="0.2">
      <c r="B966" s="92">
        <v>1.3277779999999999</v>
      </c>
      <c r="C966" s="92">
        <v>736.04819999999995</v>
      </c>
      <c r="D966" s="92">
        <v>117.86199999999999</v>
      </c>
      <c r="E966" s="92"/>
      <c r="F966" s="92">
        <v>1.3277779999999999</v>
      </c>
      <c r="G966" s="92">
        <v>736.10109999999997</v>
      </c>
      <c r="H966" s="92">
        <v>117.13330000000001</v>
      </c>
      <c r="I966" s="92"/>
      <c r="J966" s="93">
        <f t="shared" si="21"/>
        <v>5.2900000000022374E-2</v>
      </c>
    </row>
    <row r="967" spans="2:10" x14ac:dyDescent="0.2">
      <c r="B967" s="92">
        <v>1.329167</v>
      </c>
      <c r="C967" s="92">
        <v>736.03290000000004</v>
      </c>
      <c r="D967" s="92">
        <v>117.8703</v>
      </c>
      <c r="E967" s="92"/>
      <c r="F967" s="92">
        <v>1.329167</v>
      </c>
      <c r="G967" s="92">
        <v>736.1028</v>
      </c>
      <c r="H967" s="92">
        <v>117.1416</v>
      </c>
      <c r="I967" s="92"/>
      <c r="J967" s="93">
        <f t="shared" si="21"/>
        <v>6.9899999999961437E-2</v>
      </c>
    </row>
    <row r="968" spans="2:10" x14ac:dyDescent="0.2">
      <c r="B968" s="92">
        <v>1.3305560000000001</v>
      </c>
      <c r="C968" s="92">
        <v>735.97699999999998</v>
      </c>
      <c r="D968" s="92">
        <v>117.87520000000001</v>
      </c>
      <c r="E968" s="92"/>
      <c r="F968" s="92">
        <v>1.3305560000000001</v>
      </c>
      <c r="G968" s="92">
        <v>736.12860000000001</v>
      </c>
      <c r="H968" s="92">
        <v>117.1499</v>
      </c>
      <c r="I968" s="92"/>
      <c r="J968" s="93">
        <f t="shared" si="21"/>
        <v>0.15160000000003038</v>
      </c>
    </row>
    <row r="969" spans="2:10" x14ac:dyDescent="0.2">
      <c r="B969" s="92">
        <v>1.331944</v>
      </c>
      <c r="C969" s="92">
        <v>736.01710000000003</v>
      </c>
      <c r="D969" s="92">
        <v>117.8918</v>
      </c>
      <c r="E969" s="92"/>
      <c r="F969" s="92">
        <v>1.331944</v>
      </c>
      <c r="G969" s="92">
        <v>736.10619999999994</v>
      </c>
      <c r="H969" s="92">
        <v>117.15819999999999</v>
      </c>
      <c r="I969" s="92"/>
      <c r="J969" s="93">
        <f t="shared" si="21"/>
        <v>8.909999999991669E-2</v>
      </c>
    </row>
    <row r="970" spans="2:10" x14ac:dyDescent="0.2">
      <c r="B970" s="92">
        <v>1.3333330000000001</v>
      </c>
      <c r="C970" s="92">
        <v>736.01170000000002</v>
      </c>
      <c r="D970" s="92">
        <v>117.8918</v>
      </c>
      <c r="E970" s="92"/>
      <c r="F970" s="92">
        <v>1.3333330000000001</v>
      </c>
      <c r="G970" s="92">
        <v>736.13589999999999</v>
      </c>
      <c r="H970" s="92">
        <v>117.17149999999999</v>
      </c>
      <c r="I970" s="92"/>
      <c r="J970" s="93">
        <f t="shared" si="21"/>
        <v>0.12419999999997344</v>
      </c>
    </row>
    <row r="971" spans="2:10" x14ac:dyDescent="0.2">
      <c r="B971" s="92">
        <v>1.334722</v>
      </c>
      <c r="C971" s="92">
        <v>736.01940000000002</v>
      </c>
      <c r="D971" s="92">
        <v>117.90170000000001</v>
      </c>
      <c r="E971" s="92"/>
      <c r="F971" s="92">
        <v>1.334722</v>
      </c>
      <c r="G971" s="92">
        <v>736.13940000000002</v>
      </c>
      <c r="H971" s="92">
        <v>117.1699</v>
      </c>
      <c r="I971" s="92"/>
      <c r="J971" s="93">
        <f t="shared" ref="J971:J1034" si="22">+ABS(G971-C971)</f>
        <v>0.12000000000000455</v>
      </c>
    </row>
    <row r="972" spans="2:10" x14ac:dyDescent="0.2">
      <c r="B972" s="92">
        <v>1.336111</v>
      </c>
      <c r="C972" s="92">
        <v>736.00289999999995</v>
      </c>
      <c r="D972" s="92">
        <v>117.9083</v>
      </c>
      <c r="E972" s="92"/>
      <c r="F972" s="92">
        <v>1.336111</v>
      </c>
      <c r="G972" s="92">
        <v>736.12180000000001</v>
      </c>
      <c r="H972" s="92">
        <v>117.1782</v>
      </c>
      <c r="I972" s="92"/>
      <c r="J972" s="93">
        <f t="shared" si="22"/>
        <v>0.1189000000000533</v>
      </c>
    </row>
    <row r="973" spans="2:10" x14ac:dyDescent="0.2">
      <c r="B973" s="92">
        <v>1.3374999999999999</v>
      </c>
      <c r="C973" s="92">
        <v>735.98350000000005</v>
      </c>
      <c r="D973" s="92">
        <v>117.9182</v>
      </c>
      <c r="E973" s="92"/>
      <c r="F973" s="92">
        <v>1.3374999999999999</v>
      </c>
      <c r="G973" s="92">
        <v>736.14059999999995</v>
      </c>
      <c r="H973" s="92">
        <v>117.18980000000001</v>
      </c>
      <c r="I973" s="92"/>
      <c r="J973" s="93">
        <f t="shared" si="22"/>
        <v>0.15709999999990032</v>
      </c>
    </row>
    <row r="974" spans="2:10" x14ac:dyDescent="0.2">
      <c r="B974" s="92">
        <v>1.338889</v>
      </c>
      <c r="C974" s="92">
        <v>736.02949999999998</v>
      </c>
      <c r="D974" s="92">
        <v>117.92149999999999</v>
      </c>
      <c r="E974" s="92"/>
      <c r="F974" s="92">
        <v>1.338889</v>
      </c>
      <c r="G974" s="92">
        <v>736.11339999999996</v>
      </c>
      <c r="H974" s="92">
        <v>117.1981</v>
      </c>
      <c r="I974" s="92"/>
      <c r="J974" s="93">
        <f t="shared" si="22"/>
        <v>8.3899999999971442E-2</v>
      </c>
    </row>
    <row r="975" spans="2:10" x14ac:dyDescent="0.2">
      <c r="B975" s="92">
        <v>1.3402780000000001</v>
      </c>
      <c r="C975" s="92">
        <v>736.03189999999995</v>
      </c>
      <c r="D975" s="92">
        <v>117.9314</v>
      </c>
      <c r="E975" s="92"/>
      <c r="F975" s="92">
        <v>1.3402780000000001</v>
      </c>
      <c r="G975" s="92">
        <v>736.15229999999997</v>
      </c>
      <c r="H975" s="92">
        <v>117.2047</v>
      </c>
      <c r="I975" s="92"/>
      <c r="J975" s="93">
        <f t="shared" si="22"/>
        <v>0.12040000000001783</v>
      </c>
    </row>
    <row r="976" spans="2:10" x14ac:dyDescent="0.2">
      <c r="B976" s="92">
        <v>1.3416669999999999</v>
      </c>
      <c r="C976" s="92">
        <v>736.02620000000002</v>
      </c>
      <c r="D976" s="92">
        <v>117.938</v>
      </c>
      <c r="E976" s="92"/>
      <c r="F976" s="92">
        <v>1.3416669999999999</v>
      </c>
      <c r="G976" s="92">
        <v>736.09929999999997</v>
      </c>
      <c r="H976" s="92">
        <v>117.2047</v>
      </c>
      <c r="I976" s="92"/>
      <c r="J976" s="93">
        <f t="shared" si="22"/>
        <v>7.309999999995398E-2</v>
      </c>
    </row>
    <row r="977" spans="2:10" x14ac:dyDescent="0.2">
      <c r="B977" s="92">
        <v>1.343056</v>
      </c>
      <c r="C977" s="92">
        <v>736.02179999999998</v>
      </c>
      <c r="D977" s="92">
        <v>117.94629999999999</v>
      </c>
      <c r="E977" s="92"/>
      <c r="F977" s="92">
        <v>1.343056</v>
      </c>
      <c r="G977" s="92">
        <v>736.10450000000003</v>
      </c>
      <c r="H977" s="92">
        <v>117.2114</v>
      </c>
      <c r="I977" s="92"/>
      <c r="J977" s="93">
        <f t="shared" si="22"/>
        <v>8.2700000000045293E-2</v>
      </c>
    </row>
    <row r="978" spans="2:10" x14ac:dyDescent="0.2">
      <c r="B978" s="92">
        <v>1.344444</v>
      </c>
      <c r="C978" s="92">
        <v>736.02689999999996</v>
      </c>
      <c r="D978" s="92">
        <v>117.9529</v>
      </c>
      <c r="E978" s="92"/>
      <c r="F978" s="92">
        <v>1.344444</v>
      </c>
      <c r="G978" s="92">
        <v>736.13869999999997</v>
      </c>
      <c r="H978" s="92">
        <v>117.218</v>
      </c>
      <c r="I978" s="92"/>
      <c r="J978" s="93">
        <f t="shared" si="22"/>
        <v>0.11180000000001655</v>
      </c>
    </row>
    <row r="979" spans="2:10" x14ac:dyDescent="0.2">
      <c r="B979" s="92">
        <v>1.3458330000000001</v>
      </c>
      <c r="C979" s="92">
        <v>736.02930000000003</v>
      </c>
      <c r="D979" s="92">
        <v>117.9628</v>
      </c>
      <c r="E979" s="92"/>
      <c r="F979" s="92">
        <v>1.3458330000000001</v>
      </c>
      <c r="G979" s="92">
        <v>736.10609999999997</v>
      </c>
      <c r="H979" s="92">
        <v>117.2379</v>
      </c>
      <c r="I979" s="92"/>
      <c r="J979" s="93">
        <f t="shared" si="22"/>
        <v>7.6799999999934698E-2</v>
      </c>
    </row>
    <row r="980" spans="2:10" x14ac:dyDescent="0.2">
      <c r="B980" s="92">
        <v>1.3472219999999999</v>
      </c>
      <c r="C980" s="92">
        <v>736.06290000000001</v>
      </c>
      <c r="D980" s="92">
        <v>117.971</v>
      </c>
      <c r="E980" s="92"/>
      <c r="F980" s="92">
        <v>1.3472219999999999</v>
      </c>
      <c r="G980" s="92">
        <v>736.13279999999997</v>
      </c>
      <c r="H980" s="92">
        <v>117.24120000000001</v>
      </c>
      <c r="I980" s="92"/>
      <c r="J980" s="93">
        <f t="shared" si="22"/>
        <v>6.9899999999961437E-2</v>
      </c>
    </row>
    <row r="981" spans="2:10" x14ac:dyDescent="0.2">
      <c r="B981" s="92">
        <v>1.348611</v>
      </c>
      <c r="C981" s="92">
        <v>736.07889999999998</v>
      </c>
      <c r="D981" s="92">
        <v>117.9776</v>
      </c>
      <c r="E981" s="92"/>
      <c r="F981" s="92">
        <v>1.348611</v>
      </c>
      <c r="G981" s="92">
        <v>736.09079999999994</v>
      </c>
      <c r="H981" s="92">
        <v>117.24290000000001</v>
      </c>
      <c r="I981" s="92"/>
      <c r="J981" s="93">
        <f t="shared" si="22"/>
        <v>1.1899999999968713E-2</v>
      </c>
    </row>
    <row r="982" spans="2:10" x14ac:dyDescent="0.2">
      <c r="B982" s="92">
        <v>1.35</v>
      </c>
      <c r="C982" s="92">
        <v>736.02020000000005</v>
      </c>
      <c r="D982" s="92">
        <v>117.9859</v>
      </c>
      <c r="E982" s="92"/>
      <c r="F982" s="92">
        <v>1.35</v>
      </c>
      <c r="G982" s="92">
        <v>736.09690000000001</v>
      </c>
      <c r="H982" s="92">
        <v>117.24460000000001</v>
      </c>
      <c r="I982" s="92"/>
      <c r="J982" s="93">
        <f t="shared" si="22"/>
        <v>7.66999999999598E-2</v>
      </c>
    </row>
    <row r="983" spans="2:10" x14ac:dyDescent="0.2">
      <c r="B983" s="92">
        <v>1.351389</v>
      </c>
      <c r="C983" s="92">
        <v>736.01990000000001</v>
      </c>
      <c r="D983" s="92">
        <v>117.99250000000001</v>
      </c>
      <c r="E983" s="92"/>
      <c r="F983" s="92">
        <v>1.351389</v>
      </c>
      <c r="G983" s="92">
        <v>736.12620000000004</v>
      </c>
      <c r="H983" s="92">
        <v>117.2512</v>
      </c>
      <c r="I983" s="92"/>
      <c r="J983" s="93">
        <f t="shared" si="22"/>
        <v>0.10630000000003292</v>
      </c>
    </row>
    <row r="984" spans="2:10" x14ac:dyDescent="0.2">
      <c r="B984" s="92">
        <v>1.352778</v>
      </c>
      <c r="C984" s="92">
        <v>736.04679999999996</v>
      </c>
      <c r="D984" s="92">
        <v>117.9991</v>
      </c>
      <c r="E984" s="92"/>
      <c r="F984" s="92">
        <v>1.352778</v>
      </c>
      <c r="G984" s="92">
        <v>736.14020000000005</v>
      </c>
      <c r="H984" s="92">
        <v>117.2628</v>
      </c>
      <c r="I984" s="92"/>
      <c r="J984" s="93">
        <f t="shared" si="22"/>
        <v>9.3400000000087857E-2</v>
      </c>
    </row>
    <row r="985" spans="2:10" x14ac:dyDescent="0.2">
      <c r="B985" s="92">
        <v>1.3541669999999999</v>
      </c>
      <c r="C985" s="92">
        <v>736.05070000000001</v>
      </c>
      <c r="D985" s="92">
        <v>118.00409999999999</v>
      </c>
      <c r="E985" s="92"/>
      <c r="F985" s="92">
        <v>1.3541669999999999</v>
      </c>
      <c r="G985" s="92">
        <v>736.12260000000003</v>
      </c>
      <c r="H985" s="92">
        <v>117.2711</v>
      </c>
      <c r="I985" s="92"/>
      <c r="J985" s="93">
        <f t="shared" si="22"/>
        <v>7.1900000000027831E-2</v>
      </c>
    </row>
    <row r="986" spans="2:10" x14ac:dyDescent="0.2">
      <c r="B986" s="92">
        <v>1.355556</v>
      </c>
      <c r="C986" s="92">
        <v>736.06830000000002</v>
      </c>
      <c r="D986" s="92">
        <v>118.0057</v>
      </c>
      <c r="E986" s="92"/>
      <c r="F986" s="92">
        <v>1.355556</v>
      </c>
      <c r="G986" s="92">
        <v>736.14229999999998</v>
      </c>
      <c r="H986" s="92">
        <v>117.2777</v>
      </c>
      <c r="I986" s="92"/>
      <c r="J986" s="93">
        <f t="shared" si="22"/>
        <v>7.3999999999955435E-2</v>
      </c>
    </row>
    <row r="987" spans="2:10" x14ac:dyDescent="0.2">
      <c r="B987" s="92">
        <v>1.3569439999999999</v>
      </c>
      <c r="C987" s="92">
        <v>736.06619999999998</v>
      </c>
      <c r="D987" s="92">
        <v>118.0239</v>
      </c>
      <c r="E987" s="92"/>
      <c r="F987" s="92">
        <v>1.3569439999999999</v>
      </c>
      <c r="G987" s="92">
        <v>736.10059999999999</v>
      </c>
      <c r="H987" s="92">
        <v>117.286</v>
      </c>
      <c r="I987" s="92"/>
      <c r="J987" s="93">
        <f t="shared" si="22"/>
        <v>3.4400000000005093E-2</v>
      </c>
    </row>
    <row r="988" spans="2:10" x14ac:dyDescent="0.2">
      <c r="B988" s="92">
        <v>1.358333</v>
      </c>
      <c r="C988" s="92">
        <v>736.04319999999996</v>
      </c>
      <c r="D988" s="92">
        <v>118.0222</v>
      </c>
      <c r="E988" s="92"/>
      <c r="F988" s="92">
        <v>1.358333</v>
      </c>
      <c r="G988" s="92">
        <v>736.13210000000004</v>
      </c>
      <c r="H988" s="92">
        <v>117.2894</v>
      </c>
      <c r="I988" s="92"/>
      <c r="J988" s="93">
        <f t="shared" si="22"/>
        <v>8.8900000000080581E-2</v>
      </c>
    </row>
    <row r="989" spans="2:10" x14ac:dyDescent="0.2">
      <c r="B989" s="92">
        <v>1.3597220000000001</v>
      </c>
      <c r="C989" s="92">
        <v>736.02530000000002</v>
      </c>
      <c r="D989" s="92">
        <v>118.02719999999999</v>
      </c>
      <c r="E989" s="92"/>
      <c r="F989" s="92">
        <v>1.3597220000000001</v>
      </c>
      <c r="G989" s="92">
        <v>736.09259999999995</v>
      </c>
      <c r="H989" s="92">
        <v>117.29430000000001</v>
      </c>
      <c r="I989" s="92"/>
      <c r="J989" s="93">
        <f t="shared" si="22"/>
        <v>6.729999999993197E-2</v>
      </c>
    </row>
    <row r="990" spans="2:10" x14ac:dyDescent="0.2">
      <c r="B990" s="92">
        <v>1.361111</v>
      </c>
      <c r="C990" s="92">
        <v>736.01139999999998</v>
      </c>
      <c r="D990" s="92">
        <v>118.0371</v>
      </c>
      <c r="E990" s="92"/>
      <c r="F990" s="92">
        <v>1.361111</v>
      </c>
      <c r="G990" s="92">
        <v>736.08820000000003</v>
      </c>
      <c r="H990" s="92">
        <v>117.301</v>
      </c>
      <c r="I990" s="92"/>
      <c r="J990" s="93">
        <f t="shared" si="22"/>
        <v>7.6800000000048385E-2</v>
      </c>
    </row>
    <row r="991" spans="2:10" x14ac:dyDescent="0.2">
      <c r="B991" s="92">
        <v>1.3625</v>
      </c>
      <c r="C991" s="92">
        <v>736.01239999999996</v>
      </c>
      <c r="D991" s="92">
        <v>118.0453</v>
      </c>
      <c r="E991" s="92"/>
      <c r="F991" s="92">
        <v>1.3625</v>
      </c>
      <c r="G991" s="92">
        <v>736.11789999999996</v>
      </c>
      <c r="H991" s="92">
        <v>117.3143</v>
      </c>
      <c r="I991" s="92"/>
      <c r="J991" s="93">
        <f t="shared" si="22"/>
        <v>0.10550000000000637</v>
      </c>
    </row>
    <row r="992" spans="2:10" x14ac:dyDescent="0.2">
      <c r="B992" s="92">
        <v>1.3638889999999999</v>
      </c>
      <c r="C992" s="92">
        <v>736.05820000000006</v>
      </c>
      <c r="D992" s="92">
        <v>118.0553</v>
      </c>
      <c r="E992" s="92"/>
      <c r="F992" s="92">
        <v>1.3638889999999999</v>
      </c>
      <c r="G992" s="92">
        <v>736.14340000000004</v>
      </c>
      <c r="H992" s="92">
        <v>117.3159</v>
      </c>
      <c r="I992" s="92"/>
      <c r="J992" s="93">
        <f t="shared" si="22"/>
        <v>8.5199999999986176E-2</v>
      </c>
    </row>
    <row r="993" spans="2:10" x14ac:dyDescent="0.2">
      <c r="B993" s="92">
        <v>1.365278</v>
      </c>
      <c r="C993" s="92">
        <v>736.04160000000002</v>
      </c>
      <c r="D993" s="92">
        <v>118.06189999999999</v>
      </c>
      <c r="E993" s="92"/>
      <c r="F993" s="92">
        <v>1.365278</v>
      </c>
      <c r="G993" s="92">
        <v>736.11090000000002</v>
      </c>
      <c r="H993" s="92">
        <v>117.3176</v>
      </c>
      <c r="I993" s="92"/>
      <c r="J993" s="93">
        <f t="shared" si="22"/>
        <v>6.9299999999998363E-2</v>
      </c>
    </row>
    <row r="994" spans="2:10" x14ac:dyDescent="0.2">
      <c r="B994" s="92">
        <v>1.3666670000000001</v>
      </c>
      <c r="C994" s="92">
        <v>736.02790000000005</v>
      </c>
      <c r="D994" s="92">
        <v>118.0652</v>
      </c>
      <c r="E994" s="92"/>
      <c r="F994" s="92">
        <v>1.3666670000000001</v>
      </c>
      <c r="G994" s="92">
        <v>736.11040000000003</v>
      </c>
      <c r="H994" s="92">
        <v>117.3292</v>
      </c>
      <c r="I994" s="92"/>
      <c r="J994" s="93">
        <f t="shared" si="22"/>
        <v>8.249999999998181E-2</v>
      </c>
    </row>
    <row r="995" spans="2:10" x14ac:dyDescent="0.2">
      <c r="B995" s="92">
        <v>1.3680559999999999</v>
      </c>
      <c r="C995" s="92">
        <v>736.05219999999997</v>
      </c>
      <c r="D995" s="92">
        <v>118.0685</v>
      </c>
      <c r="E995" s="92"/>
      <c r="F995" s="92">
        <v>1.3680559999999999</v>
      </c>
      <c r="G995" s="92">
        <v>736.09019999999998</v>
      </c>
      <c r="H995" s="92">
        <v>117.3342</v>
      </c>
      <c r="I995" s="92"/>
      <c r="J995" s="93">
        <f t="shared" si="22"/>
        <v>3.8000000000010914E-2</v>
      </c>
    </row>
    <row r="996" spans="2:10" x14ac:dyDescent="0.2">
      <c r="B996" s="92">
        <v>1.3694440000000001</v>
      </c>
      <c r="C996" s="92">
        <v>736.03949999999998</v>
      </c>
      <c r="D996" s="92">
        <v>118.08</v>
      </c>
      <c r="E996" s="92"/>
      <c r="F996" s="92">
        <v>1.3694440000000001</v>
      </c>
      <c r="G996" s="92">
        <v>736.12480000000005</v>
      </c>
      <c r="H996" s="92">
        <v>117.3475</v>
      </c>
      <c r="I996" s="92"/>
      <c r="J996" s="93">
        <f t="shared" si="22"/>
        <v>8.530000000007476E-2</v>
      </c>
    </row>
    <row r="997" spans="2:10" x14ac:dyDescent="0.2">
      <c r="B997" s="92">
        <v>1.370833</v>
      </c>
      <c r="C997" s="92">
        <v>736.02200000000005</v>
      </c>
      <c r="D997" s="92">
        <v>118.0784</v>
      </c>
      <c r="E997" s="92"/>
      <c r="F997" s="92">
        <v>1.370833</v>
      </c>
      <c r="G997" s="92">
        <v>736.14049999999997</v>
      </c>
      <c r="H997" s="92">
        <v>117.34910000000001</v>
      </c>
      <c r="I997" s="92"/>
      <c r="J997" s="93">
        <f t="shared" si="22"/>
        <v>0.11849999999992633</v>
      </c>
    </row>
    <row r="998" spans="2:10" x14ac:dyDescent="0.2">
      <c r="B998" s="92">
        <v>1.3722220000000001</v>
      </c>
      <c r="C998" s="92">
        <v>736.07449999999994</v>
      </c>
      <c r="D998" s="92">
        <v>118.0899</v>
      </c>
      <c r="E998" s="92"/>
      <c r="F998" s="92">
        <v>1.3722220000000001</v>
      </c>
      <c r="G998" s="92">
        <v>736.10680000000002</v>
      </c>
      <c r="H998" s="92">
        <v>117.34910000000001</v>
      </c>
      <c r="I998" s="92"/>
      <c r="J998" s="93">
        <f t="shared" si="22"/>
        <v>3.2300000000077489E-2</v>
      </c>
    </row>
    <row r="999" spans="2:10" x14ac:dyDescent="0.2">
      <c r="B999" s="92">
        <v>1.3736109999999999</v>
      </c>
      <c r="C999" s="92">
        <v>736.01859999999999</v>
      </c>
      <c r="D999" s="92">
        <v>118.0949</v>
      </c>
      <c r="E999" s="92"/>
      <c r="F999" s="92">
        <v>1.3736109999999999</v>
      </c>
      <c r="G999" s="92">
        <v>736.10270000000003</v>
      </c>
      <c r="H999" s="92">
        <v>117.36239999999999</v>
      </c>
      <c r="I999" s="92"/>
      <c r="J999" s="93">
        <f t="shared" si="22"/>
        <v>8.4100000000034925E-2</v>
      </c>
    </row>
    <row r="1000" spans="2:10" x14ac:dyDescent="0.2">
      <c r="B1000" s="92">
        <v>1.375</v>
      </c>
      <c r="C1000" s="92">
        <v>736.03589999999997</v>
      </c>
      <c r="D1000" s="92">
        <v>118.1032</v>
      </c>
      <c r="E1000" s="92"/>
      <c r="F1000" s="92">
        <v>1.375</v>
      </c>
      <c r="G1000" s="92">
        <v>736.11720000000003</v>
      </c>
      <c r="H1000" s="92">
        <v>117.36239999999999</v>
      </c>
      <c r="I1000" s="92"/>
      <c r="J1000" s="93">
        <f t="shared" si="22"/>
        <v>8.1300000000055661E-2</v>
      </c>
    </row>
    <row r="1001" spans="2:10" x14ac:dyDescent="0.2">
      <c r="B1001" s="92">
        <v>1.3763890000000001</v>
      </c>
      <c r="C1001" s="92">
        <v>736.00310000000002</v>
      </c>
      <c r="D1001" s="92">
        <v>118.10980000000001</v>
      </c>
      <c r="E1001" s="92"/>
      <c r="F1001" s="92">
        <v>1.3763890000000001</v>
      </c>
      <c r="G1001" s="92">
        <v>736.11760000000004</v>
      </c>
      <c r="H1001" s="92">
        <v>117.369</v>
      </c>
      <c r="I1001" s="92"/>
      <c r="J1001" s="93">
        <f t="shared" si="22"/>
        <v>0.11450000000002092</v>
      </c>
    </row>
    <row r="1002" spans="2:10" x14ac:dyDescent="0.2">
      <c r="B1002" s="92">
        <v>1.3777779999999999</v>
      </c>
      <c r="C1002" s="92">
        <v>736.06</v>
      </c>
      <c r="D1002" s="92">
        <v>118.1131</v>
      </c>
      <c r="E1002" s="92"/>
      <c r="F1002" s="92">
        <v>1.3777779999999999</v>
      </c>
      <c r="G1002" s="92">
        <v>736.11710000000005</v>
      </c>
      <c r="H1002" s="92">
        <v>117.3807</v>
      </c>
      <c r="I1002" s="92"/>
      <c r="J1002" s="93">
        <f t="shared" si="22"/>
        <v>5.7100000000104956E-2</v>
      </c>
    </row>
    <row r="1003" spans="2:10" x14ac:dyDescent="0.2">
      <c r="B1003" s="92">
        <v>1.379167</v>
      </c>
      <c r="C1003" s="92">
        <v>735.98239999999998</v>
      </c>
      <c r="D1003" s="92">
        <v>118.11799999999999</v>
      </c>
      <c r="E1003" s="92"/>
      <c r="F1003" s="92">
        <v>1.379167</v>
      </c>
      <c r="G1003" s="92">
        <v>736.16139999999996</v>
      </c>
      <c r="H1003" s="92">
        <v>117.37569999999999</v>
      </c>
      <c r="I1003" s="92"/>
      <c r="J1003" s="93">
        <f t="shared" si="22"/>
        <v>0.17899999999997362</v>
      </c>
    </row>
    <row r="1004" spans="2:10" x14ac:dyDescent="0.2">
      <c r="B1004" s="92">
        <v>1.3805559999999999</v>
      </c>
      <c r="C1004" s="92">
        <v>736.00540000000001</v>
      </c>
      <c r="D1004" s="92">
        <v>118.11969999999999</v>
      </c>
      <c r="E1004" s="92"/>
      <c r="F1004" s="92">
        <v>1.3805559999999999</v>
      </c>
      <c r="G1004" s="92">
        <v>736.10559999999998</v>
      </c>
      <c r="H1004" s="92">
        <v>117.39060000000001</v>
      </c>
      <c r="I1004" s="92"/>
      <c r="J1004" s="93">
        <f t="shared" si="22"/>
        <v>0.10019999999997253</v>
      </c>
    </row>
    <row r="1005" spans="2:10" x14ac:dyDescent="0.2">
      <c r="B1005" s="92">
        <v>1.3819440000000001</v>
      </c>
      <c r="C1005" s="92">
        <v>736.01599999999996</v>
      </c>
      <c r="D1005" s="92">
        <v>118.1263</v>
      </c>
      <c r="E1005" s="92"/>
      <c r="F1005" s="92">
        <v>1.3819440000000001</v>
      </c>
      <c r="G1005" s="92">
        <v>736.11879999999996</v>
      </c>
      <c r="H1005" s="92">
        <v>117.389</v>
      </c>
      <c r="I1005" s="92"/>
      <c r="J1005" s="93">
        <f t="shared" si="22"/>
        <v>0.102800000000002</v>
      </c>
    </row>
    <row r="1006" spans="2:10" x14ac:dyDescent="0.2">
      <c r="B1006" s="92">
        <v>1.3833329999999999</v>
      </c>
      <c r="C1006" s="92">
        <v>736.02139999999997</v>
      </c>
      <c r="D1006" s="92">
        <v>118.1263</v>
      </c>
      <c r="E1006" s="92"/>
      <c r="F1006" s="92">
        <v>1.3833329999999999</v>
      </c>
      <c r="G1006" s="92">
        <v>736.06619999999998</v>
      </c>
      <c r="H1006" s="92">
        <v>117.3956</v>
      </c>
      <c r="I1006" s="92"/>
      <c r="J1006" s="93">
        <f t="shared" si="22"/>
        <v>4.4800000000009277E-2</v>
      </c>
    </row>
    <row r="1007" spans="2:10" x14ac:dyDescent="0.2">
      <c r="B1007" s="92">
        <v>1.384722</v>
      </c>
      <c r="C1007" s="92">
        <v>736.06020000000001</v>
      </c>
      <c r="D1007" s="92">
        <v>118.14109999999999</v>
      </c>
      <c r="E1007" s="92"/>
      <c r="F1007" s="92">
        <v>1.384722</v>
      </c>
      <c r="G1007" s="92">
        <v>736.10289999999998</v>
      </c>
      <c r="H1007" s="92">
        <v>117.40560000000001</v>
      </c>
      <c r="I1007" s="92"/>
      <c r="J1007" s="93">
        <f t="shared" si="22"/>
        <v>4.2699999999967986E-2</v>
      </c>
    </row>
    <row r="1008" spans="2:10" x14ac:dyDescent="0.2">
      <c r="B1008" s="92">
        <v>1.3861110000000001</v>
      </c>
      <c r="C1008" s="92">
        <v>736.03949999999998</v>
      </c>
      <c r="D1008" s="92">
        <v>118.1494</v>
      </c>
      <c r="E1008" s="92"/>
      <c r="F1008" s="92">
        <v>1.3861110000000001</v>
      </c>
      <c r="G1008" s="92">
        <v>736.12869999999998</v>
      </c>
      <c r="H1008" s="92">
        <v>117.4139</v>
      </c>
      <c r="I1008" s="92"/>
      <c r="J1008" s="93">
        <f t="shared" si="22"/>
        <v>8.9200000000005275E-2</v>
      </c>
    </row>
    <row r="1009" spans="2:10" x14ac:dyDescent="0.2">
      <c r="B1009" s="92">
        <v>1.3875</v>
      </c>
      <c r="C1009" s="92">
        <v>736.02059999999994</v>
      </c>
      <c r="D1009" s="92">
        <v>118.1461</v>
      </c>
      <c r="E1009" s="92"/>
      <c r="F1009" s="92">
        <v>1.3875</v>
      </c>
      <c r="G1009" s="92">
        <v>736.15150000000006</v>
      </c>
      <c r="H1009" s="92">
        <v>117.4122</v>
      </c>
      <c r="I1009" s="92"/>
      <c r="J1009" s="93">
        <f t="shared" si="22"/>
        <v>0.13090000000011059</v>
      </c>
    </row>
    <row r="1010" spans="2:10" x14ac:dyDescent="0.2">
      <c r="B1010" s="92">
        <v>1.388889</v>
      </c>
      <c r="C1010" s="92">
        <v>736.02419999999995</v>
      </c>
      <c r="D1010" s="92">
        <v>118.15770000000001</v>
      </c>
      <c r="E1010" s="92"/>
      <c r="F1010" s="92">
        <v>1.388889</v>
      </c>
      <c r="G1010" s="92">
        <v>736.1164</v>
      </c>
      <c r="H1010" s="92">
        <v>117.4288</v>
      </c>
      <c r="I1010" s="92"/>
      <c r="J1010" s="93">
        <f t="shared" si="22"/>
        <v>9.2200000000048021E-2</v>
      </c>
    </row>
    <row r="1011" spans="2:10" x14ac:dyDescent="0.2">
      <c r="B1011" s="92">
        <v>1.3902779999999999</v>
      </c>
      <c r="C1011" s="92">
        <v>735.98490000000004</v>
      </c>
      <c r="D1011" s="92">
        <v>118.15600000000001</v>
      </c>
      <c r="E1011" s="92"/>
      <c r="F1011" s="92">
        <v>1.3902779999999999</v>
      </c>
      <c r="G1011" s="92">
        <v>736.13080000000002</v>
      </c>
      <c r="H1011" s="92">
        <v>117.4288</v>
      </c>
      <c r="I1011" s="92"/>
      <c r="J1011" s="93">
        <f t="shared" si="22"/>
        <v>0.14589999999998327</v>
      </c>
    </row>
    <row r="1012" spans="2:10" x14ac:dyDescent="0.2">
      <c r="B1012" s="92">
        <v>1.391667</v>
      </c>
      <c r="C1012" s="92">
        <v>736.05939999999998</v>
      </c>
      <c r="D1012" s="92">
        <v>118.161</v>
      </c>
      <c r="E1012" s="92"/>
      <c r="F1012" s="92">
        <v>1.391667</v>
      </c>
      <c r="G1012" s="92">
        <v>736.12860000000001</v>
      </c>
      <c r="H1012" s="92">
        <v>117.43210000000001</v>
      </c>
      <c r="I1012" s="92"/>
      <c r="J1012" s="93">
        <f t="shared" si="22"/>
        <v>6.9200000000023465E-2</v>
      </c>
    </row>
    <row r="1013" spans="2:10" x14ac:dyDescent="0.2">
      <c r="B1013" s="92">
        <v>1.3930560000000001</v>
      </c>
      <c r="C1013" s="92">
        <v>736.02499999999998</v>
      </c>
      <c r="D1013" s="92">
        <v>118.1725</v>
      </c>
      <c r="E1013" s="92"/>
      <c r="F1013" s="92">
        <v>1.3930560000000001</v>
      </c>
      <c r="G1013" s="92">
        <v>736.10450000000003</v>
      </c>
      <c r="H1013" s="92">
        <v>117.43210000000001</v>
      </c>
      <c r="I1013" s="92"/>
      <c r="J1013" s="93">
        <f t="shared" si="22"/>
        <v>7.9500000000052751E-2</v>
      </c>
    </row>
    <row r="1014" spans="2:10" x14ac:dyDescent="0.2">
      <c r="B1014" s="92">
        <v>1.394444</v>
      </c>
      <c r="C1014" s="92">
        <v>736.03719999999998</v>
      </c>
      <c r="D1014" s="92">
        <v>118.1742</v>
      </c>
      <c r="E1014" s="92"/>
      <c r="F1014" s="92">
        <v>1.394444</v>
      </c>
      <c r="G1014" s="92">
        <v>736.11630000000002</v>
      </c>
      <c r="H1014" s="92">
        <v>117.44710000000001</v>
      </c>
      <c r="I1014" s="92"/>
      <c r="J1014" s="93">
        <f t="shared" si="22"/>
        <v>7.9100000000039472E-2</v>
      </c>
    </row>
    <row r="1015" spans="2:10" x14ac:dyDescent="0.2">
      <c r="B1015" s="92">
        <v>1.3958330000000001</v>
      </c>
      <c r="C1015" s="92">
        <v>736.01390000000004</v>
      </c>
      <c r="D1015" s="92">
        <v>118.17910000000001</v>
      </c>
      <c r="E1015" s="92"/>
      <c r="F1015" s="92">
        <v>1.3958330000000001</v>
      </c>
      <c r="G1015" s="92">
        <v>736.09960000000001</v>
      </c>
      <c r="H1015" s="92">
        <v>117.4504</v>
      </c>
      <c r="I1015" s="92"/>
      <c r="J1015" s="93">
        <f t="shared" si="22"/>
        <v>8.5699999999974352E-2</v>
      </c>
    </row>
    <row r="1016" spans="2:10" x14ac:dyDescent="0.2">
      <c r="B1016" s="92">
        <v>1.397222</v>
      </c>
      <c r="C1016" s="92">
        <v>736.0625</v>
      </c>
      <c r="D1016" s="92">
        <v>118.1857</v>
      </c>
      <c r="E1016" s="92"/>
      <c r="F1016" s="92">
        <v>1.397222</v>
      </c>
      <c r="G1016" s="92">
        <v>736.08199999999999</v>
      </c>
      <c r="H1016" s="92">
        <v>117.45869999999999</v>
      </c>
      <c r="I1016" s="92"/>
      <c r="J1016" s="93">
        <f t="shared" si="22"/>
        <v>1.9499999999993634E-2</v>
      </c>
    </row>
    <row r="1017" spans="2:10" x14ac:dyDescent="0.2">
      <c r="B1017" s="92">
        <v>1.398611</v>
      </c>
      <c r="C1017" s="92">
        <v>736.03219999999999</v>
      </c>
      <c r="D1017" s="92">
        <v>118.1956</v>
      </c>
      <c r="E1017" s="92"/>
      <c r="F1017" s="92">
        <v>1.398611</v>
      </c>
      <c r="G1017" s="92">
        <v>736.07979999999998</v>
      </c>
      <c r="H1017" s="92">
        <v>117.462</v>
      </c>
      <c r="I1017" s="92"/>
      <c r="J1017" s="93">
        <f t="shared" si="22"/>
        <v>4.759999999998854E-2</v>
      </c>
    </row>
    <row r="1018" spans="2:10" x14ac:dyDescent="0.2">
      <c r="B1018" s="92">
        <v>1.4</v>
      </c>
      <c r="C1018" s="92">
        <v>736.07029999999997</v>
      </c>
      <c r="D1018" s="92">
        <v>118.1956</v>
      </c>
      <c r="E1018" s="92"/>
      <c r="F1018" s="92">
        <v>1.4</v>
      </c>
      <c r="G1018" s="92">
        <v>736.13189999999997</v>
      </c>
      <c r="H1018" s="92">
        <v>117.467</v>
      </c>
      <c r="I1018" s="92"/>
      <c r="J1018" s="93">
        <f t="shared" si="22"/>
        <v>6.1599999999998545E-2</v>
      </c>
    </row>
    <row r="1019" spans="2:10" x14ac:dyDescent="0.2">
      <c r="B1019" s="92">
        <v>1.401389</v>
      </c>
      <c r="C1019" s="92">
        <v>736.00639999999999</v>
      </c>
      <c r="D1019" s="92">
        <v>118.1973</v>
      </c>
      <c r="E1019" s="92"/>
      <c r="F1019" s="92">
        <v>1.401389</v>
      </c>
      <c r="G1019" s="92">
        <v>736.08889999999997</v>
      </c>
      <c r="H1019" s="92">
        <v>117.4736</v>
      </c>
      <c r="I1019" s="92"/>
      <c r="J1019" s="93">
        <f t="shared" si="22"/>
        <v>8.249999999998181E-2</v>
      </c>
    </row>
    <row r="1020" spans="2:10" x14ac:dyDescent="0.2">
      <c r="B1020" s="92">
        <v>1.4027780000000001</v>
      </c>
      <c r="C1020" s="92">
        <v>736.03589999999997</v>
      </c>
      <c r="D1020" s="92">
        <v>118.2072</v>
      </c>
      <c r="E1020" s="92"/>
      <c r="F1020" s="92">
        <v>1.4027780000000001</v>
      </c>
      <c r="G1020" s="92">
        <v>736.10249999999996</v>
      </c>
      <c r="H1020" s="92">
        <v>117.4786</v>
      </c>
      <c r="I1020" s="92"/>
      <c r="J1020" s="93">
        <f t="shared" si="22"/>
        <v>6.6599999999993997E-2</v>
      </c>
    </row>
    <row r="1021" spans="2:10" x14ac:dyDescent="0.2">
      <c r="B1021" s="92">
        <v>1.4041669999999999</v>
      </c>
      <c r="C1021" s="92">
        <v>736.01130000000001</v>
      </c>
      <c r="D1021" s="92">
        <v>118.2105</v>
      </c>
      <c r="E1021" s="92"/>
      <c r="F1021" s="92">
        <v>1.4041669999999999</v>
      </c>
      <c r="G1021" s="92">
        <v>736.09190000000001</v>
      </c>
      <c r="H1021" s="92">
        <v>117.4836</v>
      </c>
      <c r="I1021" s="92"/>
      <c r="J1021" s="93">
        <f t="shared" si="22"/>
        <v>8.0600000000004002E-2</v>
      </c>
    </row>
    <row r="1022" spans="2:10" x14ac:dyDescent="0.2">
      <c r="B1022" s="92">
        <v>1.405556</v>
      </c>
      <c r="C1022" s="92">
        <v>736.05989999999997</v>
      </c>
      <c r="D1022" s="92">
        <v>118.2171</v>
      </c>
      <c r="E1022" s="92"/>
      <c r="F1022" s="92">
        <v>1.405556</v>
      </c>
      <c r="G1022" s="92">
        <v>736.10680000000002</v>
      </c>
      <c r="H1022" s="92">
        <v>117.4902</v>
      </c>
      <c r="I1022" s="92"/>
      <c r="J1022" s="93">
        <f t="shared" si="22"/>
        <v>4.6900000000050568E-2</v>
      </c>
    </row>
    <row r="1023" spans="2:10" x14ac:dyDescent="0.2">
      <c r="B1023" s="92">
        <v>1.406944</v>
      </c>
      <c r="C1023" s="92">
        <v>736.02859999999998</v>
      </c>
      <c r="D1023" s="92">
        <v>118.2188</v>
      </c>
      <c r="E1023" s="92"/>
      <c r="F1023" s="92">
        <v>1.406944</v>
      </c>
      <c r="G1023" s="92">
        <v>736.1422</v>
      </c>
      <c r="H1023" s="92">
        <v>117.49850000000001</v>
      </c>
      <c r="I1023" s="92"/>
      <c r="J1023" s="93">
        <f t="shared" si="22"/>
        <v>0.11360000000001946</v>
      </c>
    </row>
    <row r="1024" spans="2:10" x14ac:dyDescent="0.2">
      <c r="B1024" s="92">
        <v>1.4083330000000001</v>
      </c>
      <c r="C1024" s="92">
        <v>736.07569999999998</v>
      </c>
      <c r="D1024" s="92">
        <v>118.2303</v>
      </c>
      <c r="E1024" s="92"/>
      <c r="F1024" s="92">
        <v>1.4083330000000001</v>
      </c>
      <c r="G1024" s="92">
        <v>736.11720000000003</v>
      </c>
      <c r="H1024" s="92">
        <v>117.5035</v>
      </c>
      <c r="I1024" s="92"/>
      <c r="J1024" s="93">
        <f t="shared" si="22"/>
        <v>4.1500000000041837E-2</v>
      </c>
    </row>
    <row r="1025" spans="2:10" x14ac:dyDescent="0.2">
      <c r="B1025" s="92">
        <v>1.4097219999999999</v>
      </c>
      <c r="C1025" s="92">
        <v>735.99990000000003</v>
      </c>
      <c r="D1025" s="92">
        <v>118.22369999999999</v>
      </c>
      <c r="E1025" s="92"/>
      <c r="F1025" s="92">
        <v>1.4097219999999999</v>
      </c>
      <c r="G1025" s="92">
        <v>736.10180000000003</v>
      </c>
      <c r="H1025" s="92">
        <v>117.5085</v>
      </c>
      <c r="I1025" s="92"/>
      <c r="J1025" s="93">
        <f t="shared" si="22"/>
        <v>0.10190000000000055</v>
      </c>
    </row>
    <row r="1026" spans="2:10" x14ac:dyDescent="0.2">
      <c r="B1026" s="92">
        <v>1.411111</v>
      </c>
      <c r="C1026" s="92">
        <v>736.01179999999999</v>
      </c>
      <c r="D1026" s="92">
        <v>118.232</v>
      </c>
      <c r="E1026" s="92"/>
      <c r="F1026" s="92">
        <v>1.411111</v>
      </c>
      <c r="G1026" s="92">
        <v>736.12900000000002</v>
      </c>
      <c r="H1026" s="92">
        <v>117.5184</v>
      </c>
      <c r="I1026" s="92"/>
      <c r="J1026" s="93">
        <f t="shared" si="22"/>
        <v>0.11720000000002528</v>
      </c>
    </row>
    <row r="1027" spans="2:10" x14ac:dyDescent="0.2">
      <c r="B1027" s="92">
        <v>1.4125000000000001</v>
      </c>
      <c r="C1027" s="92">
        <v>736.0317</v>
      </c>
      <c r="D1027" s="92">
        <v>118.2435</v>
      </c>
      <c r="E1027" s="92"/>
      <c r="F1027" s="92">
        <v>1.4125000000000001</v>
      </c>
      <c r="G1027" s="92">
        <v>736.09389999999996</v>
      </c>
      <c r="H1027" s="92">
        <v>117.5168</v>
      </c>
      <c r="I1027" s="92"/>
      <c r="J1027" s="93">
        <f t="shared" si="22"/>
        <v>6.2199999999961619E-2</v>
      </c>
    </row>
    <row r="1028" spans="2:10" x14ac:dyDescent="0.2">
      <c r="B1028" s="92">
        <v>1.413889</v>
      </c>
      <c r="C1028" s="92">
        <v>736.02340000000004</v>
      </c>
      <c r="D1028" s="92">
        <v>118.2469</v>
      </c>
      <c r="E1028" s="92"/>
      <c r="F1028" s="92">
        <v>1.413889</v>
      </c>
      <c r="G1028" s="92">
        <v>736.10299999999995</v>
      </c>
      <c r="H1028" s="92">
        <v>117.5284</v>
      </c>
      <c r="I1028" s="92"/>
      <c r="J1028" s="93">
        <f t="shared" si="22"/>
        <v>7.9599999999913962E-2</v>
      </c>
    </row>
    <row r="1029" spans="2:10" x14ac:dyDescent="0.2">
      <c r="B1029" s="92">
        <v>1.415278</v>
      </c>
      <c r="C1029" s="92">
        <v>736.00969999999995</v>
      </c>
      <c r="D1029" s="92">
        <v>118.25020000000001</v>
      </c>
      <c r="E1029" s="92"/>
      <c r="F1029" s="92">
        <v>1.415278</v>
      </c>
      <c r="G1029" s="92">
        <v>736.09519999999998</v>
      </c>
      <c r="H1029" s="92">
        <v>117.5184</v>
      </c>
      <c r="I1029" s="92"/>
      <c r="J1029" s="93">
        <f t="shared" si="22"/>
        <v>8.5500000000024556E-2</v>
      </c>
    </row>
    <row r="1030" spans="2:10" x14ac:dyDescent="0.2">
      <c r="B1030" s="92">
        <v>1.4166669999999999</v>
      </c>
      <c r="C1030" s="92">
        <v>736.02859999999998</v>
      </c>
      <c r="D1030" s="92">
        <v>118.2535</v>
      </c>
      <c r="E1030" s="92"/>
      <c r="F1030" s="92">
        <v>1.4166669999999999</v>
      </c>
      <c r="G1030" s="92">
        <v>736.11220000000003</v>
      </c>
      <c r="H1030" s="92">
        <v>117.54</v>
      </c>
      <c r="I1030" s="92"/>
      <c r="J1030" s="93">
        <f t="shared" si="22"/>
        <v>8.3600000000046748E-2</v>
      </c>
    </row>
    <row r="1031" spans="2:10" x14ac:dyDescent="0.2">
      <c r="B1031" s="92">
        <v>1.418056</v>
      </c>
      <c r="C1031" s="92">
        <v>736.00940000000003</v>
      </c>
      <c r="D1031" s="92">
        <v>118.2568</v>
      </c>
      <c r="E1031" s="92"/>
      <c r="F1031" s="92">
        <v>1.418056</v>
      </c>
      <c r="G1031" s="92">
        <v>736.08540000000005</v>
      </c>
      <c r="H1031" s="92">
        <v>117.5367</v>
      </c>
      <c r="I1031" s="92"/>
      <c r="J1031" s="93">
        <f t="shared" si="22"/>
        <v>7.6000000000021828E-2</v>
      </c>
    </row>
    <row r="1032" spans="2:10" x14ac:dyDescent="0.2">
      <c r="B1032" s="92">
        <v>1.4194439999999999</v>
      </c>
      <c r="C1032" s="92">
        <v>736.06510000000003</v>
      </c>
      <c r="D1032" s="92">
        <v>118.25839999999999</v>
      </c>
      <c r="E1032" s="92"/>
      <c r="F1032" s="92">
        <v>1.4194439999999999</v>
      </c>
      <c r="G1032" s="92">
        <v>736.09069999999997</v>
      </c>
      <c r="H1032" s="92">
        <v>117.5433</v>
      </c>
      <c r="I1032" s="92"/>
      <c r="J1032" s="93">
        <f t="shared" si="22"/>
        <v>2.5599999999940337E-2</v>
      </c>
    </row>
    <row r="1033" spans="2:10" x14ac:dyDescent="0.2">
      <c r="B1033" s="92">
        <v>1.420833</v>
      </c>
      <c r="C1033" s="92">
        <v>736.02809999999999</v>
      </c>
      <c r="D1033" s="92">
        <v>118.2667</v>
      </c>
      <c r="E1033" s="92"/>
      <c r="F1033" s="92">
        <v>1.420833</v>
      </c>
      <c r="G1033" s="92">
        <v>736.11869999999999</v>
      </c>
      <c r="H1033" s="92">
        <v>117.5483</v>
      </c>
      <c r="I1033" s="92"/>
      <c r="J1033" s="93">
        <f t="shared" si="22"/>
        <v>9.0599999999994907E-2</v>
      </c>
    </row>
    <row r="1034" spans="2:10" x14ac:dyDescent="0.2">
      <c r="B1034" s="92">
        <v>1.4222220000000001</v>
      </c>
      <c r="C1034" s="92">
        <v>736.02650000000006</v>
      </c>
      <c r="D1034" s="92">
        <v>118.27160000000001</v>
      </c>
      <c r="E1034" s="92"/>
      <c r="F1034" s="92">
        <v>1.4222220000000001</v>
      </c>
      <c r="G1034" s="92">
        <v>736.10850000000005</v>
      </c>
      <c r="H1034" s="92">
        <v>117.5599</v>
      </c>
      <c r="I1034" s="92"/>
      <c r="J1034" s="93">
        <f t="shared" si="22"/>
        <v>8.1999999999993634E-2</v>
      </c>
    </row>
    <row r="1035" spans="2:10" x14ac:dyDescent="0.2">
      <c r="B1035" s="92">
        <v>1.423611</v>
      </c>
      <c r="C1035" s="92">
        <v>736.05909999999994</v>
      </c>
      <c r="D1035" s="92">
        <v>118.27160000000001</v>
      </c>
      <c r="E1035" s="92"/>
      <c r="F1035" s="92">
        <v>1.423611</v>
      </c>
      <c r="G1035" s="92">
        <v>736.13620000000003</v>
      </c>
      <c r="H1035" s="92">
        <v>117.5583</v>
      </c>
      <c r="I1035" s="92"/>
      <c r="J1035" s="93">
        <f t="shared" ref="J1035:J1098" si="23">+ABS(G1035-C1035)</f>
        <v>7.7100000000086766E-2</v>
      </c>
    </row>
    <row r="1036" spans="2:10" x14ac:dyDescent="0.2">
      <c r="B1036" s="92">
        <v>1.425</v>
      </c>
      <c r="C1036" s="92">
        <v>736.01769999999999</v>
      </c>
      <c r="D1036" s="92">
        <v>118.2881</v>
      </c>
      <c r="E1036" s="92"/>
      <c r="F1036" s="92">
        <v>1.425</v>
      </c>
      <c r="G1036" s="92">
        <v>736.14530000000002</v>
      </c>
      <c r="H1036" s="92">
        <v>117.5699</v>
      </c>
      <c r="I1036" s="92"/>
      <c r="J1036" s="93">
        <f t="shared" si="23"/>
        <v>0.12760000000002947</v>
      </c>
    </row>
    <row r="1037" spans="2:10" x14ac:dyDescent="0.2">
      <c r="B1037" s="92">
        <v>1.4263889999999999</v>
      </c>
      <c r="C1037" s="92">
        <v>736.00170000000003</v>
      </c>
      <c r="D1037" s="92">
        <v>118.28149999999999</v>
      </c>
      <c r="E1037" s="92"/>
      <c r="F1037" s="92">
        <v>1.4263889999999999</v>
      </c>
      <c r="G1037" s="92">
        <v>736.10799999999995</v>
      </c>
      <c r="H1037" s="92">
        <v>117.5716</v>
      </c>
      <c r="I1037" s="92"/>
      <c r="J1037" s="93">
        <f t="shared" si="23"/>
        <v>0.10629999999991924</v>
      </c>
    </row>
    <row r="1038" spans="2:10" x14ac:dyDescent="0.2">
      <c r="B1038" s="92">
        <v>1.427778</v>
      </c>
      <c r="C1038" s="92">
        <v>736.01490000000001</v>
      </c>
      <c r="D1038" s="92">
        <v>118.2914</v>
      </c>
      <c r="E1038" s="92"/>
      <c r="F1038" s="92">
        <v>1.427778</v>
      </c>
      <c r="G1038" s="92">
        <v>736.12549999999999</v>
      </c>
      <c r="H1038" s="92">
        <v>117.58150000000001</v>
      </c>
      <c r="I1038" s="92"/>
      <c r="J1038" s="93">
        <f t="shared" si="23"/>
        <v>0.11059999999997672</v>
      </c>
    </row>
    <row r="1039" spans="2:10" x14ac:dyDescent="0.2">
      <c r="B1039" s="92">
        <v>1.4291670000000001</v>
      </c>
      <c r="C1039" s="92">
        <v>736.05830000000003</v>
      </c>
      <c r="D1039" s="92">
        <v>118.2914</v>
      </c>
      <c r="E1039" s="92"/>
      <c r="F1039" s="92">
        <v>1.4291670000000001</v>
      </c>
      <c r="G1039" s="92">
        <v>736.07989999999995</v>
      </c>
      <c r="H1039" s="92">
        <v>117.5848</v>
      </c>
      <c r="I1039" s="92"/>
      <c r="J1039" s="93">
        <f t="shared" si="23"/>
        <v>2.1599999999921238E-2</v>
      </c>
    </row>
    <row r="1040" spans="2:10" x14ac:dyDescent="0.2">
      <c r="B1040" s="92">
        <v>1.4305559999999999</v>
      </c>
      <c r="C1040" s="92">
        <v>735.99419999999998</v>
      </c>
      <c r="D1040" s="92">
        <v>118.2997</v>
      </c>
      <c r="E1040" s="92"/>
      <c r="F1040" s="92">
        <v>1.4305559999999999</v>
      </c>
      <c r="G1040" s="92">
        <v>736.14390000000003</v>
      </c>
      <c r="H1040" s="92">
        <v>117.5865</v>
      </c>
      <c r="I1040" s="92"/>
      <c r="J1040" s="93">
        <f t="shared" si="23"/>
        <v>0.14970000000005257</v>
      </c>
    </row>
    <row r="1041" spans="2:10" x14ac:dyDescent="0.2">
      <c r="B1041" s="92">
        <v>1.4319440000000001</v>
      </c>
      <c r="C1041" s="92">
        <v>736.03890000000001</v>
      </c>
      <c r="D1041" s="92">
        <v>118.3014</v>
      </c>
      <c r="E1041" s="92"/>
      <c r="F1041" s="92">
        <v>1.4319440000000001</v>
      </c>
      <c r="G1041" s="92">
        <v>736.13459999999998</v>
      </c>
      <c r="H1041" s="92">
        <v>117.59310000000001</v>
      </c>
      <c r="I1041" s="92"/>
      <c r="J1041" s="93">
        <f t="shared" si="23"/>
        <v>9.5699999999965257E-2</v>
      </c>
    </row>
    <row r="1042" spans="2:10" x14ac:dyDescent="0.2">
      <c r="B1042" s="92">
        <v>1.433333</v>
      </c>
      <c r="C1042" s="92">
        <v>736.04949999999997</v>
      </c>
      <c r="D1042" s="92">
        <v>118.30800000000001</v>
      </c>
      <c r="E1042" s="92"/>
      <c r="F1042" s="92">
        <v>1.433333</v>
      </c>
      <c r="G1042" s="92">
        <v>736.13149999999996</v>
      </c>
      <c r="H1042" s="92">
        <v>117.6014</v>
      </c>
      <c r="I1042" s="92"/>
      <c r="J1042" s="93">
        <f t="shared" si="23"/>
        <v>8.1999999999993634E-2</v>
      </c>
    </row>
    <row r="1043" spans="2:10" x14ac:dyDescent="0.2">
      <c r="B1043" s="92">
        <v>1.4347220000000001</v>
      </c>
      <c r="C1043" s="92">
        <v>736.0335</v>
      </c>
      <c r="D1043" s="92">
        <v>118.3014</v>
      </c>
      <c r="E1043" s="92"/>
      <c r="F1043" s="92">
        <v>1.4347220000000001</v>
      </c>
      <c r="G1043" s="92">
        <v>736.13109999999995</v>
      </c>
      <c r="H1043" s="92">
        <v>117.59480000000001</v>
      </c>
      <c r="I1043" s="92"/>
      <c r="J1043" s="93">
        <f t="shared" si="23"/>
        <v>9.7599999999943066E-2</v>
      </c>
    </row>
    <row r="1044" spans="2:10" x14ac:dyDescent="0.2">
      <c r="B1044" s="92">
        <v>1.4361109999999999</v>
      </c>
      <c r="C1044" s="92">
        <v>736.00729999999999</v>
      </c>
      <c r="D1044" s="92">
        <v>118.3096</v>
      </c>
      <c r="E1044" s="92"/>
      <c r="F1044" s="92">
        <v>1.4361109999999999</v>
      </c>
      <c r="G1044" s="92">
        <v>736.10389999999995</v>
      </c>
      <c r="H1044" s="92">
        <v>117.6031</v>
      </c>
      <c r="I1044" s="92"/>
      <c r="J1044" s="93">
        <f t="shared" si="23"/>
        <v>9.6599999999966712E-2</v>
      </c>
    </row>
    <row r="1045" spans="2:10" x14ac:dyDescent="0.2">
      <c r="B1045" s="92">
        <v>1.4375</v>
      </c>
      <c r="C1045" s="92">
        <v>736.03420000000006</v>
      </c>
      <c r="D1045" s="92">
        <v>118.31619999999999</v>
      </c>
      <c r="E1045" s="92"/>
      <c r="F1045" s="92">
        <v>1.4375</v>
      </c>
      <c r="G1045" s="92">
        <v>736.08849999999995</v>
      </c>
      <c r="H1045" s="92">
        <v>117.60809999999999</v>
      </c>
      <c r="I1045" s="92"/>
      <c r="J1045" s="93">
        <f t="shared" si="23"/>
        <v>5.4299999999898318E-2</v>
      </c>
    </row>
    <row r="1046" spans="2:10" x14ac:dyDescent="0.2">
      <c r="B1046" s="92">
        <v>1.4388890000000001</v>
      </c>
      <c r="C1046" s="92">
        <v>736.03269999999998</v>
      </c>
      <c r="D1046" s="92">
        <v>118.3212</v>
      </c>
      <c r="E1046" s="92"/>
      <c r="F1046" s="92">
        <v>1.4388890000000001</v>
      </c>
      <c r="G1046" s="92">
        <v>736.09500000000003</v>
      </c>
      <c r="H1046" s="92">
        <v>117.6164</v>
      </c>
      <c r="I1046" s="92"/>
      <c r="J1046" s="93">
        <f t="shared" si="23"/>
        <v>6.2300000000050204E-2</v>
      </c>
    </row>
    <row r="1047" spans="2:10" x14ac:dyDescent="0.2">
      <c r="B1047" s="92">
        <v>1.4402779999999999</v>
      </c>
      <c r="C1047" s="92">
        <v>736.03530000000001</v>
      </c>
      <c r="D1047" s="92">
        <v>118.3245</v>
      </c>
      <c r="E1047" s="92"/>
      <c r="F1047" s="92">
        <v>1.4402779999999999</v>
      </c>
      <c r="G1047" s="92">
        <v>736.09760000000006</v>
      </c>
      <c r="H1047" s="92">
        <v>117.61969999999999</v>
      </c>
      <c r="I1047" s="92"/>
      <c r="J1047" s="93">
        <f t="shared" si="23"/>
        <v>6.2300000000050204E-2</v>
      </c>
    </row>
    <row r="1048" spans="2:10" x14ac:dyDescent="0.2">
      <c r="B1048" s="92">
        <v>1.441667</v>
      </c>
      <c r="C1048" s="92">
        <v>735.95920000000001</v>
      </c>
      <c r="D1048" s="92">
        <v>118.3245</v>
      </c>
      <c r="E1048" s="92"/>
      <c r="F1048" s="92">
        <v>1.441667</v>
      </c>
      <c r="G1048" s="92">
        <v>736.08320000000003</v>
      </c>
      <c r="H1048" s="92">
        <v>117.61969999999999</v>
      </c>
      <c r="I1048" s="92"/>
      <c r="J1048" s="93">
        <f t="shared" si="23"/>
        <v>0.12400000000002365</v>
      </c>
    </row>
    <row r="1049" spans="2:10" x14ac:dyDescent="0.2">
      <c r="B1049" s="92">
        <v>1.4430559999999999</v>
      </c>
      <c r="C1049" s="92">
        <v>735.98770000000002</v>
      </c>
      <c r="D1049" s="92">
        <v>118.3261</v>
      </c>
      <c r="E1049" s="92"/>
      <c r="F1049" s="92">
        <v>1.4430559999999999</v>
      </c>
      <c r="G1049" s="92">
        <v>736.08360000000005</v>
      </c>
      <c r="H1049" s="92">
        <v>117.6263</v>
      </c>
      <c r="I1049" s="92"/>
      <c r="J1049" s="93">
        <f t="shared" si="23"/>
        <v>9.590000000002874E-2</v>
      </c>
    </row>
    <row r="1050" spans="2:10" x14ac:dyDescent="0.2">
      <c r="B1050" s="92">
        <v>1.4444440000000001</v>
      </c>
      <c r="C1050" s="92">
        <v>735.98609999999996</v>
      </c>
      <c r="D1050" s="92">
        <v>118.33110000000001</v>
      </c>
      <c r="E1050" s="92"/>
      <c r="F1050" s="92">
        <v>1.4444440000000001</v>
      </c>
      <c r="G1050" s="92">
        <v>736.10019999999997</v>
      </c>
      <c r="H1050" s="92">
        <v>117.623</v>
      </c>
      <c r="I1050" s="92"/>
      <c r="J1050" s="93">
        <f t="shared" si="23"/>
        <v>0.11410000000000764</v>
      </c>
    </row>
    <row r="1051" spans="2:10" x14ac:dyDescent="0.2">
      <c r="B1051" s="92">
        <v>1.4458329999999999</v>
      </c>
      <c r="C1051" s="92">
        <v>736.01400000000001</v>
      </c>
      <c r="D1051" s="92">
        <v>118.346</v>
      </c>
      <c r="E1051" s="92"/>
      <c r="F1051" s="92">
        <v>1.4458329999999999</v>
      </c>
      <c r="G1051" s="92">
        <v>736.14089999999999</v>
      </c>
      <c r="H1051" s="92">
        <v>117.63800000000001</v>
      </c>
      <c r="I1051" s="92"/>
      <c r="J1051" s="93">
        <f t="shared" si="23"/>
        <v>0.12689999999997781</v>
      </c>
    </row>
    <row r="1052" spans="2:10" x14ac:dyDescent="0.2">
      <c r="B1052" s="92">
        <v>1.447222</v>
      </c>
      <c r="C1052" s="92">
        <v>736.0009</v>
      </c>
      <c r="D1052" s="92">
        <v>118.336</v>
      </c>
      <c r="E1052" s="92"/>
      <c r="F1052" s="92">
        <v>1.447222</v>
      </c>
      <c r="G1052" s="92">
        <v>736.08349999999996</v>
      </c>
      <c r="H1052" s="92">
        <v>117.6446</v>
      </c>
      <c r="I1052" s="92"/>
      <c r="J1052" s="93">
        <f t="shared" si="23"/>
        <v>8.2599999999956708E-2</v>
      </c>
    </row>
    <row r="1053" spans="2:10" x14ac:dyDescent="0.2">
      <c r="B1053" s="92">
        <v>1.4486110000000001</v>
      </c>
      <c r="C1053" s="92">
        <v>736.05470000000003</v>
      </c>
      <c r="D1053" s="92">
        <v>118.3493</v>
      </c>
      <c r="E1053" s="92"/>
      <c r="F1053" s="92">
        <v>1.4486110000000001</v>
      </c>
      <c r="G1053" s="92">
        <v>736.13520000000005</v>
      </c>
      <c r="H1053" s="92">
        <v>117.6429</v>
      </c>
      <c r="I1053" s="92"/>
      <c r="J1053" s="93">
        <f t="shared" si="23"/>
        <v>8.0500000000029104E-2</v>
      </c>
    </row>
    <row r="1054" spans="2:10" x14ac:dyDescent="0.2">
      <c r="B1054" s="92">
        <v>1.45</v>
      </c>
      <c r="C1054" s="92">
        <v>736.03319999999997</v>
      </c>
      <c r="D1054" s="92">
        <v>118.34269999999999</v>
      </c>
      <c r="E1054" s="92"/>
      <c r="F1054" s="92">
        <v>1.45</v>
      </c>
      <c r="G1054" s="92">
        <v>736.15049999999997</v>
      </c>
      <c r="H1054" s="92">
        <v>117.6562</v>
      </c>
      <c r="I1054" s="92"/>
      <c r="J1054" s="93">
        <f t="shared" si="23"/>
        <v>0.11730000000000018</v>
      </c>
    </row>
    <row r="1055" spans="2:10" x14ac:dyDescent="0.2">
      <c r="B1055" s="92">
        <v>1.451389</v>
      </c>
      <c r="C1055" s="92">
        <v>736.01790000000005</v>
      </c>
      <c r="D1055" s="92">
        <v>118.3509</v>
      </c>
      <c r="E1055" s="92"/>
      <c r="F1055" s="92">
        <v>1.451389</v>
      </c>
      <c r="G1055" s="92">
        <v>736.08910000000003</v>
      </c>
      <c r="H1055" s="92">
        <v>117.6579</v>
      </c>
      <c r="I1055" s="92"/>
      <c r="J1055" s="93">
        <f t="shared" si="23"/>
        <v>7.1199999999976171E-2</v>
      </c>
    </row>
    <row r="1056" spans="2:10" x14ac:dyDescent="0.2">
      <c r="B1056" s="92">
        <v>1.4527779999999999</v>
      </c>
      <c r="C1056" s="92">
        <v>735.99749999999995</v>
      </c>
      <c r="D1056" s="92">
        <v>118.3526</v>
      </c>
      <c r="E1056" s="92"/>
      <c r="F1056" s="92">
        <v>1.4527779999999999</v>
      </c>
      <c r="G1056" s="92">
        <v>736.13289999999995</v>
      </c>
      <c r="H1056" s="92">
        <v>117.6645</v>
      </c>
      <c r="I1056" s="92"/>
      <c r="J1056" s="93">
        <f t="shared" si="23"/>
        <v>0.13540000000000418</v>
      </c>
    </row>
    <row r="1057" spans="2:10" x14ac:dyDescent="0.2">
      <c r="B1057" s="92">
        <v>1.454167</v>
      </c>
      <c r="C1057" s="92">
        <v>736.04899999999998</v>
      </c>
      <c r="D1057" s="92">
        <v>118.35590000000001</v>
      </c>
      <c r="E1057" s="92"/>
      <c r="F1057" s="92">
        <v>1.454167</v>
      </c>
      <c r="G1057" s="92">
        <v>736.09910000000002</v>
      </c>
      <c r="H1057" s="92">
        <v>117.6645</v>
      </c>
      <c r="I1057" s="92"/>
      <c r="J1057" s="93">
        <f t="shared" si="23"/>
        <v>5.010000000004311E-2</v>
      </c>
    </row>
    <row r="1058" spans="2:10" x14ac:dyDescent="0.2">
      <c r="B1058" s="92">
        <v>1.4555560000000001</v>
      </c>
      <c r="C1058" s="92">
        <v>736.06240000000003</v>
      </c>
      <c r="D1058" s="92">
        <v>118.3592</v>
      </c>
      <c r="E1058" s="92"/>
      <c r="F1058" s="92">
        <v>1.4555560000000001</v>
      </c>
      <c r="G1058" s="92">
        <v>736.10209999999995</v>
      </c>
      <c r="H1058" s="92">
        <v>117.67449999999999</v>
      </c>
      <c r="I1058" s="92"/>
      <c r="J1058" s="93">
        <f t="shared" si="23"/>
        <v>3.969999999992524E-2</v>
      </c>
    </row>
    <row r="1059" spans="2:10" x14ac:dyDescent="0.2">
      <c r="B1059" s="92">
        <v>1.456944</v>
      </c>
      <c r="C1059" s="92">
        <v>736.05129999999997</v>
      </c>
      <c r="D1059" s="92">
        <v>118.36579999999999</v>
      </c>
      <c r="E1059" s="92"/>
      <c r="F1059" s="92">
        <v>1.456944</v>
      </c>
      <c r="G1059" s="92">
        <v>736.13630000000001</v>
      </c>
      <c r="H1059" s="92">
        <v>117.6811</v>
      </c>
      <c r="I1059" s="92"/>
      <c r="J1059" s="93">
        <f t="shared" si="23"/>
        <v>8.500000000003638E-2</v>
      </c>
    </row>
    <row r="1060" spans="2:10" x14ac:dyDescent="0.2">
      <c r="B1060" s="92">
        <v>1.4583330000000001</v>
      </c>
      <c r="C1060" s="92">
        <v>735.99279999999999</v>
      </c>
      <c r="D1060" s="92">
        <v>118.3674</v>
      </c>
      <c r="E1060" s="92"/>
      <c r="F1060" s="92">
        <v>1.4583330000000001</v>
      </c>
      <c r="G1060" s="92">
        <v>736.1354</v>
      </c>
      <c r="H1060" s="92">
        <v>117.6861</v>
      </c>
      <c r="I1060" s="92"/>
      <c r="J1060" s="93">
        <f t="shared" si="23"/>
        <v>0.14260000000001583</v>
      </c>
    </row>
    <row r="1061" spans="2:10" x14ac:dyDescent="0.2">
      <c r="B1061" s="92">
        <v>1.459722</v>
      </c>
      <c r="C1061" s="92">
        <v>736.03369999999995</v>
      </c>
      <c r="D1061" s="92">
        <v>118.36409999999999</v>
      </c>
      <c r="E1061" s="92"/>
      <c r="F1061" s="92">
        <v>1.459722</v>
      </c>
      <c r="G1061" s="92">
        <v>736.12699999999995</v>
      </c>
      <c r="H1061" s="92">
        <v>117.6878</v>
      </c>
      <c r="I1061" s="92"/>
      <c r="J1061" s="93">
        <f t="shared" si="23"/>
        <v>9.3299999999999272E-2</v>
      </c>
    </row>
    <row r="1062" spans="2:10" x14ac:dyDescent="0.2">
      <c r="B1062" s="92">
        <v>1.461111</v>
      </c>
      <c r="C1062" s="92">
        <v>736.03060000000005</v>
      </c>
      <c r="D1062" s="92">
        <v>118.374</v>
      </c>
      <c r="E1062" s="92"/>
      <c r="F1062" s="92">
        <v>1.461111</v>
      </c>
      <c r="G1062" s="92">
        <v>736.09370000000001</v>
      </c>
      <c r="H1062" s="92">
        <v>117.6944</v>
      </c>
      <c r="I1062" s="92"/>
      <c r="J1062" s="93">
        <f t="shared" si="23"/>
        <v>6.3099999999963075E-2</v>
      </c>
    </row>
    <row r="1063" spans="2:10" x14ac:dyDescent="0.2">
      <c r="B1063" s="92">
        <v>1.4624999999999999</v>
      </c>
      <c r="C1063" s="92">
        <v>735.99490000000003</v>
      </c>
      <c r="D1063" s="92">
        <v>118.3839</v>
      </c>
      <c r="E1063" s="92"/>
      <c r="F1063" s="92">
        <v>1.4624999999999999</v>
      </c>
      <c r="G1063" s="92">
        <v>736.13710000000003</v>
      </c>
      <c r="H1063" s="92">
        <v>117.6944</v>
      </c>
      <c r="I1063" s="92"/>
      <c r="J1063" s="93">
        <f t="shared" si="23"/>
        <v>0.14220000000000255</v>
      </c>
    </row>
    <row r="1064" spans="2:10" x14ac:dyDescent="0.2">
      <c r="B1064" s="92">
        <v>1.463889</v>
      </c>
      <c r="C1064" s="92">
        <v>736.02589999999998</v>
      </c>
      <c r="D1064" s="92">
        <v>118.38890000000001</v>
      </c>
      <c r="E1064" s="92"/>
      <c r="F1064" s="92">
        <v>1.463889</v>
      </c>
      <c r="G1064" s="92">
        <v>736.10500000000002</v>
      </c>
      <c r="H1064" s="92">
        <v>117.70269999999999</v>
      </c>
      <c r="I1064" s="92"/>
      <c r="J1064" s="93">
        <f t="shared" si="23"/>
        <v>7.9100000000039472E-2</v>
      </c>
    </row>
    <row r="1065" spans="2:10" x14ac:dyDescent="0.2">
      <c r="B1065" s="92">
        <v>1.4652780000000001</v>
      </c>
      <c r="C1065" s="92">
        <v>735.98810000000003</v>
      </c>
      <c r="D1065" s="92">
        <v>118.3823</v>
      </c>
      <c r="E1065" s="92"/>
      <c r="F1065" s="92">
        <v>1.4652780000000001</v>
      </c>
      <c r="G1065" s="92">
        <v>736.09929999999997</v>
      </c>
      <c r="H1065" s="92">
        <v>117.7077</v>
      </c>
      <c r="I1065" s="92"/>
      <c r="J1065" s="93">
        <f t="shared" si="23"/>
        <v>0.11119999999993979</v>
      </c>
    </row>
    <row r="1066" spans="2:10" x14ac:dyDescent="0.2">
      <c r="B1066" s="92">
        <v>1.4666669999999999</v>
      </c>
      <c r="C1066" s="92">
        <v>736.02589999999998</v>
      </c>
      <c r="D1066" s="92">
        <v>118.38890000000001</v>
      </c>
      <c r="E1066" s="92"/>
      <c r="F1066" s="92">
        <v>1.4666669999999999</v>
      </c>
      <c r="G1066" s="92">
        <v>736.101</v>
      </c>
      <c r="H1066" s="92">
        <v>117.71599999999999</v>
      </c>
      <c r="I1066" s="92"/>
      <c r="J1066" s="93">
        <f t="shared" si="23"/>
        <v>7.5100000000020373E-2</v>
      </c>
    </row>
    <row r="1067" spans="2:10" x14ac:dyDescent="0.2">
      <c r="B1067" s="92">
        <v>1.468056</v>
      </c>
      <c r="C1067" s="92">
        <v>736.02049999999997</v>
      </c>
      <c r="D1067" s="92">
        <v>118.38890000000001</v>
      </c>
      <c r="E1067" s="92"/>
      <c r="F1067" s="92">
        <v>1.468056</v>
      </c>
      <c r="G1067" s="92">
        <v>736.12120000000004</v>
      </c>
      <c r="H1067" s="92">
        <v>117.711</v>
      </c>
      <c r="I1067" s="92"/>
      <c r="J1067" s="93">
        <f t="shared" si="23"/>
        <v>0.1007000000000744</v>
      </c>
    </row>
    <row r="1068" spans="2:10" x14ac:dyDescent="0.2">
      <c r="B1068" s="92">
        <v>1.469444</v>
      </c>
      <c r="C1068" s="92">
        <v>736.04219999999998</v>
      </c>
      <c r="D1068" s="92">
        <v>118.38890000000001</v>
      </c>
      <c r="E1068" s="92"/>
      <c r="F1068" s="92">
        <v>1.469444</v>
      </c>
      <c r="G1068" s="92">
        <v>736.1001</v>
      </c>
      <c r="H1068" s="92">
        <v>117.721</v>
      </c>
      <c r="I1068" s="92"/>
      <c r="J1068" s="93">
        <f t="shared" si="23"/>
        <v>5.7900000000017826E-2</v>
      </c>
    </row>
    <row r="1069" spans="2:10" x14ac:dyDescent="0.2">
      <c r="B1069" s="92">
        <v>1.4708330000000001</v>
      </c>
      <c r="C1069" s="92">
        <v>736.01189999999997</v>
      </c>
      <c r="D1069" s="92">
        <v>118.39879999999999</v>
      </c>
      <c r="E1069" s="92"/>
      <c r="F1069" s="92">
        <v>1.4708330000000001</v>
      </c>
      <c r="G1069" s="92">
        <v>736.06889999999999</v>
      </c>
      <c r="H1069" s="92">
        <v>117.7243</v>
      </c>
      <c r="I1069" s="92"/>
      <c r="J1069" s="93">
        <f t="shared" si="23"/>
        <v>5.7000000000016371E-2</v>
      </c>
    </row>
    <row r="1070" spans="2:10" x14ac:dyDescent="0.2">
      <c r="B1070" s="92">
        <v>1.4722219999999999</v>
      </c>
      <c r="C1070" s="92">
        <v>735.98479999999995</v>
      </c>
      <c r="D1070" s="92">
        <v>118.39879999999999</v>
      </c>
      <c r="E1070" s="92"/>
      <c r="F1070" s="92">
        <v>1.4722219999999999</v>
      </c>
      <c r="G1070" s="92">
        <v>736.0711</v>
      </c>
      <c r="H1070" s="92">
        <v>117.721</v>
      </c>
      <c r="I1070" s="92"/>
      <c r="J1070" s="93">
        <f t="shared" si="23"/>
        <v>8.6300000000051114E-2</v>
      </c>
    </row>
    <row r="1071" spans="2:10" x14ac:dyDescent="0.2">
      <c r="B1071" s="92">
        <v>1.473611</v>
      </c>
      <c r="C1071" s="92">
        <v>735.98990000000003</v>
      </c>
      <c r="D1071" s="92">
        <v>118.4054</v>
      </c>
      <c r="E1071" s="92"/>
      <c r="F1071" s="92">
        <v>1.473611</v>
      </c>
      <c r="G1071" s="92">
        <v>736.08510000000001</v>
      </c>
      <c r="H1071" s="92">
        <v>117.73260000000001</v>
      </c>
      <c r="I1071" s="92"/>
      <c r="J1071" s="93">
        <f t="shared" si="23"/>
        <v>9.5199999999977081E-2</v>
      </c>
    </row>
    <row r="1072" spans="2:10" x14ac:dyDescent="0.2">
      <c r="B1072" s="92">
        <v>1.4750000000000001</v>
      </c>
      <c r="C1072" s="92">
        <v>736.0181</v>
      </c>
      <c r="D1072" s="92">
        <v>118.41370000000001</v>
      </c>
      <c r="E1072" s="92"/>
      <c r="F1072" s="92">
        <v>1.4750000000000001</v>
      </c>
      <c r="G1072" s="92">
        <v>736.14909999999998</v>
      </c>
      <c r="H1072" s="92">
        <v>117.7342</v>
      </c>
      <c r="I1072" s="92"/>
      <c r="J1072" s="93">
        <f t="shared" si="23"/>
        <v>0.13099999999997181</v>
      </c>
    </row>
    <row r="1073" spans="2:10" x14ac:dyDescent="0.2">
      <c r="B1073" s="92">
        <v>1.476389</v>
      </c>
      <c r="C1073" s="92">
        <v>736.00210000000004</v>
      </c>
      <c r="D1073" s="92">
        <v>118.4071</v>
      </c>
      <c r="E1073" s="92"/>
      <c r="F1073" s="92">
        <v>1.476389</v>
      </c>
      <c r="G1073" s="92">
        <v>736.14819999999997</v>
      </c>
      <c r="H1073" s="92">
        <v>117.7392</v>
      </c>
      <c r="I1073" s="92"/>
      <c r="J1073" s="93">
        <f t="shared" si="23"/>
        <v>0.14609999999993306</v>
      </c>
    </row>
    <row r="1074" spans="2:10" x14ac:dyDescent="0.2">
      <c r="B1074" s="92">
        <v>1.477778</v>
      </c>
      <c r="C1074" s="92">
        <v>736.0575</v>
      </c>
      <c r="D1074" s="92">
        <v>118.4153</v>
      </c>
      <c r="E1074" s="92"/>
      <c r="F1074" s="92">
        <v>1.477778</v>
      </c>
      <c r="G1074" s="92">
        <v>736.1096</v>
      </c>
      <c r="H1074" s="92">
        <v>117.7392</v>
      </c>
      <c r="I1074" s="92"/>
      <c r="J1074" s="93">
        <f t="shared" si="23"/>
        <v>5.2099999999995816E-2</v>
      </c>
    </row>
    <row r="1075" spans="2:10" x14ac:dyDescent="0.2">
      <c r="B1075" s="92">
        <v>1.4791669999999999</v>
      </c>
      <c r="C1075" s="92">
        <v>736.06700000000001</v>
      </c>
      <c r="D1075" s="92">
        <v>118.41370000000001</v>
      </c>
      <c r="E1075" s="92"/>
      <c r="F1075" s="92">
        <v>1.4791669999999999</v>
      </c>
      <c r="G1075" s="92">
        <v>736.09069999999997</v>
      </c>
      <c r="H1075" s="92">
        <v>117.74590000000001</v>
      </c>
      <c r="I1075" s="92"/>
      <c r="J1075" s="93">
        <f t="shared" si="23"/>
        <v>2.3699999999962529E-2</v>
      </c>
    </row>
    <row r="1076" spans="2:10" x14ac:dyDescent="0.2">
      <c r="B1076" s="92">
        <v>1.480556</v>
      </c>
      <c r="C1076" s="92">
        <v>736.01400000000001</v>
      </c>
      <c r="D1076" s="92">
        <v>118.4153</v>
      </c>
      <c r="E1076" s="92"/>
      <c r="F1076" s="92">
        <v>1.480556</v>
      </c>
      <c r="G1076" s="92">
        <v>736.13760000000002</v>
      </c>
      <c r="H1076" s="92">
        <v>117.74420000000001</v>
      </c>
      <c r="I1076" s="92"/>
      <c r="J1076" s="93">
        <f t="shared" si="23"/>
        <v>0.12360000000001037</v>
      </c>
    </row>
    <row r="1077" spans="2:10" x14ac:dyDescent="0.2">
      <c r="B1077" s="92">
        <v>1.4819439999999999</v>
      </c>
      <c r="C1077" s="92">
        <v>736.04759999999999</v>
      </c>
      <c r="D1077" s="92">
        <v>118.42359999999999</v>
      </c>
      <c r="E1077" s="92"/>
      <c r="F1077" s="92">
        <v>1.4819439999999999</v>
      </c>
      <c r="G1077" s="92">
        <v>736.11869999999999</v>
      </c>
      <c r="H1077" s="92">
        <v>117.7508</v>
      </c>
      <c r="I1077" s="92"/>
      <c r="J1077" s="93">
        <f t="shared" si="23"/>
        <v>7.1100000000001273E-2</v>
      </c>
    </row>
    <row r="1078" spans="2:10" x14ac:dyDescent="0.2">
      <c r="B1078" s="92">
        <v>1.483333</v>
      </c>
      <c r="C1078" s="92">
        <v>736.03</v>
      </c>
      <c r="D1078" s="92">
        <v>118.42189999999999</v>
      </c>
      <c r="E1078" s="92"/>
      <c r="F1078" s="92">
        <v>1.483333</v>
      </c>
      <c r="G1078" s="92">
        <v>736.10069999999996</v>
      </c>
      <c r="H1078" s="92">
        <v>117.7525</v>
      </c>
      <c r="I1078" s="92"/>
      <c r="J1078" s="93">
        <f t="shared" si="23"/>
        <v>7.0699999999987995E-2</v>
      </c>
    </row>
    <row r="1079" spans="2:10" x14ac:dyDescent="0.2">
      <c r="B1079" s="92">
        <v>1.4847220000000001</v>
      </c>
      <c r="C1079" s="92">
        <v>736.01239999999996</v>
      </c>
      <c r="D1079" s="92">
        <v>118.4203</v>
      </c>
      <c r="E1079" s="92"/>
      <c r="F1079" s="92">
        <v>1.4847220000000001</v>
      </c>
      <c r="G1079" s="92">
        <v>736.08219999999994</v>
      </c>
      <c r="H1079" s="92">
        <v>117.7658</v>
      </c>
      <c r="I1079" s="92"/>
      <c r="J1079" s="93">
        <f t="shared" si="23"/>
        <v>6.9799999999986539E-2</v>
      </c>
    </row>
    <row r="1080" spans="2:10" x14ac:dyDescent="0.2">
      <c r="B1080" s="92">
        <v>1.486111</v>
      </c>
      <c r="C1080" s="92">
        <v>736.04060000000004</v>
      </c>
      <c r="D1080" s="92">
        <v>118.4286</v>
      </c>
      <c r="E1080" s="92"/>
      <c r="F1080" s="92">
        <v>1.486111</v>
      </c>
      <c r="G1080" s="92">
        <v>736.11379999999997</v>
      </c>
      <c r="H1080" s="92">
        <v>117.76909999999999</v>
      </c>
      <c r="I1080" s="92"/>
      <c r="J1080" s="93">
        <f t="shared" si="23"/>
        <v>7.3199999999928878E-2</v>
      </c>
    </row>
    <row r="1081" spans="2:10" x14ac:dyDescent="0.2">
      <c r="B1081" s="92">
        <v>1.4875</v>
      </c>
      <c r="C1081" s="92">
        <v>736.0557</v>
      </c>
      <c r="D1081" s="92">
        <v>118.4269</v>
      </c>
      <c r="E1081" s="92"/>
      <c r="F1081" s="92">
        <v>1.4875</v>
      </c>
      <c r="G1081" s="92">
        <v>736.08489999999995</v>
      </c>
      <c r="H1081" s="92">
        <v>117.76909999999999</v>
      </c>
      <c r="I1081" s="92"/>
      <c r="J1081" s="93">
        <f t="shared" si="23"/>
        <v>2.9199999999946158E-2</v>
      </c>
    </row>
    <row r="1082" spans="2:10" x14ac:dyDescent="0.2">
      <c r="B1082" s="92">
        <v>1.4888889999999999</v>
      </c>
      <c r="C1082" s="92">
        <v>736.01059999999995</v>
      </c>
      <c r="D1082" s="92">
        <v>118.4319</v>
      </c>
      <c r="E1082" s="92"/>
      <c r="F1082" s="92">
        <v>1.4888889999999999</v>
      </c>
      <c r="G1082" s="92">
        <v>736.08839999999998</v>
      </c>
      <c r="H1082" s="92">
        <v>117.76739999999999</v>
      </c>
      <c r="I1082" s="92"/>
      <c r="J1082" s="93">
        <f t="shared" si="23"/>
        <v>7.7800000000024738E-2</v>
      </c>
    </row>
    <row r="1083" spans="2:10" x14ac:dyDescent="0.2">
      <c r="B1083" s="92">
        <v>1.490278</v>
      </c>
      <c r="C1083" s="92">
        <v>736.03489999999999</v>
      </c>
      <c r="D1083" s="92">
        <v>118.43519999999999</v>
      </c>
      <c r="E1083" s="92"/>
      <c r="F1083" s="92">
        <v>1.490278</v>
      </c>
      <c r="G1083" s="92">
        <v>736.12030000000004</v>
      </c>
      <c r="H1083" s="92">
        <v>117.7774</v>
      </c>
      <c r="I1083" s="92"/>
      <c r="J1083" s="93">
        <f t="shared" si="23"/>
        <v>8.5400000000049658E-2</v>
      </c>
    </row>
    <row r="1084" spans="2:10" x14ac:dyDescent="0.2">
      <c r="B1084" s="92">
        <v>1.4916670000000001</v>
      </c>
      <c r="C1084" s="92">
        <v>736.00360000000001</v>
      </c>
      <c r="D1084" s="92">
        <v>118.43680000000001</v>
      </c>
      <c r="E1084" s="92"/>
      <c r="F1084" s="92">
        <v>1.4916670000000001</v>
      </c>
      <c r="G1084" s="92">
        <v>736.12199999999996</v>
      </c>
      <c r="H1084" s="92">
        <v>117.78570000000001</v>
      </c>
      <c r="I1084" s="92"/>
      <c r="J1084" s="93">
        <f t="shared" si="23"/>
        <v>0.11839999999995143</v>
      </c>
    </row>
    <row r="1085" spans="2:10" x14ac:dyDescent="0.2">
      <c r="B1085" s="92">
        <v>1.4930559999999999</v>
      </c>
      <c r="C1085" s="92">
        <v>736.02800000000002</v>
      </c>
      <c r="D1085" s="92">
        <v>118.4401</v>
      </c>
      <c r="E1085" s="92"/>
      <c r="F1085" s="92">
        <v>1.4930559999999999</v>
      </c>
      <c r="G1085" s="92">
        <v>736.14260000000002</v>
      </c>
      <c r="H1085" s="92">
        <v>117.78740000000001</v>
      </c>
      <c r="I1085" s="92"/>
      <c r="J1085" s="93">
        <f t="shared" si="23"/>
        <v>0.11459999999999582</v>
      </c>
    </row>
    <row r="1086" spans="2:10" x14ac:dyDescent="0.2">
      <c r="B1086" s="92">
        <v>1.4944440000000001</v>
      </c>
      <c r="C1086" s="92">
        <v>736.0127</v>
      </c>
      <c r="D1086" s="92">
        <v>118.44840000000001</v>
      </c>
      <c r="E1086" s="92"/>
      <c r="F1086" s="92">
        <v>1.4944440000000001</v>
      </c>
      <c r="G1086" s="92">
        <v>736.13340000000005</v>
      </c>
      <c r="H1086" s="92">
        <v>117.794</v>
      </c>
      <c r="I1086" s="92"/>
      <c r="J1086" s="93">
        <f t="shared" si="23"/>
        <v>0.12070000000005621</v>
      </c>
    </row>
    <row r="1087" spans="2:10" x14ac:dyDescent="0.2">
      <c r="B1087" s="92">
        <v>1.495833</v>
      </c>
      <c r="C1087" s="92">
        <v>736.03309999999999</v>
      </c>
      <c r="D1087" s="92">
        <v>118.44670000000001</v>
      </c>
      <c r="E1087" s="92"/>
      <c r="F1087" s="92">
        <v>1.495833</v>
      </c>
      <c r="G1087" s="92">
        <v>736.125</v>
      </c>
      <c r="H1087" s="92">
        <v>117.7957</v>
      </c>
      <c r="I1087" s="92"/>
      <c r="J1087" s="93">
        <f t="shared" si="23"/>
        <v>9.1900000000009641E-2</v>
      </c>
    </row>
    <row r="1088" spans="2:10" x14ac:dyDescent="0.2">
      <c r="B1088" s="92">
        <v>1.4972220000000001</v>
      </c>
      <c r="C1088" s="92">
        <v>736.04399999999998</v>
      </c>
      <c r="D1088" s="92">
        <v>118.44670000000001</v>
      </c>
      <c r="E1088" s="92"/>
      <c r="F1088" s="92">
        <v>1.4972220000000001</v>
      </c>
      <c r="G1088" s="92">
        <v>736.11540000000002</v>
      </c>
      <c r="H1088" s="92">
        <v>117.7957</v>
      </c>
      <c r="I1088" s="92"/>
      <c r="J1088" s="93">
        <f t="shared" si="23"/>
        <v>7.1400000000039654E-2</v>
      </c>
    </row>
    <row r="1089" spans="2:10" x14ac:dyDescent="0.2">
      <c r="B1089" s="92">
        <v>1.4986109999999999</v>
      </c>
      <c r="C1089" s="92">
        <v>735.9692</v>
      </c>
      <c r="D1089" s="92">
        <v>118.44840000000001</v>
      </c>
      <c r="E1089" s="92"/>
      <c r="F1089" s="92">
        <v>1.4986109999999999</v>
      </c>
      <c r="G1089" s="92">
        <v>736.17550000000006</v>
      </c>
      <c r="H1089" s="92">
        <v>117.7923</v>
      </c>
      <c r="I1089" s="92"/>
      <c r="J1089" s="93">
        <f t="shared" si="23"/>
        <v>0.20630000000005566</v>
      </c>
    </row>
    <row r="1090" spans="2:10" x14ac:dyDescent="0.2">
      <c r="B1090" s="92">
        <v>1.5</v>
      </c>
      <c r="C1090" s="92">
        <v>736.20809999999994</v>
      </c>
      <c r="D1090" s="92">
        <v>118.455</v>
      </c>
      <c r="E1090" s="92"/>
      <c r="F1090" s="92">
        <v>1.5</v>
      </c>
      <c r="G1090" s="92">
        <v>736.32320000000004</v>
      </c>
      <c r="H1090" s="92">
        <v>117.8023</v>
      </c>
      <c r="I1090" s="92"/>
      <c r="J1090" s="93">
        <f t="shared" si="23"/>
        <v>0.11510000000009768</v>
      </c>
    </row>
    <row r="1091" spans="2:10" x14ac:dyDescent="0.2">
      <c r="B1091" s="92">
        <v>1.5013890000000001</v>
      </c>
      <c r="C1091" s="92">
        <v>736.30589999999995</v>
      </c>
      <c r="D1091" s="92">
        <v>118.455</v>
      </c>
      <c r="E1091" s="92"/>
      <c r="F1091" s="92">
        <v>1.5013890000000001</v>
      </c>
      <c r="G1091" s="92">
        <v>736.46169999999995</v>
      </c>
      <c r="H1091" s="92">
        <v>117.8189</v>
      </c>
      <c r="I1091" s="92"/>
      <c r="J1091" s="93">
        <f t="shared" si="23"/>
        <v>0.15579999999999927</v>
      </c>
    </row>
    <row r="1092" spans="2:10" x14ac:dyDescent="0.2">
      <c r="B1092" s="92">
        <v>1.5027779999999999</v>
      </c>
      <c r="C1092" s="92">
        <v>736.45780000000002</v>
      </c>
      <c r="D1092" s="92">
        <v>118.4616</v>
      </c>
      <c r="E1092" s="92"/>
      <c r="F1092" s="92">
        <v>1.5027779999999999</v>
      </c>
      <c r="G1092" s="92">
        <v>736.62260000000003</v>
      </c>
      <c r="H1092" s="92">
        <v>117.8272</v>
      </c>
      <c r="I1092" s="92"/>
      <c r="J1092" s="93">
        <f t="shared" si="23"/>
        <v>0.16480000000001382</v>
      </c>
    </row>
    <row r="1093" spans="2:10" x14ac:dyDescent="0.2">
      <c r="B1093" s="92">
        <v>1.504167</v>
      </c>
      <c r="C1093" s="92">
        <v>736.55820000000006</v>
      </c>
      <c r="D1093" s="92">
        <v>118.4649</v>
      </c>
      <c r="E1093" s="92"/>
      <c r="F1093" s="92">
        <v>1.504167</v>
      </c>
      <c r="G1093" s="92">
        <v>736.74390000000005</v>
      </c>
      <c r="H1093" s="92">
        <v>117.8587</v>
      </c>
      <c r="I1093" s="92"/>
      <c r="J1093" s="93">
        <f t="shared" si="23"/>
        <v>0.18569999999999709</v>
      </c>
    </row>
    <row r="1094" spans="2:10" x14ac:dyDescent="0.2">
      <c r="B1094" s="92">
        <v>1.5055559999999999</v>
      </c>
      <c r="C1094" s="92">
        <v>736.76260000000002</v>
      </c>
      <c r="D1094" s="92">
        <v>118.48309999999999</v>
      </c>
      <c r="E1094" s="92"/>
      <c r="F1094" s="92">
        <v>1.5055559999999999</v>
      </c>
      <c r="G1094" s="92">
        <v>736.92039999999997</v>
      </c>
      <c r="H1094" s="92">
        <v>117.887</v>
      </c>
      <c r="I1094" s="92"/>
      <c r="J1094" s="93">
        <f t="shared" si="23"/>
        <v>0.15779999999995198</v>
      </c>
    </row>
    <row r="1095" spans="2:10" x14ac:dyDescent="0.2">
      <c r="B1095" s="92">
        <v>1.5069440000000001</v>
      </c>
      <c r="C1095" s="92">
        <v>736.95029999999997</v>
      </c>
      <c r="D1095" s="92">
        <v>118.51439999999999</v>
      </c>
      <c r="E1095" s="92"/>
      <c r="F1095" s="92">
        <v>1.5069440000000001</v>
      </c>
      <c r="G1095" s="92">
        <v>737.101</v>
      </c>
      <c r="H1095" s="92">
        <v>117.92019999999999</v>
      </c>
      <c r="I1095" s="92"/>
      <c r="J1095" s="93">
        <f t="shared" si="23"/>
        <v>0.15070000000002892</v>
      </c>
    </row>
    <row r="1096" spans="2:10" x14ac:dyDescent="0.2">
      <c r="B1096" s="92">
        <v>1.5083329999999999</v>
      </c>
      <c r="C1096" s="92">
        <v>737.05100000000004</v>
      </c>
      <c r="D1096" s="92">
        <v>118.5458</v>
      </c>
      <c r="E1096" s="92"/>
      <c r="F1096" s="92">
        <v>1.5083329999999999</v>
      </c>
      <c r="G1096" s="92">
        <v>737.25779999999997</v>
      </c>
      <c r="H1096" s="92">
        <v>117.96</v>
      </c>
      <c r="I1096" s="92"/>
      <c r="J1096" s="93">
        <f t="shared" si="23"/>
        <v>0.20679999999993015</v>
      </c>
    </row>
    <row r="1097" spans="2:10" x14ac:dyDescent="0.2">
      <c r="B1097" s="92">
        <v>1.509722</v>
      </c>
      <c r="C1097" s="92">
        <v>737.27250000000004</v>
      </c>
      <c r="D1097" s="92">
        <v>118.5789</v>
      </c>
      <c r="E1097" s="92"/>
      <c r="F1097" s="92">
        <v>1.509722</v>
      </c>
      <c r="G1097" s="92">
        <v>737.50319999999999</v>
      </c>
      <c r="H1097" s="92">
        <v>118.0082</v>
      </c>
      <c r="I1097" s="92"/>
      <c r="J1097" s="93">
        <f t="shared" si="23"/>
        <v>0.23069999999995616</v>
      </c>
    </row>
    <row r="1098" spans="2:10" x14ac:dyDescent="0.2">
      <c r="B1098" s="92">
        <v>1.5111110000000001</v>
      </c>
      <c r="C1098" s="92">
        <v>737.42989999999998</v>
      </c>
      <c r="D1098" s="92">
        <v>118.6202</v>
      </c>
      <c r="E1098" s="92"/>
      <c r="F1098" s="92">
        <v>1.5111110000000001</v>
      </c>
      <c r="G1098" s="92">
        <v>737.65729999999996</v>
      </c>
      <c r="H1098" s="92">
        <v>118.0629</v>
      </c>
      <c r="I1098" s="92"/>
      <c r="J1098" s="93">
        <f t="shared" si="23"/>
        <v>0.22739999999998872</v>
      </c>
    </row>
    <row r="1099" spans="2:10" x14ac:dyDescent="0.2">
      <c r="B1099" s="92">
        <v>1.5125</v>
      </c>
      <c r="C1099" s="92">
        <v>737.68110000000001</v>
      </c>
      <c r="D1099" s="92">
        <v>118.6631</v>
      </c>
      <c r="E1099" s="92"/>
      <c r="F1099" s="92">
        <v>1.5125</v>
      </c>
      <c r="G1099" s="92">
        <v>737.85879999999997</v>
      </c>
      <c r="H1099" s="92">
        <v>118.12269999999999</v>
      </c>
      <c r="I1099" s="92"/>
      <c r="J1099" s="93">
        <f t="shared" ref="J1099:J1162" si="24">+ABS(G1099-C1099)</f>
        <v>0.17769999999995889</v>
      </c>
    </row>
    <row r="1100" spans="2:10" x14ac:dyDescent="0.2">
      <c r="B1100" s="92">
        <v>1.513889</v>
      </c>
      <c r="C1100" s="92">
        <v>737.84760000000006</v>
      </c>
      <c r="D1100" s="92">
        <v>118.71599999999999</v>
      </c>
      <c r="E1100" s="92"/>
      <c r="F1100" s="92">
        <v>1.513889</v>
      </c>
      <c r="G1100" s="92">
        <v>738.07830000000001</v>
      </c>
      <c r="H1100" s="92">
        <v>118.1991</v>
      </c>
      <c r="I1100" s="92"/>
      <c r="J1100" s="93">
        <f t="shared" si="24"/>
        <v>0.23069999999995616</v>
      </c>
    </row>
    <row r="1101" spans="2:10" x14ac:dyDescent="0.2">
      <c r="B1101" s="92">
        <v>1.5152779999999999</v>
      </c>
      <c r="C1101" s="92">
        <v>738.06150000000002</v>
      </c>
      <c r="D1101" s="92">
        <v>118.77379999999999</v>
      </c>
      <c r="E1101" s="92"/>
      <c r="F1101" s="92">
        <v>1.5152779999999999</v>
      </c>
      <c r="G1101" s="92">
        <v>738.25699999999995</v>
      </c>
      <c r="H1101" s="92">
        <v>118.26049999999999</v>
      </c>
      <c r="I1101" s="92"/>
      <c r="J1101" s="93">
        <f t="shared" si="24"/>
        <v>0.19549999999992451</v>
      </c>
    </row>
    <row r="1102" spans="2:10" x14ac:dyDescent="0.2">
      <c r="B1102" s="92">
        <v>1.516667</v>
      </c>
      <c r="C1102" s="92">
        <v>738.23220000000003</v>
      </c>
      <c r="D1102" s="92">
        <v>118.825</v>
      </c>
      <c r="E1102" s="92"/>
      <c r="F1102" s="92">
        <v>1.516667</v>
      </c>
      <c r="G1102" s="92">
        <v>738.42079999999999</v>
      </c>
      <c r="H1102" s="92">
        <v>118.3336</v>
      </c>
      <c r="I1102" s="92"/>
      <c r="J1102" s="93">
        <f t="shared" si="24"/>
        <v>0.18859999999995125</v>
      </c>
    </row>
    <row r="1103" spans="2:10" x14ac:dyDescent="0.2">
      <c r="B1103" s="92">
        <v>1.5180560000000001</v>
      </c>
      <c r="C1103" s="92">
        <v>738.41150000000005</v>
      </c>
      <c r="D1103" s="92">
        <v>118.901</v>
      </c>
      <c r="E1103" s="92"/>
      <c r="F1103" s="92">
        <v>1.5180560000000001</v>
      </c>
      <c r="G1103" s="92">
        <v>738.60440000000006</v>
      </c>
      <c r="H1103" s="92">
        <v>118.41330000000001</v>
      </c>
      <c r="I1103" s="92"/>
      <c r="J1103" s="93">
        <f t="shared" si="24"/>
        <v>0.19290000000000873</v>
      </c>
    </row>
    <row r="1104" spans="2:10" x14ac:dyDescent="0.2">
      <c r="B1104" s="92">
        <v>1.519444</v>
      </c>
      <c r="C1104" s="92">
        <v>738.60599999999999</v>
      </c>
      <c r="D1104" s="92">
        <v>118.9688</v>
      </c>
      <c r="E1104" s="92"/>
      <c r="F1104" s="92">
        <v>1.519444</v>
      </c>
      <c r="G1104" s="92">
        <v>738.82259999999997</v>
      </c>
      <c r="H1104" s="92">
        <v>118.50620000000001</v>
      </c>
      <c r="I1104" s="92"/>
      <c r="J1104" s="93">
        <f t="shared" si="24"/>
        <v>0.21659999999997126</v>
      </c>
    </row>
    <row r="1105" spans="2:10" x14ac:dyDescent="0.2">
      <c r="B1105" s="92">
        <v>1.5208330000000001</v>
      </c>
      <c r="C1105" s="92">
        <v>738.77449999999999</v>
      </c>
      <c r="D1105" s="92">
        <v>119.0448</v>
      </c>
      <c r="E1105" s="92"/>
      <c r="F1105" s="92">
        <v>1.5208330000000001</v>
      </c>
      <c r="G1105" s="92">
        <v>739.03430000000003</v>
      </c>
      <c r="H1105" s="92">
        <v>118.5909</v>
      </c>
      <c r="I1105" s="92"/>
      <c r="J1105" s="93">
        <f t="shared" si="24"/>
        <v>0.25980000000004111</v>
      </c>
    </row>
    <row r="1106" spans="2:10" x14ac:dyDescent="0.2">
      <c r="B1106" s="92">
        <v>1.522222</v>
      </c>
      <c r="C1106" s="92">
        <v>738.98760000000004</v>
      </c>
      <c r="D1106" s="92">
        <v>119.12909999999999</v>
      </c>
      <c r="E1106" s="92"/>
      <c r="F1106" s="92">
        <v>1.522222</v>
      </c>
      <c r="G1106" s="92">
        <v>739.21169999999995</v>
      </c>
      <c r="H1106" s="92">
        <v>118.6872</v>
      </c>
      <c r="I1106" s="92"/>
      <c r="J1106" s="93">
        <f t="shared" si="24"/>
        <v>0.2240999999999076</v>
      </c>
    </row>
    <row r="1107" spans="2:10" x14ac:dyDescent="0.2">
      <c r="B1107" s="92">
        <v>1.523611</v>
      </c>
      <c r="C1107" s="92">
        <v>739.23180000000002</v>
      </c>
      <c r="D1107" s="92">
        <v>119.2183</v>
      </c>
      <c r="E1107" s="92"/>
      <c r="F1107" s="92">
        <v>1.523611</v>
      </c>
      <c r="G1107" s="92">
        <v>739.39229999999998</v>
      </c>
      <c r="H1107" s="92">
        <v>118.7752</v>
      </c>
      <c r="I1107" s="92"/>
      <c r="J1107" s="93">
        <f t="shared" si="24"/>
        <v>0.16049999999995634</v>
      </c>
    </row>
    <row r="1108" spans="2:10" x14ac:dyDescent="0.2">
      <c r="B1108" s="92">
        <v>1.5249999999999999</v>
      </c>
      <c r="C1108" s="92">
        <v>739.38220000000001</v>
      </c>
      <c r="D1108" s="92">
        <v>119.30589999999999</v>
      </c>
      <c r="E1108" s="92"/>
      <c r="F1108" s="92">
        <v>1.5249999999999999</v>
      </c>
      <c r="G1108" s="92">
        <v>739.57600000000002</v>
      </c>
      <c r="H1108" s="92">
        <v>118.8732</v>
      </c>
      <c r="I1108" s="92"/>
      <c r="J1108" s="93">
        <f t="shared" si="24"/>
        <v>0.19380000000001019</v>
      </c>
    </row>
    <row r="1109" spans="2:10" x14ac:dyDescent="0.2">
      <c r="B1109" s="92">
        <v>1.526389</v>
      </c>
      <c r="C1109" s="92">
        <v>739.57600000000002</v>
      </c>
      <c r="D1109" s="92">
        <v>119.40009999999999</v>
      </c>
      <c r="E1109" s="92"/>
      <c r="F1109" s="92">
        <v>1.526389</v>
      </c>
      <c r="G1109" s="92">
        <v>739.73820000000001</v>
      </c>
      <c r="H1109" s="92">
        <v>118.97450000000001</v>
      </c>
      <c r="I1109" s="92"/>
      <c r="J1109" s="93">
        <f t="shared" si="24"/>
        <v>0.16219999999998436</v>
      </c>
    </row>
    <row r="1110" spans="2:10" x14ac:dyDescent="0.2">
      <c r="B1110" s="92">
        <v>1.5277780000000001</v>
      </c>
      <c r="C1110" s="92">
        <v>739.78070000000002</v>
      </c>
      <c r="D1110" s="92">
        <v>119.4943</v>
      </c>
      <c r="E1110" s="92"/>
      <c r="F1110" s="92">
        <v>1.5277780000000001</v>
      </c>
      <c r="G1110" s="92">
        <v>739.99</v>
      </c>
      <c r="H1110" s="92">
        <v>119.0791</v>
      </c>
      <c r="I1110" s="92"/>
      <c r="J1110" s="93">
        <f t="shared" si="24"/>
        <v>0.20929999999998472</v>
      </c>
    </row>
    <row r="1111" spans="2:10" x14ac:dyDescent="0.2">
      <c r="B1111" s="92">
        <v>1.5291669999999999</v>
      </c>
      <c r="C1111" s="92">
        <v>739.94029999999998</v>
      </c>
      <c r="D1111" s="92">
        <v>119.5934</v>
      </c>
      <c r="E1111" s="92"/>
      <c r="F1111" s="92">
        <v>1.5291669999999999</v>
      </c>
      <c r="G1111" s="92">
        <v>740.17420000000004</v>
      </c>
      <c r="H1111" s="92">
        <v>119.1837</v>
      </c>
      <c r="I1111" s="92"/>
      <c r="J1111" s="93">
        <f t="shared" si="24"/>
        <v>0.23390000000006239</v>
      </c>
    </row>
    <row r="1112" spans="2:10" x14ac:dyDescent="0.2">
      <c r="B1112" s="92">
        <v>1.530556</v>
      </c>
      <c r="C1112" s="92">
        <v>740.17049999999995</v>
      </c>
      <c r="D1112" s="92">
        <v>119.6992</v>
      </c>
      <c r="E1112" s="92"/>
      <c r="F1112" s="92">
        <v>1.530556</v>
      </c>
      <c r="G1112" s="92">
        <v>740.43349999999998</v>
      </c>
      <c r="H1112" s="92">
        <v>119.29170000000001</v>
      </c>
      <c r="I1112" s="92"/>
      <c r="J1112" s="93">
        <f t="shared" si="24"/>
        <v>0.26300000000003365</v>
      </c>
    </row>
    <row r="1113" spans="2:10" x14ac:dyDescent="0.2">
      <c r="B1113" s="92">
        <v>1.531944</v>
      </c>
      <c r="C1113" s="92">
        <v>740.40099999999995</v>
      </c>
      <c r="D1113" s="92">
        <v>119.7984</v>
      </c>
      <c r="E1113" s="92"/>
      <c r="F1113" s="92">
        <v>1.531944</v>
      </c>
      <c r="G1113" s="92">
        <v>740.54179999999997</v>
      </c>
      <c r="H1113" s="92">
        <v>119.398</v>
      </c>
      <c r="I1113" s="92"/>
      <c r="J1113" s="93">
        <f t="shared" si="24"/>
        <v>0.14080000000001291</v>
      </c>
    </row>
    <row r="1114" spans="2:10" x14ac:dyDescent="0.2">
      <c r="B1114" s="92">
        <v>1.5333330000000001</v>
      </c>
      <c r="C1114" s="92">
        <v>740.57529999999997</v>
      </c>
      <c r="D1114" s="92">
        <v>119.9091</v>
      </c>
      <c r="E1114" s="92"/>
      <c r="F1114" s="92">
        <v>1.5333330000000001</v>
      </c>
      <c r="G1114" s="92">
        <v>740.76130000000001</v>
      </c>
      <c r="H1114" s="92">
        <v>119.5043</v>
      </c>
      <c r="I1114" s="92"/>
      <c r="J1114" s="93">
        <f t="shared" si="24"/>
        <v>0.18600000000003547</v>
      </c>
    </row>
    <row r="1115" spans="2:10" x14ac:dyDescent="0.2">
      <c r="B1115" s="92">
        <v>1.5347219999999999</v>
      </c>
      <c r="C1115" s="92">
        <v>740.75660000000005</v>
      </c>
      <c r="D1115" s="92">
        <v>120.0149</v>
      </c>
      <c r="E1115" s="92"/>
      <c r="F1115" s="92">
        <v>1.5347219999999999</v>
      </c>
      <c r="G1115" s="92">
        <v>740.96190000000001</v>
      </c>
      <c r="H1115" s="92">
        <v>119.6172</v>
      </c>
      <c r="I1115" s="92"/>
      <c r="J1115" s="93">
        <f t="shared" si="24"/>
        <v>0.20529999999996562</v>
      </c>
    </row>
    <row r="1116" spans="2:10" x14ac:dyDescent="0.2">
      <c r="B1116" s="92">
        <v>1.536111</v>
      </c>
      <c r="C1116" s="92">
        <v>740.93489999999997</v>
      </c>
      <c r="D1116" s="92">
        <v>120.1306</v>
      </c>
      <c r="E1116" s="92"/>
      <c r="F1116" s="92">
        <v>1.536111</v>
      </c>
      <c r="G1116" s="92">
        <v>741.1336</v>
      </c>
      <c r="H1116" s="92">
        <v>119.73009999999999</v>
      </c>
      <c r="I1116" s="92"/>
      <c r="J1116" s="93">
        <f t="shared" si="24"/>
        <v>0.19870000000003074</v>
      </c>
    </row>
    <row r="1117" spans="2:10" x14ac:dyDescent="0.2">
      <c r="B1117" s="92">
        <v>1.5375000000000001</v>
      </c>
      <c r="C1117" s="92">
        <v>741.11500000000001</v>
      </c>
      <c r="D1117" s="92">
        <v>120.23480000000001</v>
      </c>
      <c r="E1117" s="92"/>
      <c r="F1117" s="92">
        <v>1.5375000000000001</v>
      </c>
      <c r="G1117" s="92">
        <v>741.33780000000002</v>
      </c>
      <c r="H1117" s="92">
        <v>119.84139999999999</v>
      </c>
      <c r="I1117" s="92"/>
      <c r="J1117" s="93">
        <f t="shared" si="24"/>
        <v>0.22280000000000655</v>
      </c>
    </row>
    <row r="1118" spans="2:10" x14ac:dyDescent="0.2">
      <c r="B1118" s="92">
        <v>1.538889</v>
      </c>
      <c r="C1118" s="92">
        <v>741.33309999999994</v>
      </c>
      <c r="D1118" s="92">
        <v>120.3455</v>
      </c>
      <c r="E1118" s="92"/>
      <c r="F1118" s="92">
        <v>1.538889</v>
      </c>
      <c r="G1118" s="92">
        <v>741.51310000000001</v>
      </c>
      <c r="H1118" s="92">
        <v>119.95269999999999</v>
      </c>
      <c r="I1118" s="92"/>
      <c r="J1118" s="93">
        <f t="shared" si="24"/>
        <v>0.18000000000006366</v>
      </c>
    </row>
    <row r="1119" spans="2:10" x14ac:dyDescent="0.2">
      <c r="B1119" s="92">
        <v>1.540278</v>
      </c>
      <c r="C1119" s="92">
        <v>741.50649999999996</v>
      </c>
      <c r="D1119" s="92">
        <v>120.44799999999999</v>
      </c>
      <c r="E1119" s="92"/>
      <c r="F1119" s="92">
        <v>1.540278</v>
      </c>
      <c r="G1119" s="92">
        <v>741.70550000000003</v>
      </c>
      <c r="H1119" s="92">
        <v>120.0673</v>
      </c>
      <c r="I1119" s="92"/>
      <c r="J1119" s="93">
        <f t="shared" si="24"/>
        <v>0.19900000000006912</v>
      </c>
    </row>
    <row r="1120" spans="2:10" x14ac:dyDescent="0.2">
      <c r="B1120" s="92">
        <v>1.5416669999999999</v>
      </c>
      <c r="C1120" s="92">
        <v>741.67430000000002</v>
      </c>
      <c r="D1120" s="92">
        <v>120.55710000000001</v>
      </c>
      <c r="E1120" s="92"/>
      <c r="F1120" s="92">
        <v>1.5416669999999999</v>
      </c>
      <c r="G1120" s="92">
        <v>741.91819999999996</v>
      </c>
      <c r="H1120" s="92">
        <v>120.17700000000001</v>
      </c>
      <c r="I1120" s="92"/>
      <c r="J1120" s="93">
        <f t="shared" si="24"/>
        <v>0.24389999999993961</v>
      </c>
    </row>
    <row r="1121" spans="2:10" x14ac:dyDescent="0.2">
      <c r="B1121" s="92">
        <v>1.543056</v>
      </c>
      <c r="C1121" s="92">
        <v>741.9212</v>
      </c>
      <c r="D1121" s="92">
        <v>120.663</v>
      </c>
      <c r="E1121" s="92"/>
      <c r="F1121" s="92">
        <v>1.543056</v>
      </c>
      <c r="G1121" s="92">
        <v>742.07119999999998</v>
      </c>
      <c r="H1121" s="92">
        <v>120.2783</v>
      </c>
      <c r="I1121" s="92"/>
      <c r="J1121" s="93">
        <f t="shared" si="24"/>
        <v>0.14999999999997726</v>
      </c>
    </row>
    <row r="1122" spans="2:10" x14ac:dyDescent="0.2">
      <c r="B1122" s="92">
        <v>1.5444439999999999</v>
      </c>
      <c r="C1122" s="92">
        <v>742.04809999999998</v>
      </c>
      <c r="D1122" s="92">
        <v>120.7754</v>
      </c>
      <c r="E1122" s="92"/>
      <c r="F1122" s="92">
        <v>1.5444439999999999</v>
      </c>
      <c r="G1122" s="92">
        <v>742.29010000000005</v>
      </c>
      <c r="H1122" s="92">
        <v>120.3896</v>
      </c>
      <c r="I1122" s="92"/>
      <c r="J1122" s="93">
        <f t="shared" si="24"/>
        <v>0.24200000000007549</v>
      </c>
    </row>
    <row r="1123" spans="2:10" x14ac:dyDescent="0.2">
      <c r="B1123" s="92">
        <v>1.545833</v>
      </c>
      <c r="C1123" s="92">
        <v>742.28679999999997</v>
      </c>
      <c r="D1123" s="92">
        <v>120.8845</v>
      </c>
      <c r="E1123" s="92"/>
      <c r="F1123" s="92">
        <v>1.545833</v>
      </c>
      <c r="G1123" s="92">
        <v>742.47310000000004</v>
      </c>
      <c r="H1123" s="92">
        <v>120.5042</v>
      </c>
      <c r="I1123" s="92"/>
      <c r="J1123" s="93">
        <f t="shared" si="24"/>
        <v>0.18630000000007385</v>
      </c>
    </row>
    <row r="1124" spans="2:10" x14ac:dyDescent="0.2">
      <c r="B1124" s="92">
        <v>1.5472220000000001</v>
      </c>
      <c r="C1124" s="92">
        <v>742.44910000000004</v>
      </c>
      <c r="D1124" s="92">
        <v>121.0003</v>
      </c>
      <c r="E1124" s="92"/>
      <c r="F1124" s="92">
        <v>1.5472220000000001</v>
      </c>
      <c r="G1124" s="92">
        <v>742.63800000000003</v>
      </c>
      <c r="H1124" s="92">
        <v>120.62050000000001</v>
      </c>
      <c r="I1124" s="92"/>
      <c r="J1124" s="93">
        <f t="shared" si="24"/>
        <v>0.18889999999998963</v>
      </c>
    </row>
    <row r="1125" spans="2:10" x14ac:dyDescent="0.2">
      <c r="B1125" s="92">
        <v>1.548611</v>
      </c>
      <c r="C1125" s="92">
        <v>742.55820000000006</v>
      </c>
      <c r="D1125" s="92">
        <v>121.1177</v>
      </c>
      <c r="E1125" s="92"/>
      <c r="F1125" s="92">
        <v>1.548611</v>
      </c>
      <c r="G1125" s="92">
        <v>742.77829999999994</v>
      </c>
      <c r="H1125" s="92">
        <v>120.7302</v>
      </c>
      <c r="I1125" s="92"/>
      <c r="J1125" s="93">
        <f t="shared" si="24"/>
        <v>0.2200999999998885</v>
      </c>
    </row>
    <row r="1126" spans="2:10" x14ac:dyDescent="0.2">
      <c r="B1126" s="92">
        <v>1.55</v>
      </c>
      <c r="C1126" s="92">
        <v>742.78359999999998</v>
      </c>
      <c r="D1126" s="92">
        <v>121.2235</v>
      </c>
      <c r="E1126" s="92"/>
      <c r="F1126" s="92">
        <v>1.55</v>
      </c>
      <c r="G1126" s="92">
        <v>742.95609999999999</v>
      </c>
      <c r="H1126" s="92">
        <v>120.8381</v>
      </c>
      <c r="I1126" s="92"/>
      <c r="J1126" s="93">
        <f t="shared" si="24"/>
        <v>0.17250000000001364</v>
      </c>
    </row>
    <row r="1127" spans="2:10" x14ac:dyDescent="0.2">
      <c r="B1127" s="92">
        <v>1.5513889999999999</v>
      </c>
      <c r="C1127" s="92">
        <v>742.97190000000001</v>
      </c>
      <c r="D1127" s="92">
        <v>121.3377</v>
      </c>
      <c r="E1127" s="92"/>
      <c r="F1127" s="92">
        <v>1.5513889999999999</v>
      </c>
      <c r="G1127" s="92">
        <v>743.1463</v>
      </c>
      <c r="H1127" s="92">
        <v>120.9495</v>
      </c>
      <c r="I1127" s="92"/>
      <c r="J1127" s="93">
        <f t="shared" si="24"/>
        <v>0.17439999999999145</v>
      </c>
    </row>
    <row r="1128" spans="2:10" x14ac:dyDescent="0.2">
      <c r="B1128" s="92">
        <v>1.552778</v>
      </c>
      <c r="C1128" s="92">
        <v>743.09630000000004</v>
      </c>
      <c r="D1128" s="92">
        <v>121.4468</v>
      </c>
      <c r="E1128" s="92"/>
      <c r="F1128" s="92">
        <v>1.552778</v>
      </c>
      <c r="G1128" s="92">
        <v>743.32190000000003</v>
      </c>
      <c r="H1128" s="92">
        <v>121.0608</v>
      </c>
      <c r="I1128" s="92"/>
      <c r="J1128" s="93">
        <f t="shared" si="24"/>
        <v>0.22559999999998581</v>
      </c>
    </row>
    <row r="1129" spans="2:10" x14ac:dyDescent="0.2">
      <c r="B1129" s="92">
        <v>1.5541670000000001</v>
      </c>
      <c r="C1129" s="92">
        <v>743.23170000000005</v>
      </c>
      <c r="D1129" s="92">
        <v>121.556</v>
      </c>
      <c r="E1129" s="92"/>
      <c r="F1129" s="92">
        <v>1.5541670000000001</v>
      </c>
      <c r="G1129" s="92">
        <v>743.52449999999999</v>
      </c>
      <c r="H1129" s="92">
        <v>121.1754</v>
      </c>
      <c r="I1129" s="92"/>
      <c r="J1129" s="93">
        <f t="shared" si="24"/>
        <v>0.29279999999994288</v>
      </c>
    </row>
    <row r="1130" spans="2:10" x14ac:dyDescent="0.2">
      <c r="B1130" s="92">
        <v>1.5555559999999999</v>
      </c>
      <c r="C1130" s="92">
        <v>743.45939999999996</v>
      </c>
      <c r="D1130" s="92">
        <v>121.6784</v>
      </c>
      <c r="E1130" s="92"/>
      <c r="F1130" s="92">
        <v>1.5555559999999999</v>
      </c>
      <c r="G1130" s="92">
        <v>743.66890000000001</v>
      </c>
      <c r="H1130" s="92">
        <v>121.2901</v>
      </c>
      <c r="I1130" s="92"/>
      <c r="J1130" s="93">
        <f t="shared" si="24"/>
        <v>0.2095000000000482</v>
      </c>
    </row>
    <row r="1131" spans="2:10" x14ac:dyDescent="0.2">
      <c r="B1131" s="92">
        <v>1.5569440000000001</v>
      </c>
      <c r="C1131" s="92">
        <v>743.6232</v>
      </c>
      <c r="D1131" s="92">
        <v>121.7959</v>
      </c>
      <c r="E1131" s="92"/>
      <c r="F1131" s="92">
        <v>1.5569440000000001</v>
      </c>
      <c r="G1131" s="92">
        <v>743.86189999999999</v>
      </c>
      <c r="H1131" s="92">
        <v>121.40470000000001</v>
      </c>
      <c r="I1131" s="92"/>
      <c r="J1131" s="93">
        <f t="shared" si="24"/>
        <v>0.23869999999999436</v>
      </c>
    </row>
    <row r="1132" spans="2:10" x14ac:dyDescent="0.2">
      <c r="B1132" s="92">
        <v>1.558333</v>
      </c>
      <c r="C1132" s="92">
        <v>743.83879999999999</v>
      </c>
      <c r="D1132" s="92">
        <v>121.9166</v>
      </c>
      <c r="E1132" s="92"/>
      <c r="F1132" s="92">
        <v>1.558333</v>
      </c>
      <c r="G1132" s="92">
        <v>744.02719999999999</v>
      </c>
      <c r="H1132" s="92">
        <v>121.521</v>
      </c>
      <c r="I1132" s="92"/>
      <c r="J1132" s="93">
        <f t="shared" si="24"/>
        <v>0.18840000000000146</v>
      </c>
    </row>
    <row r="1133" spans="2:10" x14ac:dyDescent="0.2">
      <c r="B1133" s="92">
        <v>1.5597220000000001</v>
      </c>
      <c r="C1133" s="92">
        <v>743.97670000000005</v>
      </c>
      <c r="D1133" s="92">
        <v>122.03570000000001</v>
      </c>
      <c r="E1133" s="92"/>
      <c r="F1133" s="92">
        <v>1.5597220000000001</v>
      </c>
      <c r="G1133" s="92">
        <v>744.21360000000004</v>
      </c>
      <c r="H1133" s="92">
        <v>121.64570000000001</v>
      </c>
      <c r="I1133" s="92"/>
      <c r="J1133" s="93">
        <f t="shared" si="24"/>
        <v>0.23689999999999145</v>
      </c>
    </row>
    <row r="1134" spans="2:10" x14ac:dyDescent="0.2">
      <c r="B1134" s="92">
        <v>1.5611109999999999</v>
      </c>
      <c r="C1134" s="92">
        <v>744.20330000000001</v>
      </c>
      <c r="D1134" s="92">
        <v>122.15649999999999</v>
      </c>
      <c r="E1134" s="92"/>
      <c r="F1134" s="92">
        <v>1.5611109999999999</v>
      </c>
      <c r="G1134" s="92">
        <v>744.3886</v>
      </c>
      <c r="H1134" s="92">
        <v>121.762</v>
      </c>
      <c r="I1134" s="92"/>
      <c r="J1134" s="93">
        <f t="shared" si="24"/>
        <v>0.18529999999998381</v>
      </c>
    </row>
    <row r="1135" spans="2:10" x14ac:dyDescent="0.2">
      <c r="B1135" s="92">
        <v>1.5625</v>
      </c>
      <c r="C1135" s="92">
        <v>744.3125</v>
      </c>
      <c r="D1135" s="92">
        <v>122.28060000000001</v>
      </c>
      <c r="E1135" s="92"/>
      <c r="F1135" s="92">
        <v>1.5625</v>
      </c>
      <c r="G1135" s="92">
        <v>744.55309999999997</v>
      </c>
      <c r="H1135" s="92">
        <v>121.88330000000001</v>
      </c>
      <c r="I1135" s="92"/>
      <c r="J1135" s="93">
        <f t="shared" si="24"/>
        <v>0.24059999999997217</v>
      </c>
    </row>
    <row r="1136" spans="2:10" x14ac:dyDescent="0.2">
      <c r="B1136" s="92">
        <v>1.5638890000000001</v>
      </c>
      <c r="C1136" s="92">
        <v>744.51859999999999</v>
      </c>
      <c r="D1136" s="92">
        <v>122.40300000000001</v>
      </c>
      <c r="E1136" s="92"/>
      <c r="F1136" s="92">
        <v>1.5638890000000001</v>
      </c>
      <c r="G1136" s="92">
        <v>744.71019999999999</v>
      </c>
      <c r="H1136" s="92">
        <v>122.0013</v>
      </c>
      <c r="I1136" s="92"/>
      <c r="J1136" s="93">
        <f t="shared" si="24"/>
        <v>0.191599999999994</v>
      </c>
    </row>
    <row r="1137" spans="2:10" x14ac:dyDescent="0.2">
      <c r="B1137" s="92">
        <v>1.5652779999999999</v>
      </c>
      <c r="C1137" s="92">
        <v>744.63620000000003</v>
      </c>
      <c r="D1137" s="92">
        <v>122.52379999999999</v>
      </c>
      <c r="E1137" s="92"/>
      <c r="F1137" s="92">
        <v>1.5652779999999999</v>
      </c>
      <c r="G1137" s="92">
        <v>744.89279999999997</v>
      </c>
      <c r="H1137" s="92">
        <v>122.121</v>
      </c>
      <c r="I1137" s="92"/>
      <c r="J1137" s="93">
        <f t="shared" si="24"/>
        <v>0.25659999999993488</v>
      </c>
    </row>
    <row r="1138" spans="2:10" x14ac:dyDescent="0.2">
      <c r="B1138" s="92">
        <v>1.566667</v>
      </c>
      <c r="C1138" s="92">
        <v>744.85590000000002</v>
      </c>
      <c r="D1138" s="92">
        <v>122.64960000000001</v>
      </c>
      <c r="E1138" s="92"/>
      <c r="F1138" s="92">
        <v>1.566667</v>
      </c>
      <c r="G1138" s="92">
        <v>745.06709999999998</v>
      </c>
      <c r="H1138" s="92">
        <v>122.2423</v>
      </c>
      <c r="I1138" s="92"/>
      <c r="J1138" s="93">
        <f t="shared" si="24"/>
        <v>0.21119999999996253</v>
      </c>
    </row>
    <row r="1139" spans="2:10" x14ac:dyDescent="0.2">
      <c r="B1139" s="92">
        <v>1.5680559999999999</v>
      </c>
      <c r="C1139" s="92">
        <v>745.05</v>
      </c>
      <c r="D1139" s="92">
        <v>122.7704</v>
      </c>
      <c r="E1139" s="92"/>
      <c r="F1139" s="92">
        <v>1.5680559999999999</v>
      </c>
      <c r="G1139" s="92">
        <v>745.20929999999998</v>
      </c>
      <c r="H1139" s="92">
        <v>122.372</v>
      </c>
      <c r="I1139" s="92"/>
      <c r="J1139" s="93">
        <f t="shared" si="24"/>
        <v>0.1593000000000302</v>
      </c>
    </row>
    <row r="1140" spans="2:10" x14ac:dyDescent="0.2">
      <c r="B1140" s="92">
        <v>1.5694440000000001</v>
      </c>
      <c r="C1140" s="92">
        <v>745.15099999999995</v>
      </c>
      <c r="D1140" s="92">
        <v>122.8978</v>
      </c>
      <c r="E1140" s="92"/>
      <c r="F1140" s="92">
        <v>1.5694440000000001</v>
      </c>
      <c r="G1140" s="92">
        <v>745.26549999999997</v>
      </c>
      <c r="H1140" s="92">
        <v>122.485</v>
      </c>
      <c r="I1140" s="92"/>
      <c r="J1140" s="93">
        <f t="shared" si="24"/>
        <v>0.11450000000002092</v>
      </c>
    </row>
    <row r="1141" spans="2:10" x14ac:dyDescent="0.2">
      <c r="B1141" s="92">
        <v>1.5708329999999999</v>
      </c>
      <c r="C1141" s="92">
        <v>745.15940000000001</v>
      </c>
      <c r="D1141" s="92">
        <v>123.0187</v>
      </c>
      <c r="E1141" s="92"/>
      <c r="F1141" s="92">
        <v>1.5708329999999999</v>
      </c>
      <c r="G1141" s="92">
        <v>745.24459999999999</v>
      </c>
      <c r="H1141" s="92">
        <v>122.60469999999999</v>
      </c>
      <c r="I1141" s="92"/>
      <c r="J1141" s="93">
        <f t="shared" si="24"/>
        <v>8.5199999999986176E-2</v>
      </c>
    </row>
    <row r="1142" spans="2:10" x14ac:dyDescent="0.2">
      <c r="B1142" s="92">
        <v>1.572222</v>
      </c>
      <c r="C1142" s="92">
        <v>745.14329999999995</v>
      </c>
      <c r="D1142" s="92">
        <v>123.1362</v>
      </c>
      <c r="E1142" s="92"/>
      <c r="F1142" s="92">
        <v>1.572222</v>
      </c>
      <c r="G1142" s="92">
        <v>745.24919999999997</v>
      </c>
      <c r="H1142" s="92">
        <v>122.7077</v>
      </c>
      <c r="I1142" s="92"/>
      <c r="J1142" s="93">
        <f t="shared" si="24"/>
        <v>0.10590000000001965</v>
      </c>
    </row>
    <row r="1143" spans="2:10" x14ac:dyDescent="0.2">
      <c r="B1143" s="92">
        <v>1.5736110000000001</v>
      </c>
      <c r="C1143" s="92">
        <v>745.16740000000004</v>
      </c>
      <c r="D1143" s="92">
        <v>123.2355</v>
      </c>
      <c r="E1143" s="92"/>
      <c r="F1143" s="92">
        <v>1.5736110000000001</v>
      </c>
      <c r="G1143" s="92">
        <v>745.26700000000005</v>
      </c>
      <c r="H1143" s="92">
        <v>122.7908</v>
      </c>
      <c r="I1143" s="92"/>
      <c r="J1143" s="93">
        <f t="shared" si="24"/>
        <v>9.9600000000009459E-2</v>
      </c>
    </row>
    <row r="1144" spans="2:10" x14ac:dyDescent="0.2">
      <c r="B1144" s="92">
        <v>1.575</v>
      </c>
      <c r="C1144" s="92">
        <v>745.14319999999998</v>
      </c>
      <c r="D1144" s="92">
        <v>123.3083</v>
      </c>
      <c r="E1144" s="92"/>
      <c r="F1144" s="92">
        <v>1.575</v>
      </c>
      <c r="G1144" s="92">
        <v>745.22299999999996</v>
      </c>
      <c r="H1144" s="92">
        <v>122.8573</v>
      </c>
      <c r="I1144" s="92"/>
      <c r="J1144" s="93">
        <f t="shared" si="24"/>
        <v>7.9799999999977445E-2</v>
      </c>
    </row>
    <row r="1145" spans="2:10" x14ac:dyDescent="0.2">
      <c r="B1145" s="92">
        <v>1.576389</v>
      </c>
      <c r="C1145" s="92">
        <v>745.11940000000004</v>
      </c>
      <c r="D1145" s="92">
        <v>123.36790000000001</v>
      </c>
      <c r="E1145" s="92"/>
      <c r="F1145" s="92">
        <v>1.576389</v>
      </c>
      <c r="G1145" s="92">
        <v>745.22619999999995</v>
      </c>
      <c r="H1145" s="92">
        <v>122.90389999999999</v>
      </c>
      <c r="I1145" s="92"/>
      <c r="J1145" s="93">
        <f t="shared" si="24"/>
        <v>0.10679999999990741</v>
      </c>
    </row>
    <row r="1146" spans="2:10" x14ac:dyDescent="0.2">
      <c r="B1146" s="92">
        <v>1.5777779999999999</v>
      </c>
      <c r="C1146" s="92">
        <v>745.15440000000001</v>
      </c>
      <c r="D1146" s="92">
        <v>123.4259</v>
      </c>
      <c r="E1146" s="92"/>
      <c r="F1146" s="92">
        <v>1.5777779999999999</v>
      </c>
      <c r="G1146" s="92">
        <v>745.24390000000005</v>
      </c>
      <c r="H1146" s="92">
        <v>122.9504</v>
      </c>
      <c r="I1146" s="92"/>
      <c r="J1146" s="93">
        <f t="shared" si="24"/>
        <v>8.9500000000043656E-2</v>
      </c>
    </row>
    <row r="1147" spans="2:10" x14ac:dyDescent="0.2">
      <c r="B1147" s="92">
        <v>1.579167</v>
      </c>
      <c r="C1147" s="92">
        <v>745.13229999999999</v>
      </c>
      <c r="D1147" s="92">
        <v>123.4739</v>
      </c>
      <c r="E1147" s="92"/>
      <c r="F1147" s="92">
        <v>1.579167</v>
      </c>
      <c r="G1147" s="92">
        <v>745.25720000000001</v>
      </c>
      <c r="H1147" s="92">
        <v>122.9853</v>
      </c>
      <c r="I1147" s="92"/>
      <c r="J1147" s="93">
        <f t="shared" si="24"/>
        <v>0.1249000000000251</v>
      </c>
    </row>
    <row r="1148" spans="2:10" x14ac:dyDescent="0.2">
      <c r="B1148" s="92">
        <v>1.5805560000000001</v>
      </c>
      <c r="C1148" s="92">
        <v>745.09270000000004</v>
      </c>
      <c r="D1148" s="92">
        <v>123.5136</v>
      </c>
      <c r="E1148" s="92"/>
      <c r="F1148" s="92">
        <v>1.5805560000000001</v>
      </c>
      <c r="G1148" s="92">
        <v>745.26869999999997</v>
      </c>
      <c r="H1148" s="92">
        <v>123.0119</v>
      </c>
      <c r="I1148" s="92"/>
      <c r="J1148" s="93">
        <f t="shared" si="24"/>
        <v>0.17599999999993088</v>
      </c>
    </row>
    <row r="1149" spans="2:10" x14ac:dyDescent="0.2">
      <c r="B1149" s="92">
        <v>1.581944</v>
      </c>
      <c r="C1149" s="92">
        <v>745.15989999999999</v>
      </c>
      <c r="D1149" s="92">
        <v>123.55</v>
      </c>
      <c r="E1149" s="92"/>
      <c r="F1149" s="92">
        <v>1.581944</v>
      </c>
      <c r="G1149" s="92">
        <v>745.22640000000001</v>
      </c>
      <c r="H1149" s="92">
        <v>123.0502</v>
      </c>
      <c r="I1149" s="92"/>
      <c r="J1149" s="93">
        <f t="shared" si="24"/>
        <v>6.6500000000019099E-2</v>
      </c>
    </row>
    <row r="1150" spans="2:10" x14ac:dyDescent="0.2">
      <c r="B1150" s="92">
        <v>1.5833330000000001</v>
      </c>
      <c r="C1150" s="92">
        <v>745.17690000000005</v>
      </c>
      <c r="D1150" s="92">
        <v>123.5715</v>
      </c>
      <c r="E1150" s="92"/>
      <c r="F1150" s="92">
        <v>1.5833330000000001</v>
      </c>
      <c r="G1150" s="92">
        <v>745.26170000000002</v>
      </c>
      <c r="H1150" s="92">
        <v>123.0701</v>
      </c>
      <c r="I1150" s="92"/>
      <c r="J1150" s="93">
        <f t="shared" si="24"/>
        <v>8.4799999999972897E-2</v>
      </c>
    </row>
    <row r="1151" spans="2:10" x14ac:dyDescent="0.2">
      <c r="B1151" s="92">
        <v>1.584722</v>
      </c>
      <c r="C1151" s="92">
        <v>745.20169999999996</v>
      </c>
      <c r="D1151" s="92">
        <v>123.6096</v>
      </c>
      <c r="E1151" s="92"/>
      <c r="F1151" s="92">
        <v>1.584722</v>
      </c>
      <c r="G1151" s="92">
        <v>745.22159999999997</v>
      </c>
      <c r="H1151" s="92">
        <v>123.08669999999999</v>
      </c>
      <c r="I1151" s="92"/>
      <c r="J1151" s="93">
        <f t="shared" si="24"/>
        <v>1.9900000000006912E-2</v>
      </c>
    </row>
    <row r="1152" spans="2:10" x14ac:dyDescent="0.2">
      <c r="B1152" s="92">
        <v>1.586111</v>
      </c>
      <c r="C1152" s="92">
        <v>745.15750000000003</v>
      </c>
      <c r="D1152" s="92">
        <v>123.6229</v>
      </c>
      <c r="E1152" s="92"/>
      <c r="F1152" s="92">
        <v>1.586111</v>
      </c>
      <c r="G1152" s="92">
        <v>745.24059999999997</v>
      </c>
      <c r="H1152" s="92">
        <v>123.11669999999999</v>
      </c>
      <c r="I1152" s="92"/>
      <c r="J1152" s="93">
        <f t="shared" si="24"/>
        <v>8.3099999999944885E-2</v>
      </c>
    </row>
    <row r="1153" spans="2:10" x14ac:dyDescent="0.2">
      <c r="B1153" s="92">
        <v>1.5874999999999999</v>
      </c>
      <c r="C1153" s="92">
        <v>745.19069999999999</v>
      </c>
      <c r="D1153" s="92">
        <v>123.651</v>
      </c>
      <c r="E1153" s="92"/>
      <c r="F1153" s="92">
        <v>1.5874999999999999</v>
      </c>
      <c r="G1153" s="92">
        <v>745.27149999999995</v>
      </c>
      <c r="H1153" s="92">
        <v>123.125</v>
      </c>
      <c r="I1153" s="92"/>
      <c r="J1153" s="93">
        <f t="shared" si="24"/>
        <v>8.0799999999953798E-2</v>
      </c>
    </row>
    <row r="1154" spans="2:10" x14ac:dyDescent="0.2">
      <c r="B1154" s="92">
        <v>1.588889</v>
      </c>
      <c r="C1154" s="92">
        <v>745.19119999999998</v>
      </c>
      <c r="D1154" s="92">
        <v>123.67919999999999</v>
      </c>
      <c r="E1154" s="92"/>
      <c r="F1154" s="92">
        <v>1.588889</v>
      </c>
      <c r="G1154" s="92">
        <v>745.27509999999995</v>
      </c>
      <c r="H1154" s="92">
        <v>123.1416</v>
      </c>
      <c r="I1154" s="92"/>
      <c r="J1154" s="93">
        <f t="shared" si="24"/>
        <v>8.3899999999971442E-2</v>
      </c>
    </row>
    <row r="1155" spans="2:10" x14ac:dyDescent="0.2">
      <c r="B1155" s="92">
        <v>1.5902780000000001</v>
      </c>
      <c r="C1155" s="92">
        <v>745.17589999999996</v>
      </c>
      <c r="D1155" s="92">
        <v>123.6874</v>
      </c>
      <c r="E1155" s="92"/>
      <c r="F1155" s="92">
        <v>1.5902780000000001</v>
      </c>
      <c r="G1155" s="92">
        <v>745.27290000000005</v>
      </c>
      <c r="H1155" s="92">
        <v>123.1632</v>
      </c>
      <c r="I1155" s="92"/>
      <c r="J1155" s="93">
        <f t="shared" si="24"/>
        <v>9.7000000000093678E-2</v>
      </c>
    </row>
    <row r="1156" spans="2:10" x14ac:dyDescent="0.2">
      <c r="B1156" s="92">
        <v>1.5916669999999999</v>
      </c>
      <c r="C1156" s="92">
        <v>745.10940000000005</v>
      </c>
      <c r="D1156" s="92">
        <v>123.7139</v>
      </c>
      <c r="E1156" s="92"/>
      <c r="F1156" s="92">
        <v>1.5916669999999999</v>
      </c>
      <c r="G1156" s="92">
        <v>745.2509</v>
      </c>
      <c r="H1156" s="92">
        <v>123.1782</v>
      </c>
      <c r="I1156" s="92"/>
      <c r="J1156" s="93">
        <f t="shared" si="24"/>
        <v>0.14149999999995089</v>
      </c>
    </row>
    <row r="1157" spans="2:10" x14ac:dyDescent="0.2">
      <c r="B1157" s="92">
        <v>1.593056</v>
      </c>
      <c r="C1157" s="92">
        <v>745.15549999999996</v>
      </c>
      <c r="D1157" s="92">
        <v>123.7239</v>
      </c>
      <c r="E1157" s="92"/>
      <c r="F1157" s="92">
        <v>1.593056</v>
      </c>
      <c r="G1157" s="92">
        <v>745.29200000000003</v>
      </c>
      <c r="H1157" s="92">
        <v>123.1931</v>
      </c>
      <c r="I1157" s="92"/>
      <c r="J1157" s="93">
        <f t="shared" si="24"/>
        <v>0.13650000000006912</v>
      </c>
    </row>
    <row r="1158" spans="2:10" x14ac:dyDescent="0.2">
      <c r="B1158" s="92">
        <v>1.594444</v>
      </c>
      <c r="C1158" s="92">
        <v>745.14369999999997</v>
      </c>
      <c r="D1158" s="92">
        <v>123.7503</v>
      </c>
      <c r="E1158" s="92"/>
      <c r="F1158" s="92">
        <v>1.594444</v>
      </c>
      <c r="G1158" s="92">
        <v>745.22310000000004</v>
      </c>
      <c r="H1158" s="92">
        <v>123.1981</v>
      </c>
      <c r="I1158" s="92"/>
      <c r="J1158" s="93">
        <f t="shared" si="24"/>
        <v>7.9400000000077853E-2</v>
      </c>
    </row>
    <row r="1159" spans="2:10" x14ac:dyDescent="0.2">
      <c r="B1159" s="92">
        <v>1.5958330000000001</v>
      </c>
      <c r="C1159" s="92">
        <v>745.15030000000002</v>
      </c>
      <c r="D1159" s="92">
        <v>123.7586</v>
      </c>
      <c r="E1159" s="92"/>
      <c r="F1159" s="92">
        <v>1.5958330000000001</v>
      </c>
      <c r="G1159" s="92">
        <v>745.23149999999998</v>
      </c>
      <c r="H1159" s="92">
        <v>123.21469999999999</v>
      </c>
      <c r="I1159" s="92"/>
      <c r="J1159" s="93">
        <f t="shared" si="24"/>
        <v>8.1199999999967076E-2</v>
      </c>
    </row>
    <row r="1160" spans="2:10" x14ac:dyDescent="0.2">
      <c r="B1160" s="92">
        <v>1.5972219999999999</v>
      </c>
      <c r="C1160" s="92">
        <v>745.1481</v>
      </c>
      <c r="D1160" s="92">
        <v>123.7835</v>
      </c>
      <c r="E1160" s="92"/>
      <c r="F1160" s="92">
        <v>1.5972219999999999</v>
      </c>
      <c r="G1160" s="92">
        <v>745.22889999999995</v>
      </c>
      <c r="H1160" s="92">
        <v>123.22969999999999</v>
      </c>
      <c r="I1160" s="92"/>
      <c r="J1160" s="93">
        <f t="shared" si="24"/>
        <v>8.0799999999953798E-2</v>
      </c>
    </row>
    <row r="1161" spans="2:10" x14ac:dyDescent="0.2">
      <c r="B1161" s="92">
        <v>1.598611</v>
      </c>
      <c r="C1161" s="92">
        <v>745.13260000000002</v>
      </c>
      <c r="D1161" s="92">
        <v>123.7984</v>
      </c>
      <c r="E1161" s="92"/>
      <c r="F1161" s="92">
        <v>1.598611</v>
      </c>
      <c r="G1161" s="92">
        <v>745.24879999999996</v>
      </c>
      <c r="H1161" s="92">
        <v>123.2364</v>
      </c>
      <c r="I1161" s="92"/>
      <c r="J1161" s="93">
        <f t="shared" si="24"/>
        <v>0.11619999999993524</v>
      </c>
    </row>
    <row r="1162" spans="2:10" x14ac:dyDescent="0.2">
      <c r="B1162" s="92">
        <v>1.6</v>
      </c>
      <c r="C1162" s="92">
        <v>745.10350000000005</v>
      </c>
      <c r="D1162" s="92">
        <v>123.81</v>
      </c>
      <c r="E1162" s="92"/>
      <c r="F1162" s="92">
        <v>1.6</v>
      </c>
      <c r="G1162" s="92">
        <v>745.23649999999998</v>
      </c>
      <c r="H1162" s="92">
        <v>123.2513</v>
      </c>
      <c r="I1162" s="92"/>
      <c r="J1162" s="93">
        <f t="shared" si="24"/>
        <v>0.13299999999992451</v>
      </c>
    </row>
    <row r="1163" spans="2:10" x14ac:dyDescent="0.2">
      <c r="B1163" s="92">
        <v>1.601389</v>
      </c>
      <c r="C1163" s="92">
        <v>745.13040000000001</v>
      </c>
      <c r="D1163" s="92">
        <v>123.8232</v>
      </c>
      <c r="E1163" s="92"/>
      <c r="F1163" s="92">
        <v>1.601389</v>
      </c>
      <c r="G1163" s="92">
        <v>745.27710000000002</v>
      </c>
      <c r="H1163" s="92">
        <v>123.25960000000001</v>
      </c>
      <c r="I1163" s="92"/>
      <c r="J1163" s="93">
        <f t="shared" ref="J1163:J1226" si="25">+ABS(G1163-C1163)</f>
        <v>0.14670000000000982</v>
      </c>
    </row>
    <row r="1164" spans="2:10" x14ac:dyDescent="0.2">
      <c r="B1164" s="92">
        <v>1.602778</v>
      </c>
      <c r="C1164" s="92">
        <v>745.14480000000003</v>
      </c>
      <c r="D1164" s="92">
        <v>123.84139999999999</v>
      </c>
      <c r="E1164" s="92"/>
      <c r="F1164" s="92">
        <v>1.602778</v>
      </c>
      <c r="G1164" s="92">
        <v>745.27049999999997</v>
      </c>
      <c r="H1164" s="92">
        <v>123.2696</v>
      </c>
      <c r="I1164" s="92"/>
      <c r="J1164" s="93">
        <f t="shared" si="25"/>
        <v>0.12569999999993797</v>
      </c>
    </row>
    <row r="1165" spans="2:10" x14ac:dyDescent="0.2">
      <c r="B1165" s="92">
        <v>1.6041669999999999</v>
      </c>
      <c r="C1165" s="92">
        <v>745.13480000000004</v>
      </c>
      <c r="D1165" s="92">
        <v>123.8563</v>
      </c>
      <c r="E1165" s="92"/>
      <c r="F1165" s="92">
        <v>1.6041669999999999</v>
      </c>
      <c r="G1165" s="92">
        <v>745.22329999999999</v>
      </c>
      <c r="H1165" s="92">
        <v>123.28959999999999</v>
      </c>
      <c r="I1165" s="92"/>
      <c r="J1165" s="93">
        <f t="shared" si="25"/>
        <v>8.8499999999953616E-2</v>
      </c>
    </row>
    <row r="1166" spans="2:10" x14ac:dyDescent="0.2">
      <c r="B1166" s="92">
        <v>1.605556</v>
      </c>
      <c r="C1166" s="92">
        <v>745.16319999999996</v>
      </c>
      <c r="D1166" s="92">
        <v>123.8646</v>
      </c>
      <c r="E1166" s="92"/>
      <c r="F1166" s="92">
        <v>1.605556</v>
      </c>
      <c r="G1166" s="92">
        <v>745.26610000000005</v>
      </c>
      <c r="H1166" s="92">
        <v>123.2946</v>
      </c>
      <c r="I1166" s="92"/>
      <c r="J1166" s="93">
        <f t="shared" si="25"/>
        <v>0.10290000000009059</v>
      </c>
    </row>
    <row r="1167" spans="2:10" x14ac:dyDescent="0.2">
      <c r="B1167" s="92">
        <v>1.6069439999999999</v>
      </c>
      <c r="C1167" s="92">
        <v>745.18200000000002</v>
      </c>
      <c r="D1167" s="92">
        <v>123.8745</v>
      </c>
      <c r="E1167" s="92"/>
      <c r="F1167" s="92">
        <v>1.6069439999999999</v>
      </c>
      <c r="G1167" s="92">
        <v>745.22990000000004</v>
      </c>
      <c r="H1167" s="92">
        <v>123.2979</v>
      </c>
      <c r="I1167" s="92"/>
      <c r="J1167" s="93">
        <f t="shared" si="25"/>
        <v>4.7900000000026921E-2</v>
      </c>
    </row>
    <row r="1168" spans="2:10" x14ac:dyDescent="0.2">
      <c r="B1168" s="92">
        <v>1.608333</v>
      </c>
      <c r="C1168" s="92">
        <v>745.17200000000003</v>
      </c>
      <c r="D1168" s="92">
        <v>123.88939999999999</v>
      </c>
      <c r="E1168" s="92"/>
      <c r="F1168" s="92">
        <v>1.608333</v>
      </c>
      <c r="G1168" s="92">
        <v>745.26260000000002</v>
      </c>
      <c r="H1168" s="92">
        <v>123.3145</v>
      </c>
      <c r="I1168" s="92"/>
      <c r="J1168" s="93">
        <f t="shared" si="25"/>
        <v>9.0599999999994907E-2</v>
      </c>
    </row>
    <row r="1169" spans="2:10" x14ac:dyDescent="0.2">
      <c r="B1169" s="92">
        <v>1.6097220000000001</v>
      </c>
      <c r="C1169" s="92">
        <v>745.154</v>
      </c>
      <c r="D1169" s="92">
        <v>123.8944</v>
      </c>
      <c r="E1169" s="92"/>
      <c r="F1169" s="92">
        <v>1.6097220000000001</v>
      </c>
      <c r="G1169" s="92">
        <v>745.20429999999999</v>
      </c>
      <c r="H1169" s="92">
        <v>123.3145</v>
      </c>
      <c r="I1169" s="92"/>
      <c r="J1169" s="93">
        <f t="shared" si="25"/>
        <v>5.0299999999992906E-2</v>
      </c>
    </row>
    <row r="1170" spans="2:10" x14ac:dyDescent="0.2">
      <c r="B1170" s="92">
        <v>1.611111</v>
      </c>
      <c r="C1170" s="92">
        <v>745.13329999999996</v>
      </c>
      <c r="D1170" s="92">
        <v>123.9027</v>
      </c>
      <c r="E1170" s="92"/>
      <c r="F1170" s="92">
        <v>1.611111</v>
      </c>
      <c r="G1170" s="92">
        <v>745.23440000000005</v>
      </c>
      <c r="H1170" s="92">
        <v>123.3278</v>
      </c>
      <c r="I1170" s="92"/>
      <c r="J1170" s="93">
        <f t="shared" si="25"/>
        <v>0.10110000000008768</v>
      </c>
    </row>
    <row r="1171" spans="2:10" x14ac:dyDescent="0.2">
      <c r="B1171" s="92">
        <v>1.6125</v>
      </c>
      <c r="C1171" s="92">
        <v>745.15049999999997</v>
      </c>
      <c r="D1171" s="92">
        <v>123.91759999999999</v>
      </c>
      <c r="E1171" s="92"/>
      <c r="F1171" s="92">
        <v>1.6125</v>
      </c>
      <c r="G1171" s="92">
        <v>745.26840000000004</v>
      </c>
      <c r="H1171" s="92">
        <v>123.34610000000001</v>
      </c>
      <c r="I1171" s="92"/>
      <c r="J1171" s="93">
        <f t="shared" si="25"/>
        <v>0.11790000000007694</v>
      </c>
    </row>
    <row r="1172" spans="2:10" x14ac:dyDescent="0.2">
      <c r="B1172" s="92">
        <v>1.6138889999999999</v>
      </c>
      <c r="C1172" s="92">
        <v>745.18579999999997</v>
      </c>
      <c r="D1172" s="92">
        <v>123.92749999999999</v>
      </c>
      <c r="E1172" s="92"/>
      <c r="F1172" s="92">
        <v>1.6138889999999999</v>
      </c>
      <c r="G1172" s="92">
        <v>745.26220000000001</v>
      </c>
      <c r="H1172" s="92">
        <v>123.34439999999999</v>
      </c>
      <c r="I1172" s="92"/>
      <c r="J1172" s="93">
        <f t="shared" si="25"/>
        <v>7.6400000000035106E-2</v>
      </c>
    </row>
    <row r="1173" spans="2:10" x14ac:dyDescent="0.2">
      <c r="B1173" s="92">
        <v>1.615278</v>
      </c>
      <c r="C1173" s="92">
        <v>745.20719999999994</v>
      </c>
      <c r="D1173" s="92">
        <v>123.9408</v>
      </c>
      <c r="E1173" s="92"/>
      <c r="F1173" s="92">
        <v>1.615278</v>
      </c>
      <c r="G1173" s="92">
        <v>745.2269</v>
      </c>
      <c r="H1173" s="92">
        <v>123.36109999999999</v>
      </c>
      <c r="I1173" s="92"/>
      <c r="J1173" s="93">
        <f t="shared" si="25"/>
        <v>1.9700000000057116E-2</v>
      </c>
    </row>
    <row r="1174" spans="2:10" x14ac:dyDescent="0.2">
      <c r="B1174" s="92">
        <v>1.6166670000000001</v>
      </c>
      <c r="C1174" s="92">
        <v>745.14949999999999</v>
      </c>
      <c r="D1174" s="92">
        <v>123.9507</v>
      </c>
      <c r="E1174" s="92"/>
      <c r="F1174" s="92">
        <v>1.6166670000000001</v>
      </c>
      <c r="G1174" s="92">
        <v>745.24059999999997</v>
      </c>
      <c r="H1174" s="92">
        <v>123.366</v>
      </c>
      <c r="I1174" s="92"/>
      <c r="J1174" s="93">
        <f t="shared" si="25"/>
        <v>9.1099999999983083E-2</v>
      </c>
    </row>
    <row r="1175" spans="2:10" x14ac:dyDescent="0.2">
      <c r="B1175" s="92">
        <v>1.6180559999999999</v>
      </c>
      <c r="C1175" s="92">
        <v>745.21349999999995</v>
      </c>
      <c r="D1175" s="92">
        <v>123.95569999999999</v>
      </c>
      <c r="E1175" s="92"/>
      <c r="F1175" s="92">
        <v>1.6180559999999999</v>
      </c>
      <c r="G1175" s="92">
        <v>745.25210000000004</v>
      </c>
      <c r="H1175" s="92">
        <v>123.37439999999999</v>
      </c>
      <c r="I1175" s="92"/>
      <c r="J1175" s="93">
        <f t="shared" si="25"/>
        <v>3.8600000000087675E-2</v>
      </c>
    </row>
    <row r="1176" spans="2:10" x14ac:dyDescent="0.2">
      <c r="B1176" s="92">
        <v>1.6194440000000001</v>
      </c>
      <c r="C1176" s="92">
        <v>745.14509999999996</v>
      </c>
      <c r="D1176" s="92">
        <v>123.959</v>
      </c>
      <c r="E1176" s="92"/>
      <c r="F1176" s="92">
        <v>1.6194440000000001</v>
      </c>
      <c r="G1176" s="92">
        <v>745.24900000000002</v>
      </c>
      <c r="H1176" s="92">
        <v>123.3827</v>
      </c>
      <c r="I1176" s="92"/>
      <c r="J1176" s="93">
        <f t="shared" si="25"/>
        <v>0.10390000000006694</v>
      </c>
    </row>
    <row r="1177" spans="2:10" x14ac:dyDescent="0.2">
      <c r="B1177" s="92">
        <v>1.620833</v>
      </c>
      <c r="C1177" s="92">
        <v>745.20060000000001</v>
      </c>
      <c r="D1177" s="92">
        <v>123.9739</v>
      </c>
      <c r="E1177" s="92"/>
      <c r="F1177" s="92">
        <v>1.620833</v>
      </c>
      <c r="G1177" s="92">
        <v>745.2808</v>
      </c>
      <c r="H1177" s="92">
        <v>123.386</v>
      </c>
      <c r="I1177" s="92"/>
      <c r="J1177" s="93">
        <f t="shared" si="25"/>
        <v>8.0199999999990723E-2</v>
      </c>
    </row>
    <row r="1178" spans="2:10" x14ac:dyDescent="0.2">
      <c r="B1178" s="92">
        <v>1.6222220000000001</v>
      </c>
      <c r="C1178" s="92">
        <v>745.14030000000002</v>
      </c>
      <c r="D1178" s="92">
        <v>123.98050000000001</v>
      </c>
      <c r="E1178" s="92"/>
      <c r="F1178" s="92">
        <v>1.6222220000000001</v>
      </c>
      <c r="G1178" s="92">
        <v>745.2636</v>
      </c>
      <c r="H1178" s="92">
        <v>123.401</v>
      </c>
      <c r="I1178" s="92"/>
      <c r="J1178" s="93">
        <f t="shared" si="25"/>
        <v>0.12329999999997199</v>
      </c>
    </row>
    <row r="1179" spans="2:10" x14ac:dyDescent="0.2">
      <c r="B1179" s="92">
        <v>1.6236109999999999</v>
      </c>
      <c r="C1179" s="92">
        <v>745.10440000000006</v>
      </c>
      <c r="D1179" s="92">
        <v>123.99039999999999</v>
      </c>
      <c r="E1179" s="92"/>
      <c r="F1179" s="92">
        <v>1.6236109999999999</v>
      </c>
      <c r="G1179" s="92">
        <v>745.24149999999997</v>
      </c>
      <c r="H1179" s="92">
        <v>123.3976</v>
      </c>
      <c r="I1179" s="92"/>
      <c r="J1179" s="93">
        <f t="shared" si="25"/>
        <v>0.13709999999991851</v>
      </c>
    </row>
    <row r="1180" spans="2:10" x14ac:dyDescent="0.2">
      <c r="B1180" s="92">
        <v>1.625</v>
      </c>
      <c r="C1180" s="92">
        <v>745.17529999999999</v>
      </c>
      <c r="D1180" s="92">
        <v>123.9971</v>
      </c>
      <c r="E1180" s="92"/>
      <c r="F1180" s="92">
        <v>1.625</v>
      </c>
      <c r="G1180" s="92">
        <v>745.20450000000005</v>
      </c>
      <c r="H1180" s="92">
        <v>123.4059</v>
      </c>
      <c r="I1180" s="92"/>
      <c r="J1180" s="93">
        <f t="shared" si="25"/>
        <v>2.9200000000059845E-2</v>
      </c>
    </row>
    <row r="1181" spans="2:10" x14ac:dyDescent="0.2">
      <c r="B1181" s="92">
        <v>1.6263890000000001</v>
      </c>
      <c r="C1181" s="92">
        <v>745.15139999999997</v>
      </c>
      <c r="D1181" s="92">
        <v>124.0153</v>
      </c>
      <c r="E1181" s="92"/>
      <c r="F1181" s="92">
        <v>1.6263890000000001</v>
      </c>
      <c r="G1181" s="92">
        <v>745.26940000000002</v>
      </c>
      <c r="H1181" s="92">
        <v>123.4143</v>
      </c>
      <c r="I1181" s="92"/>
      <c r="J1181" s="93">
        <f t="shared" si="25"/>
        <v>0.11800000000005184</v>
      </c>
    </row>
    <row r="1182" spans="2:10" x14ac:dyDescent="0.2">
      <c r="B1182" s="92">
        <v>1.6277779999999999</v>
      </c>
      <c r="C1182" s="92">
        <v>745.15689999999995</v>
      </c>
      <c r="D1182" s="92">
        <v>124.0153</v>
      </c>
      <c r="E1182" s="92"/>
      <c r="F1182" s="92">
        <v>1.6277779999999999</v>
      </c>
      <c r="G1182" s="92">
        <v>745.30160000000001</v>
      </c>
      <c r="H1182" s="92">
        <v>123.4242</v>
      </c>
      <c r="I1182" s="92"/>
      <c r="J1182" s="93">
        <f t="shared" si="25"/>
        <v>0.14470000000005712</v>
      </c>
    </row>
    <row r="1183" spans="2:10" x14ac:dyDescent="0.2">
      <c r="B1183" s="92">
        <v>1.629167</v>
      </c>
      <c r="C1183" s="92">
        <v>745.15269999999998</v>
      </c>
      <c r="D1183" s="92">
        <v>124.01690000000001</v>
      </c>
      <c r="E1183" s="92"/>
      <c r="F1183" s="92">
        <v>1.629167</v>
      </c>
      <c r="G1183" s="92">
        <v>745.25840000000005</v>
      </c>
      <c r="H1183" s="92">
        <v>123.43089999999999</v>
      </c>
      <c r="I1183" s="92"/>
      <c r="J1183" s="93">
        <f t="shared" si="25"/>
        <v>0.10570000000006985</v>
      </c>
    </row>
    <row r="1184" spans="2:10" x14ac:dyDescent="0.2">
      <c r="B1184" s="92">
        <v>1.6305559999999999</v>
      </c>
      <c r="C1184" s="92">
        <v>745.18769999999995</v>
      </c>
      <c r="D1184" s="92">
        <v>124.0335</v>
      </c>
      <c r="E1184" s="92"/>
      <c r="F1184" s="92">
        <v>1.6305559999999999</v>
      </c>
      <c r="G1184" s="92">
        <v>745.24069999999995</v>
      </c>
      <c r="H1184" s="92">
        <v>123.4392</v>
      </c>
      <c r="I1184" s="92"/>
      <c r="J1184" s="93">
        <f t="shared" si="25"/>
        <v>5.2999999999997272E-2</v>
      </c>
    </row>
    <row r="1185" spans="2:10" x14ac:dyDescent="0.2">
      <c r="B1185" s="92">
        <v>1.6319440000000001</v>
      </c>
      <c r="C1185" s="92">
        <v>745.20259999999996</v>
      </c>
      <c r="D1185" s="92">
        <v>124.0384</v>
      </c>
      <c r="E1185" s="92"/>
      <c r="F1185" s="92">
        <v>1.6319440000000001</v>
      </c>
      <c r="G1185" s="92">
        <v>745.28219999999999</v>
      </c>
      <c r="H1185" s="92">
        <v>123.4425</v>
      </c>
      <c r="I1185" s="92"/>
      <c r="J1185" s="93">
        <f t="shared" si="25"/>
        <v>7.9600000000027649E-2</v>
      </c>
    </row>
    <row r="1186" spans="2:10" x14ac:dyDescent="0.2">
      <c r="B1186" s="92">
        <v>1.6333329999999999</v>
      </c>
      <c r="C1186" s="92">
        <v>745.16809999999998</v>
      </c>
      <c r="D1186" s="92">
        <v>124.05</v>
      </c>
      <c r="E1186" s="92"/>
      <c r="F1186" s="92">
        <v>1.6333329999999999</v>
      </c>
      <c r="G1186" s="92">
        <v>745.27030000000002</v>
      </c>
      <c r="H1186" s="92">
        <v>123.44580000000001</v>
      </c>
      <c r="I1186" s="92"/>
      <c r="J1186" s="93">
        <f t="shared" si="25"/>
        <v>0.10220000000003893</v>
      </c>
    </row>
    <row r="1187" spans="2:10" x14ac:dyDescent="0.2">
      <c r="B1187" s="92">
        <v>1.634722</v>
      </c>
      <c r="C1187" s="92">
        <v>745.18399999999997</v>
      </c>
      <c r="D1187" s="92">
        <v>124.0633</v>
      </c>
      <c r="E1187" s="92"/>
      <c r="F1187" s="92">
        <v>1.634722</v>
      </c>
      <c r="G1187" s="92">
        <v>745.24779999999998</v>
      </c>
      <c r="H1187" s="92">
        <v>123.4542</v>
      </c>
      <c r="I1187" s="92"/>
      <c r="J1187" s="93">
        <f t="shared" si="25"/>
        <v>6.3800000000014734E-2</v>
      </c>
    </row>
    <row r="1188" spans="2:10" x14ac:dyDescent="0.2">
      <c r="B1188" s="92">
        <v>1.6361110000000001</v>
      </c>
      <c r="C1188" s="92">
        <v>745.16610000000003</v>
      </c>
      <c r="D1188" s="92">
        <v>124.06829999999999</v>
      </c>
      <c r="E1188" s="92"/>
      <c r="F1188" s="92">
        <v>1.6361110000000001</v>
      </c>
      <c r="G1188" s="92">
        <v>745.23059999999998</v>
      </c>
      <c r="H1188" s="92">
        <v>123.4691</v>
      </c>
      <c r="I1188" s="92"/>
      <c r="J1188" s="93">
        <f t="shared" si="25"/>
        <v>6.4499999999952706E-2</v>
      </c>
    </row>
    <row r="1189" spans="2:10" x14ac:dyDescent="0.2">
      <c r="B1189" s="92">
        <v>1.6375</v>
      </c>
      <c r="C1189" s="92">
        <v>745.15120000000002</v>
      </c>
      <c r="D1189" s="92">
        <v>124.0633</v>
      </c>
      <c r="E1189" s="92"/>
      <c r="F1189" s="92">
        <v>1.6375</v>
      </c>
      <c r="G1189" s="92">
        <v>745.26679999999999</v>
      </c>
      <c r="H1189" s="92">
        <v>123.4658</v>
      </c>
      <c r="I1189" s="92"/>
      <c r="J1189" s="93">
        <f t="shared" si="25"/>
        <v>0.11559999999997217</v>
      </c>
    </row>
    <row r="1190" spans="2:10" x14ac:dyDescent="0.2">
      <c r="B1190" s="92">
        <v>1.638889</v>
      </c>
      <c r="C1190" s="92">
        <v>745.13040000000001</v>
      </c>
      <c r="D1190" s="92">
        <v>124.0716</v>
      </c>
      <c r="E1190" s="92"/>
      <c r="F1190" s="92">
        <v>1.638889</v>
      </c>
      <c r="G1190" s="92">
        <v>745.29589999999996</v>
      </c>
      <c r="H1190" s="92">
        <v>123.4658</v>
      </c>
      <c r="I1190" s="92"/>
      <c r="J1190" s="93">
        <f t="shared" si="25"/>
        <v>0.1654999999999518</v>
      </c>
    </row>
    <row r="1191" spans="2:10" x14ac:dyDescent="0.2">
      <c r="B1191" s="92">
        <v>1.6402779999999999</v>
      </c>
      <c r="C1191" s="92">
        <v>745.17809999999997</v>
      </c>
      <c r="D1191" s="92">
        <v>124.0765</v>
      </c>
      <c r="E1191" s="92"/>
      <c r="F1191" s="92">
        <v>1.6402779999999999</v>
      </c>
      <c r="G1191" s="92">
        <v>745.29420000000005</v>
      </c>
      <c r="H1191" s="92">
        <v>123.47580000000001</v>
      </c>
      <c r="I1191" s="92"/>
      <c r="J1191" s="93">
        <f t="shared" si="25"/>
        <v>0.11610000000007403</v>
      </c>
    </row>
    <row r="1192" spans="2:10" x14ac:dyDescent="0.2">
      <c r="B1192" s="92">
        <v>1.641667</v>
      </c>
      <c r="C1192" s="92">
        <v>745.14459999999997</v>
      </c>
      <c r="D1192" s="92">
        <v>124.0964</v>
      </c>
      <c r="E1192" s="92"/>
      <c r="F1192" s="92">
        <v>1.641667</v>
      </c>
      <c r="G1192" s="92">
        <v>745.25049999999999</v>
      </c>
      <c r="H1192" s="92">
        <v>123.4941</v>
      </c>
      <c r="I1192" s="92"/>
      <c r="J1192" s="93">
        <f t="shared" si="25"/>
        <v>0.10590000000001965</v>
      </c>
    </row>
    <row r="1193" spans="2:10" x14ac:dyDescent="0.2">
      <c r="B1193" s="92">
        <v>1.6430560000000001</v>
      </c>
      <c r="C1193" s="92">
        <v>745.20479999999998</v>
      </c>
      <c r="D1193" s="92">
        <v>124.0964</v>
      </c>
      <c r="E1193" s="92"/>
      <c r="F1193" s="92">
        <v>1.6430560000000001</v>
      </c>
      <c r="G1193" s="92">
        <v>745.27520000000004</v>
      </c>
      <c r="H1193" s="92">
        <v>123.50069999999999</v>
      </c>
      <c r="I1193" s="92"/>
      <c r="J1193" s="93">
        <f t="shared" si="25"/>
        <v>7.0400000000063301E-2</v>
      </c>
    </row>
    <row r="1194" spans="2:10" x14ac:dyDescent="0.2">
      <c r="B1194" s="92">
        <v>1.644444</v>
      </c>
      <c r="C1194" s="92">
        <v>745.2319</v>
      </c>
      <c r="D1194" s="92">
        <v>124.10299999999999</v>
      </c>
      <c r="E1194" s="92"/>
      <c r="F1194" s="92">
        <v>1.644444</v>
      </c>
      <c r="G1194" s="92">
        <v>745.22270000000003</v>
      </c>
      <c r="H1194" s="92">
        <v>123.4957</v>
      </c>
      <c r="I1194" s="92"/>
      <c r="J1194" s="93">
        <f t="shared" si="25"/>
        <v>9.1999999999643478E-3</v>
      </c>
    </row>
    <row r="1195" spans="2:10" x14ac:dyDescent="0.2">
      <c r="B1195" s="92">
        <v>1.6458330000000001</v>
      </c>
      <c r="C1195" s="92">
        <v>745.21659999999997</v>
      </c>
      <c r="D1195" s="92">
        <v>124.1113</v>
      </c>
      <c r="E1195" s="92"/>
      <c r="F1195" s="92">
        <v>1.6458330000000001</v>
      </c>
      <c r="G1195" s="92">
        <v>745.25720000000001</v>
      </c>
      <c r="H1195" s="92">
        <v>123.50239999999999</v>
      </c>
      <c r="I1195" s="92"/>
      <c r="J1195" s="93">
        <f t="shared" si="25"/>
        <v>4.0600000000040382E-2</v>
      </c>
    </row>
    <row r="1196" spans="2:10" x14ac:dyDescent="0.2">
      <c r="B1196" s="92">
        <v>1.647222</v>
      </c>
      <c r="C1196" s="92">
        <v>745.14</v>
      </c>
      <c r="D1196" s="92">
        <v>124.1113</v>
      </c>
      <c r="E1196" s="92"/>
      <c r="F1196" s="92">
        <v>1.647222</v>
      </c>
      <c r="G1196" s="92">
        <v>745.27700000000004</v>
      </c>
      <c r="H1196" s="92">
        <v>123.509</v>
      </c>
      <c r="I1196" s="92"/>
      <c r="J1196" s="93">
        <f t="shared" si="25"/>
        <v>0.1370000000000573</v>
      </c>
    </row>
    <row r="1197" spans="2:10" x14ac:dyDescent="0.2">
      <c r="B1197" s="92">
        <v>1.648611</v>
      </c>
      <c r="C1197" s="92">
        <v>745.13019999999995</v>
      </c>
      <c r="D1197" s="92">
        <v>124.11960000000001</v>
      </c>
      <c r="E1197" s="92"/>
      <c r="F1197" s="92">
        <v>1.648611</v>
      </c>
      <c r="G1197" s="92">
        <v>745.28719999999998</v>
      </c>
      <c r="H1197" s="92">
        <v>123.5157</v>
      </c>
      <c r="I1197" s="92"/>
      <c r="J1197" s="93">
        <f t="shared" si="25"/>
        <v>0.15700000000003911</v>
      </c>
    </row>
    <row r="1198" spans="2:10" x14ac:dyDescent="0.2">
      <c r="B1198" s="92">
        <v>1.65</v>
      </c>
      <c r="C1198" s="92">
        <v>745.16430000000003</v>
      </c>
      <c r="D1198" s="92">
        <v>124.1212</v>
      </c>
      <c r="E1198" s="92"/>
      <c r="F1198" s="92">
        <v>1.65</v>
      </c>
      <c r="G1198" s="92">
        <v>745.24130000000002</v>
      </c>
      <c r="H1198" s="92">
        <v>123.51900000000001</v>
      </c>
      <c r="I1198" s="92"/>
      <c r="J1198" s="93">
        <f t="shared" si="25"/>
        <v>7.6999999999998181E-2</v>
      </c>
    </row>
    <row r="1199" spans="2:10" x14ac:dyDescent="0.2">
      <c r="B1199" s="92">
        <v>1.651389</v>
      </c>
      <c r="C1199" s="92">
        <v>745.15449999999998</v>
      </c>
      <c r="D1199" s="92">
        <v>124.12949999999999</v>
      </c>
      <c r="E1199" s="92"/>
      <c r="F1199" s="92">
        <v>1.651389</v>
      </c>
      <c r="G1199" s="92">
        <v>745.24919999999997</v>
      </c>
      <c r="H1199" s="92">
        <v>123.529</v>
      </c>
      <c r="I1199" s="92"/>
      <c r="J1199" s="93">
        <f t="shared" si="25"/>
        <v>9.4699999999988904E-2</v>
      </c>
    </row>
    <row r="1200" spans="2:10" x14ac:dyDescent="0.2">
      <c r="B1200" s="92">
        <v>1.6527780000000001</v>
      </c>
      <c r="C1200" s="92">
        <v>745.14750000000004</v>
      </c>
      <c r="D1200" s="92">
        <v>124.1345</v>
      </c>
      <c r="E1200" s="92"/>
      <c r="F1200" s="92">
        <v>1.6527780000000001</v>
      </c>
      <c r="G1200" s="92">
        <v>745.26869999999997</v>
      </c>
      <c r="H1200" s="92">
        <v>123.529</v>
      </c>
      <c r="I1200" s="92"/>
      <c r="J1200" s="93">
        <f t="shared" si="25"/>
        <v>0.1211999999999307</v>
      </c>
    </row>
    <row r="1201" spans="2:10" x14ac:dyDescent="0.2">
      <c r="B1201" s="92">
        <v>1.6541669999999999</v>
      </c>
      <c r="C1201" s="92">
        <v>745.15269999999998</v>
      </c>
      <c r="D1201" s="92">
        <v>124.14109999999999</v>
      </c>
      <c r="E1201" s="92"/>
      <c r="F1201" s="92">
        <v>1.6541669999999999</v>
      </c>
      <c r="G1201" s="92">
        <v>745.21349999999995</v>
      </c>
      <c r="H1201" s="92">
        <v>123.539</v>
      </c>
      <c r="I1201" s="92"/>
      <c r="J1201" s="93">
        <f t="shared" si="25"/>
        <v>6.0799999999971988E-2</v>
      </c>
    </row>
    <row r="1202" spans="2:10" x14ac:dyDescent="0.2">
      <c r="B1202" s="92">
        <v>1.655556</v>
      </c>
      <c r="C1202" s="92">
        <v>745.12909999999999</v>
      </c>
      <c r="D1202" s="92">
        <v>124.1527</v>
      </c>
      <c r="E1202" s="92"/>
      <c r="F1202" s="92">
        <v>1.655556</v>
      </c>
      <c r="G1202" s="92">
        <v>745.28189999999995</v>
      </c>
      <c r="H1202" s="92">
        <v>123.54559999999999</v>
      </c>
      <c r="I1202" s="92"/>
      <c r="J1202" s="93">
        <f t="shared" si="25"/>
        <v>0.15279999999995653</v>
      </c>
    </row>
    <row r="1203" spans="2:10" x14ac:dyDescent="0.2">
      <c r="B1203" s="92">
        <v>1.656944</v>
      </c>
      <c r="C1203" s="92">
        <v>745.13980000000004</v>
      </c>
      <c r="D1203" s="92">
        <v>124.1593</v>
      </c>
      <c r="E1203" s="92"/>
      <c r="F1203" s="92">
        <v>1.656944</v>
      </c>
      <c r="G1203" s="92">
        <v>745.27750000000003</v>
      </c>
      <c r="H1203" s="92">
        <v>123.5523</v>
      </c>
      <c r="I1203" s="92"/>
      <c r="J1203" s="93">
        <f t="shared" si="25"/>
        <v>0.13769999999999527</v>
      </c>
    </row>
    <row r="1204" spans="2:10" x14ac:dyDescent="0.2">
      <c r="B1204" s="92">
        <v>1.6583330000000001</v>
      </c>
      <c r="C1204" s="92">
        <v>745.15359999999998</v>
      </c>
      <c r="D1204" s="92">
        <v>124.15600000000001</v>
      </c>
      <c r="E1204" s="92"/>
      <c r="F1204" s="92">
        <v>1.6583330000000001</v>
      </c>
      <c r="G1204" s="92">
        <v>745.26689999999996</v>
      </c>
      <c r="H1204" s="92">
        <v>123.55719999999999</v>
      </c>
      <c r="I1204" s="92"/>
      <c r="J1204" s="93">
        <f t="shared" si="25"/>
        <v>0.11329999999998108</v>
      </c>
    </row>
    <row r="1205" spans="2:10" x14ac:dyDescent="0.2">
      <c r="B1205" s="92">
        <v>1.6597219999999999</v>
      </c>
      <c r="C1205" s="92">
        <v>745.16279999999995</v>
      </c>
      <c r="D1205" s="92">
        <v>124.16759999999999</v>
      </c>
      <c r="E1205" s="92"/>
      <c r="F1205" s="92">
        <v>1.6597219999999999</v>
      </c>
      <c r="G1205" s="92">
        <v>745.25459999999998</v>
      </c>
      <c r="H1205" s="92">
        <v>123.5539</v>
      </c>
      <c r="I1205" s="92"/>
      <c r="J1205" s="93">
        <f t="shared" si="25"/>
        <v>9.1800000000034743E-2</v>
      </c>
    </row>
    <row r="1206" spans="2:10" x14ac:dyDescent="0.2">
      <c r="B1206" s="92">
        <v>1.661111</v>
      </c>
      <c r="C1206" s="92">
        <v>745.19150000000002</v>
      </c>
      <c r="D1206" s="92">
        <v>124.16930000000001</v>
      </c>
      <c r="E1206" s="92"/>
      <c r="F1206" s="92">
        <v>1.661111</v>
      </c>
      <c r="G1206" s="92">
        <v>745.26340000000005</v>
      </c>
      <c r="H1206" s="92">
        <v>123.55889999999999</v>
      </c>
      <c r="I1206" s="92"/>
      <c r="J1206" s="93">
        <f t="shared" si="25"/>
        <v>7.1900000000027831E-2</v>
      </c>
    </row>
    <row r="1207" spans="2:10" x14ac:dyDescent="0.2">
      <c r="B1207" s="92">
        <v>1.6625000000000001</v>
      </c>
      <c r="C1207" s="92">
        <v>745.16110000000003</v>
      </c>
      <c r="D1207" s="92">
        <v>124.17919999999999</v>
      </c>
      <c r="E1207" s="92"/>
      <c r="F1207" s="92">
        <v>1.6625000000000001</v>
      </c>
      <c r="G1207" s="92">
        <v>745.26790000000005</v>
      </c>
      <c r="H1207" s="92">
        <v>123.5705</v>
      </c>
      <c r="I1207" s="92"/>
      <c r="J1207" s="93">
        <f t="shared" si="25"/>
        <v>0.1068000000000211</v>
      </c>
    </row>
    <row r="1208" spans="2:10" x14ac:dyDescent="0.2">
      <c r="B1208" s="92">
        <v>1.663889</v>
      </c>
      <c r="C1208" s="92">
        <v>745.18560000000002</v>
      </c>
      <c r="D1208" s="92">
        <v>124.1825</v>
      </c>
      <c r="E1208" s="92"/>
      <c r="F1208" s="92">
        <v>1.663889</v>
      </c>
      <c r="G1208" s="92">
        <v>745.29570000000001</v>
      </c>
      <c r="H1208" s="92">
        <v>123.5689</v>
      </c>
      <c r="I1208" s="92"/>
      <c r="J1208" s="93">
        <f t="shared" si="25"/>
        <v>0.11009999999998854</v>
      </c>
    </row>
    <row r="1209" spans="2:10" x14ac:dyDescent="0.2">
      <c r="B1209" s="92">
        <v>1.665278</v>
      </c>
      <c r="C1209" s="92">
        <v>745.21010000000001</v>
      </c>
      <c r="D1209" s="92">
        <v>124.1858</v>
      </c>
      <c r="E1209" s="92"/>
      <c r="F1209" s="92">
        <v>1.665278</v>
      </c>
      <c r="G1209" s="92">
        <v>745.25149999999996</v>
      </c>
      <c r="H1209" s="92">
        <v>123.5805</v>
      </c>
      <c r="I1209" s="92"/>
      <c r="J1209" s="93">
        <f t="shared" si="25"/>
        <v>4.1399999999953252E-2</v>
      </c>
    </row>
    <row r="1210" spans="2:10" x14ac:dyDescent="0.2">
      <c r="B1210" s="92">
        <v>1.6666669999999999</v>
      </c>
      <c r="C1210" s="92">
        <v>745.19740000000002</v>
      </c>
      <c r="D1210" s="92">
        <v>124.1974</v>
      </c>
      <c r="E1210" s="92"/>
      <c r="F1210" s="92">
        <v>1.6666669999999999</v>
      </c>
      <c r="G1210" s="92">
        <v>745.27629999999999</v>
      </c>
      <c r="H1210" s="92">
        <v>123.5872</v>
      </c>
      <c r="I1210" s="92"/>
      <c r="J1210" s="93">
        <f t="shared" si="25"/>
        <v>7.8899999999975989E-2</v>
      </c>
    </row>
    <row r="1211" spans="2:10" x14ac:dyDescent="0.2">
      <c r="B1211" s="92">
        <v>1.668056</v>
      </c>
      <c r="C1211" s="92">
        <v>745.17160000000001</v>
      </c>
      <c r="D1211" s="92">
        <v>124.19240000000001</v>
      </c>
      <c r="E1211" s="92"/>
      <c r="F1211" s="92">
        <v>1.668056</v>
      </c>
      <c r="G1211" s="92">
        <v>745.25109999999995</v>
      </c>
      <c r="H1211" s="92">
        <v>123.59220000000001</v>
      </c>
      <c r="I1211" s="92"/>
      <c r="J1211" s="93">
        <f t="shared" si="25"/>
        <v>7.9499999999939064E-2</v>
      </c>
    </row>
    <row r="1212" spans="2:10" x14ac:dyDescent="0.2">
      <c r="B1212" s="92">
        <v>1.6694439999999999</v>
      </c>
      <c r="C1212" s="92">
        <v>745.16300000000001</v>
      </c>
      <c r="D1212" s="92">
        <v>124.2024</v>
      </c>
      <c r="E1212" s="92"/>
      <c r="F1212" s="92">
        <v>1.6694439999999999</v>
      </c>
      <c r="G1212" s="92">
        <v>745.25289999999995</v>
      </c>
      <c r="H1212" s="92">
        <v>123.6005</v>
      </c>
      <c r="I1212" s="92"/>
      <c r="J1212" s="93">
        <f t="shared" si="25"/>
        <v>8.9899999999943248E-2</v>
      </c>
    </row>
    <row r="1213" spans="2:10" x14ac:dyDescent="0.2">
      <c r="B1213" s="92">
        <v>1.670833</v>
      </c>
      <c r="C1213" s="92">
        <v>745.14269999999999</v>
      </c>
      <c r="D1213" s="92">
        <v>124.1974</v>
      </c>
      <c r="E1213" s="92"/>
      <c r="F1213" s="92">
        <v>1.670833</v>
      </c>
      <c r="G1213" s="92">
        <v>745.25289999999995</v>
      </c>
      <c r="H1213" s="92">
        <v>123.6005</v>
      </c>
      <c r="I1213" s="92"/>
      <c r="J1213" s="93">
        <f t="shared" si="25"/>
        <v>0.11019999999996344</v>
      </c>
    </row>
    <row r="1214" spans="2:10" x14ac:dyDescent="0.2">
      <c r="B1214" s="92">
        <v>1.6722220000000001</v>
      </c>
      <c r="C1214" s="92">
        <v>745.14089999999999</v>
      </c>
      <c r="D1214" s="92">
        <v>124.209</v>
      </c>
      <c r="E1214" s="92"/>
      <c r="F1214" s="92">
        <v>1.6722220000000001</v>
      </c>
      <c r="G1214" s="92">
        <v>745.24099999999999</v>
      </c>
      <c r="H1214" s="92">
        <v>123.60380000000001</v>
      </c>
      <c r="I1214" s="92"/>
      <c r="J1214" s="93">
        <f t="shared" si="25"/>
        <v>0.10009999999999764</v>
      </c>
    </row>
    <row r="1215" spans="2:10" x14ac:dyDescent="0.2">
      <c r="B1215" s="92">
        <v>1.673611</v>
      </c>
      <c r="C1215" s="92">
        <v>745.17070000000001</v>
      </c>
      <c r="D1215" s="92">
        <v>124.2189</v>
      </c>
      <c r="E1215" s="92"/>
      <c r="F1215" s="92">
        <v>1.673611</v>
      </c>
      <c r="G1215" s="92">
        <v>745.25549999999998</v>
      </c>
      <c r="H1215" s="92">
        <v>123.60380000000001</v>
      </c>
      <c r="I1215" s="92"/>
      <c r="J1215" s="93">
        <f t="shared" si="25"/>
        <v>8.4799999999972897E-2</v>
      </c>
    </row>
    <row r="1216" spans="2:10" x14ac:dyDescent="0.2">
      <c r="B1216" s="92">
        <v>1.675</v>
      </c>
      <c r="C1216" s="92">
        <v>745.19780000000003</v>
      </c>
      <c r="D1216" s="92">
        <v>124.2256</v>
      </c>
      <c r="E1216" s="92"/>
      <c r="F1216" s="92">
        <v>1.675</v>
      </c>
      <c r="G1216" s="92">
        <v>745.27719999999999</v>
      </c>
      <c r="H1216" s="92">
        <v>123.61879999999999</v>
      </c>
      <c r="I1216" s="92"/>
      <c r="J1216" s="93">
        <f t="shared" si="25"/>
        <v>7.9399999999964166E-2</v>
      </c>
    </row>
    <row r="1217" spans="2:10" x14ac:dyDescent="0.2">
      <c r="B1217" s="92">
        <v>1.6763889999999999</v>
      </c>
      <c r="C1217" s="92">
        <v>745.16210000000001</v>
      </c>
      <c r="D1217" s="92">
        <v>124.2289</v>
      </c>
      <c r="E1217" s="92"/>
      <c r="F1217" s="92">
        <v>1.6763889999999999</v>
      </c>
      <c r="G1217" s="92">
        <v>745.28470000000004</v>
      </c>
      <c r="H1217" s="92">
        <v>123.6221</v>
      </c>
      <c r="I1217" s="92"/>
      <c r="J1217" s="93">
        <f t="shared" si="25"/>
        <v>0.12260000000003402</v>
      </c>
    </row>
    <row r="1218" spans="2:10" x14ac:dyDescent="0.2">
      <c r="B1218" s="92">
        <v>1.677778</v>
      </c>
      <c r="C1218" s="92">
        <v>745.1825</v>
      </c>
      <c r="D1218" s="92">
        <v>124.2338</v>
      </c>
      <c r="E1218" s="92"/>
      <c r="F1218" s="92">
        <v>1.677778</v>
      </c>
      <c r="G1218" s="92">
        <v>745.245</v>
      </c>
      <c r="H1218" s="92">
        <v>123.6271</v>
      </c>
      <c r="I1218" s="92"/>
      <c r="J1218" s="93">
        <f t="shared" si="25"/>
        <v>6.25E-2</v>
      </c>
    </row>
    <row r="1219" spans="2:10" x14ac:dyDescent="0.2">
      <c r="B1219" s="92">
        <v>1.6791670000000001</v>
      </c>
      <c r="C1219" s="92">
        <v>745.13869999999997</v>
      </c>
      <c r="D1219" s="92">
        <v>124.2338</v>
      </c>
      <c r="E1219" s="92"/>
      <c r="F1219" s="92">
        <v>1.6791670000000001</v>
      </c>
      <c r="G1219" s="92">
        <v>745.27189999999996</v>
      </c>
      <c r="H1219" s="92">
        <v>123.63039999999999</v>
      </c>
      <c r="I1219" s="92"/>
      <c r="J1219" s="93">
        <f t="shared" si="25"/>
        <v>0.13319999999998799</v>
      </c>
    </row>
    <row r="1220" spans="2:10" x14ac:dyDescent="0.2">
      <c r="B1220" s="92">
        <v>1.6805559999999999</v>
      </c>
      <c r="C1220" s="92">
        <v>745.16189999999995</v>
      </c>
      <c r="D1220" s="92">
        <v>124.2355</v>
      </c>
      <c r="E1220" s="92"/>
      <c r="F1220" s="92">
        <v>1.6805559999999999</v>
      </c>
      <c r="G1220" s="92">
        <v>745.26880000000006</v>
      </c>
      <c r="H1220" s="92">
        <v>123.6387</v>
      </c>
      <c r="I1220" s="92"/>
      <c r="J1220" s="93">
        <f t="shared" si="25"/>
        <v>0.10690000000010969</v>
      </c>
    </row>
    <row r="1221" spans="2:10" x14ac:dyDescent="0.2">
      <c r="B1221" s="92">
        <v>1.6819440000000001</v>
      </c>
      <c r="C1221" s="92">
        <v>745.14110000000005</v>
      </c>
      <c r="D1221" s="92">
        <v>124.24379999999999</v>
      </c>
      <c r="E1221" s="92"/>
      <c r="F1221" s="92">
        <v>1.6819440000000001</v>
      </c>
      <c r="G1221" s="92">
        <v>745.27719999999999</v>
      </c>
      <c r="H1221" s="92">
        <v>123.6371</v>
      </c>
      <c r="I1221" s="92"/>
      <c r="J1221" s="93">
        <f t="shared" si="25"/>
        <v>0.13609999999994216</v>
      </c>
    </row>
    <row r="1222" spans="2:10" x14ac:dyDescent="0.2">
      <c r="B1222" s="92">
        <v>1.683333</v>
      </c>
      <c r="C1222" s="92">
        <v>745.18600000000004</v>
      </c>
      <c r="D1222" s="92">
        <v>124.2521</v>
      </c>
      <c r="E1222" s="92"/>
      <c r="F1222" s="92">
        <v>1.683333</v>
      </c>
      <c r="G1222" s="92">
        <v>745.28869999999995</v>
      </c>
      <c r="H1222" s="92">
        <v>123.6454</v>
      </c>
      <c r="I1222" s="92"/>
      <c r="J1222" s="93">
        <f t="shared" si="25"/>
        <v>0.10269999999991342</v>
      </c>
    </row>
    <row r="1223" spans="2:10" x14ac:dyDescent="0.2">
      <c r="B1223" s="92">
        <v>1.6847220000000001</v>
      </c>
      <c r="C1223" s="92">
        <v>745.18600000000004</v>
      </c>
      <c r="D1223" s="92">
        <v>124.2521</v>
      </c>
      <c r="E1223" s="92"/>
      <c r="F1223" s="92">
        <v>1.6847220000000001</v>
      </c>
      <c r="G1223" s="92">
        <v>745.23659999999995</v>
      </c>
      <c r="H1223" s="92">
        <v>123.64700000000001</v>
      </c>
      <c r="I1223" s="92"/>
      <c r="J1223" s="93">
        <f t="shared" si="25"/>
        <v>5.05999999999176E-2</v>
      </c>
    </row>
    <row r="1224" spans="2:10" x14ac:dyDescent="0.2">
      <c r="B1224" s="92">
        <v>1.6861109999999999</v>
      </c>
      <c r="C1224" s="92">
        <v>745.16099999999994</v>
      </c>
      <c r="D1224" s="92">
        <v>124.262</v>
      </c>
      <c r="E1224" s="92"/>
      <c r="F1224" s="92">
        <v>1.6861109999999999</v>
      </c>
      <c r="G1224" s="92">
        <v>745.28650000000005</v>
      </c>
      <c r="H1224" s="92">
        <v>123.64870000000001</v>
      </c>
      <c r="I1224" s="92"/>
      <c r="J1224" s="93">
        <f t="shared" si="25"/>
        <v>0.12550000000010186</v>
      </c>
    </row>
    <row r="1225" spans="2:10" x14ac:dyDescent="0.2">
      <c r="B1225" s="92">
        <v>1.6875</v>
      </c>
      <c r="C1225" s="92">
        <v>745.10900000000004</v>
      </c>
      <c r="D1225" s="92">
        <v>124.2653</v>
      </c>
      <c r="E1225" s="92"/>
      <c r="F1225" s="92">
        <v>1.6875</v>
      </c>
      <c r="G1225" s="92">
        <v>745.25160000000005</v>
      </c>
      <c r="H1225" s="92">
        <v>123.6537</v>
      </c>
      <c r="I1225" s="92"/>
      <c r="J1225" s="93">
        <f t="shared" si="25"/>
        <v>0.14260000000001583</v>
      </c>
    </row>
    <row r="1226" spans="2:10" x14ac:dyDescent="0.2">
      <c r="B1226" s="92">
        <v>1.6888890000000001</v>
      </c>
      <c r="C1226" s="92">
        <v>745.17200000000003</v>
      </c>
      <c r="D1226" s="92">
        <v>124.262</v>
      </c>
      <c r="E1226" s="92"/>
      <c r="F1226" s="92">
        <v>1.6888890000000001</v>
      </c>
      <c r="G1226" s="92">
        <v>745.29309999999998</v>
      </c>
      <c r="H1226" s="92">
        <v>123.657</v>
      </c>
      <c r="I1226" s="92"/>
      <c r="J1226" s="93">
        <f t="shared" si="25"/>
        <v>0.1210999999999558</v>
      </c>
    </row>
    <row r="1227" spans="2:10" x14ac:dyDescent="0.2">
      <c r="B1227" s="92">
        <v>1.6902779999999999</v>
      </c>
      <c r="C1227" s="92">
        <v>745.18949999999995</v>
      </c>
      <c r="D1227" s="92">
        <v>124.27030000000001</v>
      </c>
      <c r="E1227" s="92"/>
      <c r="F1227" s="92">
        <v>1.6902779999999999</v>
      </c>
      <c r="G1227" s="92">
        <v>745.25689999999997</v>
      </c>
      <c r="H1227" s="92">
        <v>123.66030000000001</v>
      </c>
      <c r="I1227" s="92"/>
      <c r="J1227" s="93">
        <f t="shared" ref="J1227:J1290" si="26">+ABS(G1227-C1227)</f>
        <v>6.7400000000020555E-2</v>
      </c>
    </row>
    <row r="1228" spans="2:10" x14ac:dyDescent="0.2">
      <c r="B1228" s="92">
        <v>1.691667</v>
      </c>
      <c r="C1228" s="92">
        <v>745.17550000000006</v>
      </c>
      <c r="D1228" s="92">
        <v>124.28019999999999</v>
      </c>
      <c r="E1228" s="92"/>
      <c r="F1228" s="92">
        <v>1.691667</v>
      </c>
      <c r="G1228" s="92">
        <v>745.2296</v>
      </c>
      <c r="H1228" s="92">
        <v>123.6686</v>
      </c>
      <c r="I1228" s="92"/>
      <c r="J1228" s="93">
        <f t="shared" si="26"/>
        <v>5.4099999999948523E-2</v>
      </c>
    </row>
    <row r="1229" spans="2:10" x14ac:dyDescent="0.2">
      <c r="B1229" s="92">
        <v>1.6930559999999999</v>
      </c>
      <c r="C1229" s="92">
        <v>745.21230000000003</v>
      </c>
      <c r="D1229" s="92">
        <v>124.2852</v>
      </c>
      <c r="E1229" s="92"/>
      <c r="F1229" s="92">
        <v>1.6930559999999999</v>
      </c>
      <c r="G1229" s="92">
        <v>745.28210000000001</v>
      </c>
      <c r="H1229" s="92">
        <v>123.67359999999999</v>
      </c>
      <c r="I1229" s="92"/>
      <c r="J1229" s="93">
        <f t="shared" si="26"/>
        <v>6.9799999999986539E-2</v>
      </c>
    </row>
    <row r="1230" spans="2:10" x14ac:dyDescent="0.2">
      <c r="B1230" s="92">
        <v>1.6944440000000001</v>
      </c>
      <c r="C1230" s="92">
        <v>745.17110000000002</v>
      </c>
      <c r="D1230" s="92">
        <v>124.2885</v>
      </c>
      <c r="E1230" s="92"/>
      <c r="F1230" s="92">
        <v>1.6944440000000001</v>
      </c>
      <c r="G1230" s="92">
        <v>745.30690000000004</v>
      </c>
      <c r="H1230" s="92">
        <v>123.6803</v>
      </c>
      <c r="I1230" s="92"/>
      <c r="J1230" s="93">
        <f t="shared" si="26"/>
        <v>0.13580000000001746</v>
      </c>
    </row>
    <row r="1231" spans="2:10" x14ac:dyDescent="0.2">
      <c r="B1231" s="92">
        <v>1.6958329999999999</v>
      </c>
      <c r="C1231" s="92">
        <v>745.15340000000003</v>
      </c>
      <c r="D1231" s="92">
        <v>124.2868</v>
      </c>
      <c r="E1231" s="92"/>
      <c r="F1231" s="92">
        <v>1.6958329999999999</v>
      </c>
      <c r="G1231" s="92">
        <v>745.21550000000002</v>
      </c>
      <c r="H1231" s="92">
        <v>123.67529999999999</v>
      </c>
      <c r="I1231" s="92"/>
      <c r="J1231" s="93">
        <f t="shared" si="26"/>
        <v>6.2099999999986721E-2</v>
      </c>
    </row>
    <row r="1232" spans="2:10" x14ac:dyDescent="0.2">
      <c r="B1232" s="92">
        <v>1.697222</v>
      </c>
      <c r="C1232" s="92">
        <v>745.20259999999996</v>
      </c>
      <c r="D1232" s="92">
        <v>124.2868</v>
      </c>
      <c r="E1232" s="92"/>
      <c r="F1232" s="92">
        <v>1.697222</v>
      </c>
      <c r="G1232" s="92">
        <v>745.22209999999995</v>
      </c>
      <c r="H1232" s="92">
        <v>123.6836</v>
      </c>
      <c r="I1232" s="92"/>
      <c r="J1232" s="93">
        <f t="shared" si="26"/>
        <v>1.9499999999993634E-2</v>
      </c>
    </row>
    <row r="1233" spans="2:10" x14ac:dyDescent="0.2">
      <c r="B1233" s="92">
        <v>1.6986110000000001</v>
      </c>
      <c r="C1233" s="92">
        <v>745.1748</v>
      </c>
      <c r="D1233" s="92">
        <v>124.3001</v>
      </c>
      <c r="E1233" s="92"/>
      <c r="F1233" s="92">
        <v>1.6986110000000001</v>
      </c>
      <c r="G1233" s="92">
        <v>745.29499999999996</v>
      </c>
      <c r="H1233" s="92">
        <v>123.6836</v>
      </c>
      <c r="I1233" s="92"/>
      <c r="J1233" s="93">
        <f t="shared" si="26"/>
        <v>0.12019999999995434</v>
      </c>
    </row>
    <row r="1234" spans="2:10" x14ac:dyDescent="0.2">
      <c r="B1234" s="92">
        <v>1.7</v>
      </c>
      <c r="C1234" s="92">
        <v>745.16099999999994</v>
      </c>
      <c r="D1234" s="92">
        <v>124.3034</v>
      </c>
      <c r="E1234" s="92"/>
      <c r="F1234" s="92">
        <v>1.7</v>
      </c>
      <c r="G1234" s="92">
        <v>745.23839999999996</v>
      </c>
      <c r="H1234" s="92">
        <v>123.6919</v>
      </c>
      <c r="I1234" s="92"/>
      <c r="J1234" s="93">
        <f t="shared" si="26"/>
        <v>7.740000000001146E-2</v>
      </c>
    </row>
    <row r="1235" spans="2:10" x14ac:dyDescent="0.2">
      <c r="B1235" s="92">
        <v>1.701389</v>
      </c>
      <c r="C1235" s="92">
        <v>745.20899999999995</v>
      </c>
      <c r="D1235" s="92">
        <v>124.3017</v>
      </c>
      <c r="E1235" s="92"/>
      <c r="F1235" s="92">
        <v>1.701389</v>
      </c>
      <c r="G1235" s="92">
        <v>745.28570000000002</v>
      </c>
      <c r="H1235" s="92">
        <v>123.69029999999999</v>
      </c>
      <c r="I1235" s="92"/>
      <c r="J1235" s="93">
        <f t="shared" si="26"/>
        <v>7.6700000000073487E-2</v>
      </c>
    </row>
    <row r="1236" spans="2:10" x14ac:dyDescent="0.2">
      <c r="B1236" s="92">
        <v>1.7027779999999999</v>
      </c>
      <c r="C1236" s="92">
        <v>745.15819999999997</v>
      </c>
      <c r="D1236" s="92">
        <v>124.30670000000001</v>
      </c>
      <c r="E1236" s="92"/>
      <c r="F1236" s="92">
        <v>1.7027779999999999</v>
      </c>
      <c r="G1236" s="92">
        <v>745.27070000000003</v>
      </c>
      <c r="H1236" s="92">
        <v>123.70189999999999</v>
      </c>
      <c r="I1236" s="92"/>
      <c r="J1236" s="93">
        <f t="shared" si="26"/>
        <v>0.11250000000006821</v>
      </c>
    </row>
    <row r="1237" spans="2:10" x14ac:dyDescent="0.2">
      <c r="B1237" s="92">
        <v>1.704167</v>
      </c>
      <c r="C1237" s="92">
        <v>745.18010000000004</v>
      </c>
      <c r="D1237" s="92">
        <v>124.30670000000001</v>
      </c>
      <c r="E1237" s="92"/>
      <c r="F1237" s="92">
        <v>1.704167</v>
      </c>
      <c r="G1237" s="92">
        <v>745.32460000000003</v>
      </c>
      <c r="H1237" s="92">
        <v>123.7086</v>
      </c>
      <c r="I1237" s="92"/>
      <c r="J1237" s="93">
        <f t="shared" si="26"/>
        <v>0.14449999999999363</v>
      </c>
    </row>
    <row r="1238" spans="2:10" x14ac:dyDescent="0.2">
      <c r="B1238" s="92">
        <v>1.7055560000000001</v>
      </c>
      <c r="C1238" s="92">
        <v>745.18140000000005</v>
      </c>
      <c r="D1238" s="92">
        <v>124.30840000000001</v>
      </c>
      <c r="E1238" s="92"/>
      <c r="F1238" s="92">
        <v>1.7055560000000001</v>
      </c>
      <c r="G1238" s="92">
        <v>745.2663</v>
      </c>
      <c r="H1238" s="92">
        <v>123.7086</v>
      </c>
      <c r="I1238" s="92"/>
      <c r="J1238" s="93">
        <f t="shared" si="26"/>
        <v>8.4899999999947795E-2</v>
      </c>
    </row>
    <row r="1239" spans="2:10" x14ac:dyDescent="0.2">
      <c r="B1239" s="92">
        <v>1.706944</v>
      </c>
      <c r="C1239" s="92">
        <v>745.17150000000004</v>
      </c>
      <c r="D1239" s="92">
        <v>124.31659999999999</v>
      </c>
      <c r="E1239" s="92"/>
      <c r="F1239" s="92">
        <v>1.706944</v>
      </c>
      <c r="G1239" s="92">
        <v>745.24419999999998</v>
      </c>
      <c r="H1239" s="92">
        <v>123.7052</v>
      </c>
      <c r="I1239" s="92"/>
      <c r="J1239" s="93">
        <f t="shared" si="26"/>
        <v>7.2699999999940701E-2</v>
      </c>
    </row>
    <row r="1240" spans="2:10" x14ac:dyDescent="0.2">
      <c r="B1240" s="92">
        <v>1.7083330000000001</v>
      </c>
      <c r="C1240" s="92">
        <v>745.15359999999998</v>
      </c>
      <c r="D1240" s="92">
        <v>124.3216</v>
      </c>
      <c r="E1240" s="92"/>
      <c r="F1240" s="92">
        <v>1.7083330000000001</v>
      </c>
      <c r="G1240" s="92">
        <v>745.24599999999998</v>
      </c>
      <c r="H1240" s="92">
        <v>123.7135</v>
      </c>
      <c r="I1240" s="92"/>
      <c r="J1240" s="93">
        <f t="shared" si="26"/>
        <v>9.2399999999997817E-2</v>
      </c>
    </row>
    <row r="1241" spans="2:10" x14ac:dyDescent="0.2">
      <c r="B1241" s="92">
        <v>1.709722</v>
      </c>
      <c r="C1241" s="92">
        <v>745.19579999999996</v>
      </c>
      <c r="D1241" s="92">
        <v>124.3266</v>
      </c>
      <c r="E1241" s="92"/>
      <c r="F1241" s="92">
        <v>1.709722</v>
      </c>
      <c r="G1241" s="92">
        <v>745.28660000000002</v>
      </c>
      <c r="H1241" s="92">
        <v>123.72190000000001</v>
      </c>
      <c r="I1241" s="92"/>
      <c r="J1241" s="93">
        <f t="shared" si="26"/>
        <v>9.080000000005839E-2</v>
      </c>
    </row>
    <row r="1242" spans="2:10" x14ac:dyDescent="0.2">
      <c r="B1242" s="92">
        <v>1.711111</v>
      </c>
      <c r="C1242" s="92">
        <v>745.20939999999996</v>
      </c>
      <c r="D1242" s="92">
        <v>124.32989999999999</v>
      </c>
      <c r="E1242" s="92"/>
      <c r="F1242" s="92">
        <v>1.711111</v>
      </c>
      <c r="G1242" s="92">
        <v>745.27869999999996</v>
      </c>
      <c r="H1242" s="92">
        <v>123.7302</v>
      </c>
      <c r="I1242" s="92"/>
      <c r="J1242" s="93">
        <f t="shared" si="26"/>
        <v>6.9299999999998363E-2</v>
      </c>
    </row>
    <row r="1243" spans="2:10" x14ac:dyDescent="0.2">
      <c r="B1243" s="92">
        <v>1.7124999999999999</v>
      </c>
      <c r="C1243" s="92">
        <v>745.20519999999999</v>
      </c>
      <c r="D1243" s="92">
        <v>124.33159999999999</v>
      </c>
      <c r="E1243" s="92"/>
      <c r="F1243" s="92">
        <v>1.7124999999999999</v>
      </c>
      <c r="G1243" s="92">
        <v>745.22749999999996</v>
      </c>
      <c r="H1243" s="92">
        <v>123.7268</v>
      </c>
      <c r="I1243" s="92"/>
      <c r="J1243" s="93">
        <f t="shared" si="26"/>
        <v>2.2299999999972897E-2</v>
      </c>
    </row>
    <row r="1244" spans="2:10" x14ac:dyDescent="0.2">
      <c r="B1244" s="92">
        <v>1.713889</v>
      </c>
      <c r="C1244" s="92">
        <v>745.17920000000004</v>
      </c>
      <c r="D1244" s="92">
        <v>124.33320000000001</v>
      </c>
      <c r="E1244" s="92"/>
      <c r="F1244" s="92">
        <v>1.713889</v>
      </c>
      <c r="G1244" s="92">
        <v>745.29110000000003</v>
      </c>
      <c r="H1244" s="92">
        <v>123.73350000000001</v>
      </c>
      <c r="I1244" s="92"/>
      <c r="J1244" s="93">
        <f t="shared" si="26"/>
        <v>0.11189999999999145</v>
      </c>
    </row>
    <row r="1245" spans="2:10" x14ac:dyDescent="0.2">
      <c r="B1245" s="92">
        <v>1.7152780000000001</v>
      </c>
      <c r="C1245" s="92">
        <v>745.15989999999999</v>
      </c>
      <c r="D1245" s="92">
        <v>124.3365</v>
      </c>
      <c r="E1245" s="92"/>
      <c r="F1245" s="92">
        <v>1.7152780000000001</v>
      </c>
      <c r="G1245" s="92">
        <v>745.322</v>
      </c>
      <c r="H1245" s="92">
        <v>123.7418</v>
      </c>
      <c r="I1245" s="92"/>
      <c r="J1245" s="93">
        <f t="shared" si="26"/>
        <v>0.16210000000000946</v>
      </c>
    </row>
    <row r="1246" spans="2:10" x14ac:dyDescent="0.2">
      <c r="B1246" s="92">
        <v>1.7166669999999999</v>
      </c>
      <c r="C1246" s="92">
        <v>745.15840000000003</v>
      </c>
      <c r="D1246" s="92">
        <v>124.3415</v>
      </c>
      <c r="E1246" s="92"/>
      <c r="F1246" s="92">
        <v>1.7166669999999999</v>
      </c>
      <c r="G1246" s="92">
        <v>745.24429999999995</v>
      </c>
      <c r="H1246" s="92">
        <v>123.7418</v>
      </c>
      <c r="I1246" s="92"/>
      <c r="J1246" s="93">
        <f t="shared" si="26"/>
        <v>8.5899999999924148E-2</v>
      </c>
    </row>
    <row r="1247" spans="2:10" x14ac:dyDescent="0.2">
      <c r="B1247" s="92">
        <v>1.718056</v>
      </c>
      <c r="C1247" s="92">
        <v>745.20219999999995</v>
      </c>
      <c r="D1247" s="92">
        <v>124.3415</v>
      </c>
      <c r="E1247" s="92"/>
      <c r="F1247" s="92">
        <v>1.718056</v>
      </c>
      <c r="G1247" s="92">
        <v>745.31449999999995</v>
      </c>
      <c r="H1247" s="92">
        <v>123.7385</v>
      </c>
      <c r="I1247" s="92"/>
      <c r="J1247" s="93">
        <f t="shared" si="26"/>
        <v>0.11230000000000473</v>
      </c>
    </row>
    <row r="1248" spans="2:10" x14ac:dyDescent="0.2">
      <c r="B1248" s="92">
        <v>1.719444</v>
      </c>
      <c r="C1248" s="92">
        <v>745.17589999999996</v>
      </c>
      <c r="D1248" s="92">
        <v>124.3498</v>
      </c>
      <c r="E1248" s="92"/>
      <c r="F1248" s="92">
        <v>1.719444</v>
      </c>
      <c r="G1248" s="92">
        <v>745.30169999999998</v>
      </c>
      <c r="H1248" s="92">
        <v>123.74679999999999</v>
      </c>
      <c r="I1248" s="92"/>
      <c r="J1248" s="93">
        <f t="shared" si="26"/>
        <v>0.12580000000002656</v>
      </c>
    </row>
    <row r="1249" spans="2:10" x14ac:dyDescent="0.2">
      <c r="B1249" s="92">
        <v>1.7208330000000001</v>
      </c>
      <c r="C1249" s="92">
        <v>745.20740000000001</v>
      </c>
      <c r="D1249" s="92">
        <v>124.3481</v>
      </c>
      <c r="E1249" s="92"/>
      <c r="F1249" s="92">
        <v>1.7208330000000001</v>
      </c>
      <c r="G1249" s="92">
        <v>745.26279999999997</v>
      </c>
      <c r="H1249" s="92">
        <v>123.74679999999999</v>
      </c>
      <c r="I1249" s="92"/>
      <c r="J1249" s="93">
        <f t="shared" si="26"/>
        <v>5.5399999999963256E-2</v>
      </c>
    </row>
    <row r="1250" spans="2:10" x14ac:dyDescent="0.2">
      <c r="B1250" s="92">
        <v>1.7222219999999999</v>
      </c>
      <c r="C1250" s="92">
        <v>745.15800000000002</v>
      </c>
      <c r="D1250" s="92">
        <v>124.35469999999999</v>
      </c>
      <c r="E1250" s="92"/>
      <c r="F1250" s="92">
        <v>1.7222219999999999</v>
      </c>
      <c r="G1250" s="92">
        <v>745.22929999999997</v>
      </c>
      <c r="H1250" s="92">
        <v>123.7535</v>
      </c>
      <c r="I1250" s="92"/>
      <c r="J1250" s="93">
        <f t="shared" si="26"/>
        <v>7.1299999999951069E-2</v>
      </c>
    </row>
    <row r="1251" spans="2:10" x14ac:dyDescent="0.2">
      <c r="B1251" s="92">
        <v>1.723611</v>
      </c>
      <c r="C1251" s="92">
        <v>745.18380000000002</v>
      </c>
      <c r="D1251" s="92">
        <v>124.3597</v>
      </c>
      <c r="E1251" s="92"/>
      <c r="F1251" s="92">
        <v>1.723611</v>
      </c>
      <c r="G1251" s="92">
        <v>745.26369999999997</v>
      </c>
      <c r="H1251" s="92">
        <v>123.76009999999999</v>
      </c>
      <c r="I1251" s="92"/>
      <c r="J1251" s="93">
        <f t="shared" si="26"/>
        <v>7.9899999999952342E-2</v>
      </c>
    </row>
    <row r="1252" spans="2:10" x14ac:dyDescent="0.2">
      <c r="B1252" s="92">
        <v>1.7250000000000001</v>
      </c>
      <c r="C1252" s="92">
        <v>745.17960000000005</v>
      </c>
      <c r="D1252" s="92">
        <v>124.3614</v>
      </c>
      <c r="E1252" s="92"/>
      <c r="F1252" s="92">
        <v>1.7250000000000001</v>
      </c>
      <c r="G1252" s="92">
        <v>745.24779999999998</v>
      </c>
      <c r="H1252" s="92">
        <v>123.75839999999999</v>
      </c>
      <c r="I1252" s="92"/>
      <c r="J1252" s="93">
        <f t="shared" si="26"/>
        <v>6.8199999999933425E-2</v>
      </c>
    </row>
    <row r="1253" spans="2:10" x14ac:dyDescent="0.2">
      <c r="B1253" s="92">
        <v>1.726389</v>
      </c>
      <c r="C1253" s="92">
        <v>745.16300000000001</v>
      </c>
      <c r="D1253" s="92">
        <v>124.36799999999999</v>
      </c>
      <c r="E1253" s="92"/>
      <c r="F1253" s="92">
        <v>1.726389</v>
      </c>
      <c r="G1253" s="92">
        <v>745.23320000000001</v>
      </c>
      <c r="H1253" s="92">
        <v>123.75839999999999</v>
      </c>
      <c r="I1253" s="92"/>
      <c r="J1253" s="93">
        <f t="shared" si="26"/>
        <v>7.0199999999999818E-2</v>
      </c>
    </row>
    <row r="1254" spans="2:10" x14ac:dyDescent="0.2">
      <c r="B1254" s="92">
        <v>1.727778</v>
      </c>
      <c r="C1254" s="92">
        <v>745.1617</v>
      </c>
      <c r="D1254" s="92">
        <v>124.3663</v>
      </c>
      <c r="E1254" s="92"/>
      <c r="F1254" s="92">
        <v>1.727778</v>
      </c>
      <c r="G1254" s="92">
        <v>745.25980000000004</v>
      </c>
      <c r="H1254" s="92">
        <v>123.7734</v>
      </c>
      <c r="I1254" s="92"/>
      <c r="J1254" s="93">
        <f t="shared" si="26"/>
        <v>9.8100000000044929E-2</v>
      </c>
    </row>
    <row r="1255" spans="2:10" x14ac:dyDescent="0.2">
      <c r="B1255" s="92">
        <v>1.7291669999999999</v>
      </c>
      <c r="C1255" s="92">
        <v>745.1943</v>
      </c>
      <c r="D1255" s="92">
        <v>124.373</v>
      </c>
      <c r="E1255" s="92"/>
      <c r="F1255" s="92">
        <v>1.7291669999999999</v>
      </c>
      <c r="G1255" s="92">
        <v>745.28269999999998</v>
      </c>
      <c r="H1255" s="92">
        <v>123.7717</v>
      </c>
      <c r="I1255" s="92"/>
      <c r="J1255" s="93">
        <f t="shared" si="26"/>
        <v>8.8399999999978718E-2</v>
      </c>
    </row>
    <row r="1256" spans="2:10" x14ac:dyDescent="0.2">
      <c r="B1256" s="92">
        <v>1.730556</v>
      </c>
      <c r="C1256" s="92">
        <v>745.17240000000004</v>
      </c>
      <c r="D1256" s="92">
        <v>124.373</v>
      </c>
      <c r="E1256" s="92"/>
      <c r="F1256" s="92">
        <v>1.730556</v>
      </c>
      <c r="G1256" s="92">
        <v>745.23059999999998</v>
      </c>
      <c r="H1256" s="92">
        <v>123.7734</v>
      </c>
      <c r="I1256" s="92"/>
      <c r="J1256" s="93">
        <f t="shared" si="26"/>
        <v>5.819999999994252E-2</v>
      </c>
    </row>
    <row r="1257" spans="2:10" x14ac:dyDescent="0.2">
      <c r="B1257" s="92">
        <v>1.7319439999999999</v>
      </c>
      <c r="C1257" s="92">
        <v>745.18050000000005</v>
      </c>
      <c r="D1257" s="92">
        <v>124.3763</v>
      </c>
      <c r="E1257" s="92"/>
      <c r="F1257" s="92">
        <v>1.7319439999999999</v>
      </c>
      <c r="G1257" s="92">
        <v>745.26769999999999</v>
      </c>
      <c r="H1257" s="92">
        <v>123.7834</v>
      </c>
      <c r="I1257" s="92"/>
      <c r="J1257" s="93">
        <f t="shared" si="26"/>
        <v>8.7199999999938882E-2</v>
      </c>
    </row>
    <row r="1258" spans="2:10" x14ac:dyDescent="0.2">
      <c r="B1258" s="92">
        <v>1.733333</v>
      </c>
      <c r="C1258" s="92">
        <v>745.1422</v>
      </c>
      <c r="D1258" s="92">
        <v>124.3763</v>
      </c>
      <c r="E1258" s="92"/>
      <c r="F1258" s="92">
        <v>1.733333</v>
      </c>
      <c r="G1258" s="92">
        <v>745.20460000000003</v>
      </c>
      <c r="H1258" s="92">
        <v>123.7834</v>
      </c>
      <c r="I1258" s="92"/>
      <c r="J1258" s="93">
        <f t="shared" si="26"/>
        <v>6.2400000000025102E-2</v>
      </c>
    </row>
    <row r="1259" spans="2:10" x14ac:dyDescent="0.2">
      <c r="B1259" s="92">
        <v>1.7347220000000001</v>
      </c>
      <c r="C1259" s="92">
        <v>745.15269999999998</v>
      </c>
      <c r="D1259" s="92">
        <v>124.3895</v>
      </c>
      <c r="E1259" s="92"/>
      <c r="F1259" s="92">
        <v>1.7347220000000001</v>
      </c>
      <c r="G1259" s="92">
        <v>745.28719999999998</v>
      </c>
      <c r="H1259" s="92">
        <v>123.7834</v>
      </c>
      <c r="I1259" s="92"/>
      <c r="J1259" s="93">
        <f t="shared" si="26"/>
        <v>0.13450000000000273</v>
      </c>
    </row>
    <row r="1260" spans="2:10" x14ac:dyDescent="0.2">
      <c r="B1260" s="92">
        <v>1.736111</v>
      </c>
      <c r="C1260" s="92">
        <v>745.1748</v>
      </c>
      <c r="D1260" s="92">
        <v>124.38290000000001</v>
      </c>
      <c r="E1260" s="92"/>
      <c r="F1260" s="92">
        <v>1.736111</v>
      </c>
      <c r="G1260" s="92">
        <v>745.25540000000001</v>
      </c>
      <c r="H1260" s="92">
        <v>123.7983</v>
      </c>
      <c r="I1260" s="92"/>
      <c r="J1260" s="93">
        <f t="shared" si="26"/>
        <v>8.0600000000004002E-2</v>
      </c>
    </row>
    <row r="1261" spans="2:10" x14ac:dyDescent="0.2">
      <c r="B1261" s="92">
        <v>1.7375</v>
      </c>
      <c r="C1261" s="92">
        <v>745.19100000000003</v>
      </c>
      <c r="D1261" s="92">
        <v>124.3895</v>
      </c>
      <c r="E1261" s="92"/>
      <c r="F1261" s="92">
        <v>1.7375</v>
      </c>
      <c r="G1261" s="92">
        <v>745.26949999999999</v>
      </c>
      <c r="H1261" s="92">
        <v>123.79170000000001</v>
      </c>
      <c r="I1261" s="92"/>
      <c r="J1261" s="93">
        <f t="shared" si="26"/>
        <v>7.8499999999962711E-2</v>
      </c>
    </row>
    <row r="1262" spans="2:10" x14ac:dyDescent="0.2">
      <c r="B1262" s="92">
        <v>1.7388889999999999</v>
      </c>
      <c r="C1262" s="92">
        <v>745.19910000000004</v>
      </c>
      <c r="D1262" s="92">
        <v>124.39279999999999</v>
      </c>
      <c r="E1262" s="92"/>
      <c r="F1262" s="92">
        <v>1.7388889999999999</v>
      </c>
      <c r="G1262" s="92">
        <v>745.2912</v>
      </c>
      <c r="H1262" s="92">
        <v>123.80670000000001</v>
      </c>
      <c r="I1262" s="92"/>
      <c r="J1262" s="93">
        <f t="shared" si="26"/>
        <v>9.2099999999959437E-2</v>
      </c>
    </row>
    <row r="1263" spans="2:10" x14ac:dyDescent="0.2">
      <c r="B1263" s="92">
        <v>1.740278</v>
      </c>
      <c r="C1263" s="92">
        <v>745.14020000000005</v>
      </c>
      <c r="D1263" s="92">
        <v>124.39449999999999</v>
      </c>
      <c r="E1263" s="92"/>
      <c r="F1263" s="92">
        <v>1.740278</v>
      </c>
      <c r="G1263" s="92">
        <v>745.28359999999998</v>
      </c>
      <c r="H1263" s="92">
        <v>123.80329999999999</v>
      </c>
      <c r="I1263" s="92"/>
      <c r="J1263" s="93">
        <f t="shared" si="26"/>
        <v>0.1433999999999287</v>
      </c>
    </row>
    <row r="1264" spans="2:10" x14ac:dyDescent="0.2">
      <c r="B1264" s="92">
        <v>1.7416670000000001</v>
      </c>
      <c r="C1264" s="92">
        <v>745.19209999999998</v>
      </c>
      <c r="D1264" s="92">
        <v>124.3978</v>
      </c>
      <c r="E1264" s="92"/>
      <c r="F1264" s="92">
        <v>1.7416670000000001</v>
      </c>
      <c r="G1264" s="92">
        <v>745.21299999999997</v>
      </c>
      <c r="H1264" s="92">
        <v>123.8</v>
      </c>
      <c r="I1264" s="92"/>
      <c r="J1264" s="93">
        <f t="shared" si="26"/>
        <v>2.0899999999983265E-2</v>
      </c>
    </row>
    <row r="1265" spans="2:10" x14ac:dyDescent="0.2">
      <c r="B1265" s="92">
        <v>1.7430559999999999</v>
      </c>
      <c r="C1265" s="92">
        <v>745.15509999999995</v>
      </c>
      <c r="D1265" s="92">
        <v>124.3995</v>
      </c>
      <c r="E1265" s="92"/>
      <c r="F1265" s="92">
        <v>1.7430559999999999</v>
      </c>
      <c r="G1265" s="92">
        <v>745.27919999999995</v>
      </c>
      <c r="H1265" s="92">
        <v>123.81</v>
      </c>
      <c r="I1265" s="92"/>
      <c r="J1265" s="93">
        <f t="shared" si="26"/>
        <v>0.12409999999999854</v>
      </c>
    </row>
    <row r="1266" spans="2:10" x14ac:dyDescent="0.2">
      <c r="B1266" s="92">
        <v>1.7444440000000001</v>
      </c>
      <c r="C1266" s="92">
        <v>745.14790000000005</v>
      </c>
      <c r="D1266" s="92">
        <v>124.411</v>
      </c>
      <c r="E1266" s="92"/>
      <c r="F1266" s="92">
        <v>1.7444440000000001</v>
      </c>
      <c r="G1266" s="92">
        <v>745.2355</v>
      </c>
      <c r="H1266" s="92">
        <v>123.81</v>
      </c>
      <c r="I1266" s="92"/>
      <c r="J1266" s="93">
        <f t="shared" si="26"/>
        <v>8.7599999999952161E-2</v>
      </c>
    </row>
    <row r="1267" spans="2:10" x14ac:dyDescent="0.2">
      <c r="B1267" s="92">
        <v>1.745833</v>
      </c>
      <c r="C1267" s="92">
        <v>745.15909999999997</v>
      </c>
      <c r="D1267" s="92">
        <v>124.4044</v>
      </c>
      <c r="E1267" s="92"/>
      <c r="F1267" s="92">
        <v>1.745833</v>
      </c>
      <c r="G1267" s="92">
        <v>745.29380000000003</v>
      </c>
      <c r="H1267" s="92">
        <v>123.81</v>
      </c>
      <c r="I1267" s="92"/>
      <c r="J1267" s="93">
        <f t="shared" si="26"/>
        <v>0.13470000000006621</v>
      </c>
    </row>
    <row r="1268" spans="2:10" x14ac:dyDescent="0.2">
      <c r="B1268" s="92">
        <v>1.7472220000000001</v>
      </c>
      <c r="C1268" s="92">
        <v>745.17660000000001</v>
      </c>
      <c r="D1268" s="92">
        <v>124.4127</v>
      </c>
      <c r="E1268" s="92"/>
      <c r="F1268" s="92">
        <v>1.7472220000000001</v>
      </c>
      <c r="G1268" s="92">
        <v>745.28099999999995</v>
      </c>
      <c r="H1268" s="92">
        <v>123.81829999999999</v>
      </c>
      <c r="I1268" s="92"/>
      <c r="J1268" s="93">
        <f t="shared" si="26"/>
        <v>0.10439999999994143</v>
      </c>
    </row>
    <row r="1269" spans="2:10" x14ac:dyDescent="0.2">
      <c r="B1269" s="92">
        <v>1.7486109999999999</v>
      </c>
      <c r="C1269" s="92">
        <v>745.14530000000002</v>
      </c>
      <c r="D1269" s="92">
        <v>124.40770000000001</v>
      </c>
      <c r="E1269" s="92"/>
      <c r="F1269" s="92">
        <v>1.7486109999999999</v>
      </c>
      <c r="G1269" s="92">
        <v>745.2559</v>
      </c>
      <c r="H1269" s="92">
        <v>123.8233</v>
      </c>
      <c r="I1269" s="92"/>
      <c r="J1269" s="93">
        <f t="shared" si="26"/>
        <v>0.11059999999997672</v>
      </c>
    </row>
    <row r="1270" spans="2:10" x14ac:dyDescent="0.2">
      <c r="B1270" s="92">
        <v>1.75</v>
      </c>
      <c r="C1270" s="92">
        <v>745.14639999999997</v>
      </c>
      <c r="D1270" s="92">
        <v>124.416</v>
      </c>
      <c r="E1270" s="92"/>
      <c r="F1270" s="92">
        <v>1.75</v>
      </c>
      <c r="G1270" s="92">
        <v>745.25980000000004</v>
      </c>
      <c r="H1270" s="92">
        <v>123.8283</v>
      </c>
      <c r="I1270" s="92"/>
      <c r="J1270" s="93">
        <f t="shared" si="26"/>
        <v>0.11340000000006967</v>
      </c>
    </row>
    <row r="1271" spans="2:10" x14ac:dyDescent="0.2">
      <c r="B1271" s="92">
        <v>1.7513890000000001</v>
      </c>
      <c r="C1271" s="92">
        <v>745.19280000000003</v>
      </c>
      <c r="D1271" s="92">
        <v>124.41930000000001</v>
      </c>
      <c r="E1271" s="92"/>
      <c r="F1271" s="92">
        <v>1.7513890000000001</v>
      </c>
      <c r="G1271" s="92">
        <v>745.28279999999995</v>
      </c>
      <c r="H1271" s="92">
        <v>123.8266</v>
      </c>
      <c r="I1271" s="92"/>
      <c r="J1271" s="93">
        <f t="shared" si="26"/>
        <v>8.9999999999918145E-2</v>
      </c>
    </row>
    <row r="1272" spans="2:10" x14ac:dyDescent="0.2">
      <c r="B1272" s="92">
        <v>1.7527779999999999</v>
      </c>
      <c r="C1272" s="92">
        <v>745.17349999999999</v>
      </c>
      <c r="D1272" s="92">
        <v>124.4226</v>
      </c>
      <c r="E1272" s="92"/>
      <c r="F1272" s="92">
        <v>1.7527779999999999</v>
      </c>
      <c r="G1272" s="92">
        <v>745.28679999999997</v>
      </c>
      <c r="H1272" s="92">
        <v>123.83159999999999</v>
      </c>
      <c r="I1272" s="92"/>
      <c r="J1272" s="93">
        <f t="shared" si="26"/>
        <v>0.11329999999998108</v>
      </c>
    </row>
    <row r="1273" spans="2:10" x14ac:dyDescent="0.2">
      <c r="B1273" s="92">
        <v>1.754167</v>
      </c>
      <c r="C1273" s="92">
        <v>745.17589999999996</v>
      </c>
      <c r="D1273" s="92">
        <v>124.43259999999999</v>
      </c>
      <c r="E1273" s="92"/>
      <c r="F1273" s="92">
        <v>1.754167</v>
      </c>
      <c r="G1273" s="92">
        <v>745.25059999999996</v>
      </c>
      <c r="H1273" s="92">
        <v>123.8349</v>
      </c>
      <c r="I1273" s="92"/>
      <c r="J1273" s="93">
        <f t="shared" si="26"/>
        <v>7.4700000000007094E-2</v>
      </c>
    </row>
    <row r="1274" spans="2:10" x14ac:dyDescent="0.2">
      <c r="B1274" s="92">
        <v>1.7555559999999999</v>
      </c>
      <c r="C1274" s="92">
        <v>745.154</v>
      </c>
      <c r="D1274" s="92">
        <v>124.43259999999999</v>
      </c>
      <c r="E1274" s="92"/>
      <c r="F1274" s="92">
        <v>1.7555559999999999</v>
      </c>
      <c r="G1274" s="92">
        <v>745.28319999999997</v>
      </c>
      <c r="H1274" s="92">
        <v>123.83329999999999</v>
      </c>
      <c r="I1274" s="92"/>
      <c r="J1274" s="93">
        <f t="shared" si="26"/>
        <v>0.1291999999999689</v>
      </c>
    </row>
    <row r="1275" spans="2:10" x14ac:dyDescent="0.2">
      <c r="B1275" s="92">
        <v>1.7569440000000001</v>
      </c>
      <c r="C1275" s="92">
        <v>745.19650000000001</v>
      </c>
      <c r="D1275" s="92">
        <v>124.43089999999999</v>
      </c>
      <c r="E1275" s="92"/>
      <c r="F1275" s="92">
        <v>1.7569440000000001</v>
      </c>
      <c r="G1275" s="92">
        <v>745.2921</v>
      </c>
      <c r="H1275" s="92">
        <v>123.8383</v>
      </c>
      <c r="I1275" s="92"/>
      <c r="J1275" s="93">
        <f t="shared" si="26"/>
        <v>9.5599999999990359E-2</v>
      </c>
    </row>
    <row r="1276" spans="2:10" x14ac:dyDescent="0.2">
      <c r="B1276" s="92">
        <v>1.7583329999999999</v>
      </c>
      <c r="C1276" s="92">
        <v>745.15949999999998</v>
      </c>
      <c r="D1276" s="92">
        <v>124.43259999999999</v>
      </c>
      <c r="E1276" s="92"/>
      <c r="F1276" s="92">
        <v>1.7583329999999999</v>
      </c>
      <c r="G1276" s="92">
        <v>745.24699999999996</v>
      </c>
      <c r="H1276" s="92">
        <v>123.8366</v>
      </c>
      <c r="I1276" s="92"/>
      <c r="J1276" s="93">
        <f t="shared" si="26"/>
        <v>8.7499999999977263E-2</v>
      </c>
    </row>
    <row r="1277" spans="2:10" x14ac:dyDescent="0.2">
      <c r="B1277" s="92">
        <v>1.759722</v>
      </c>
      <c r="C1277" s="92">
        <v>745.15909999999997</v>
      </c>
      <c r="D1277" s="92">
        <v>124.44580000000001</v>
      </c>
      <c r="E1277" s="92"/>
      <c r="F1277" s="92">
        <v>1.759722</v>
      </c>
      <c r="G1277" s="92">
        <v>745.26430000000005</v>
      </c>
      <c r="H1277" s="92">
        <v>123.8399</v>
      </c>
      <c r="I1277" s="92"/>
      <c r="J1277" s="93">
        <f t="shared" si="26"/>
        <v>0.10520000000008167</v>
      </c>
    </row>
    <row r="1278" spans="2:10" x14ac:dyDescent="0.2">
      <c r="B1278" s="92">
        <v>1.7611110000000001</v>
      </c>
      <c r="C1278" s="92">
        <v>745.18269999999995</v>
      </c>
      <c r="D1278" s="92">
        <v>124.4342</v>
      </c>
      <c r="E1278" s="92"/>
      <c r="F1278" s="92">
        <v>1.7611110000000001</v>
      </c>
      <c r="G1278" s="92">
        <v>745.255</v>
      </c>
      <c r="H1278" s="92">
        <v>123.8466</v>
      </c>
      <c r="I1278" s="92"/>
      <c r="J1278" s="93">
        <f t="shared" si="26"/>
        <v>7.2300000000041109E-2</v>
      </c>
    </row>
    <row r="1279" spans="2:10" x14ac:dyDescent="0.2">
      <c r="B1279" s="92">
        <v>1.7625</v>
      </c>
      <c r="C1279" s="92">
        <v>745.16470000000004</v>
      </c>
      <c r="D1279" s="92">
        <v>124.4392</v>
      </c>
      <c r="E1279" s="92"/>
      <c r="F1279" s="92">
        <v>1.7625</v>
      </c>
      <c r="G1279" s="92">
        <v>745.29169999999999</v>
      </c>
      <c r="H1279" s="92">
        <v>123.84990000000001</v>
      </c>
      <c r="I1279" s="92"/>
      <c r="J1279" s="93">
        <f t="shared" si="26"/>
        <v>0.12699999999995271</v>
      </c>
    </row>
    <row r="1280" spans="2:10" x14ac:dyDescent="0.2">
      <c r="B1280" s="92">
        <v>1.763889</v>
      </c>
      <c r="C1280" s="92">
        <v>745.17700000000002</v>
      </c>
      <c r="D1280" s="92">
        <v>124.4409</v>
      </c>
      <c r="E1280" s="92"/>
      <c r="F1280" s="92">
        <v>1.763889</v>
      </c>
      <c r="G1280" s="92">
        <v>745.27840000000003</v>
      </c>
      <c r="H1280" s="92">
        <v>123.8516</v>
      </c>
      <c r="I1280" s="92"/>
      <c r="J1280" s="93">
        <f t="shared" si="26"/>
        <v>0.10140000000001237</v>
      </c>
    </row>
    <row r="1281" spans="2:10" x14ac:dyDescent="0.2">
      <c r="B1281" s="92">
        <v>1.7652779999999999</v>
      </c>
      <c r="C1281" s="92">
        <v>745.16579999999999</v>
      </c>
      <c r="D1281" s="92">
        <v>124.44750000000001</v>
      </c>
      <c r="E1281" s="92"/>
      <c r="F1281" s="92">
        <v>1.7652779999999999</v>
      </c>
      <c r="G1281" s="92">
        <v>745.26300000000003</v>
      </c>
      <c r="H1281" s="92">
        <v>123.8565</v>
      </c>
      <c r="I1281" s="92"/>
      <c r="J1281" s="93">
        <f t="shared" si="26"/>
        <v>9.7200000000043474E-2</v>
      </c>
    </row>
    <row r="1282" spans="2:10" x14ac:dyDescent="0.2">
      <c r="B1282" s="92">
        <v>1.766667</v>
      </c>
      <c r="C1282" s="92">
        <v>745.18489999999997</v>
      </c>
      <c r="D1282" s="92">
        <v>124.4508</v>
      </c>
      <c r="E1282" s="92"/>
      <c r="F1282" s="92">
        <v>1.766667</v>
      </c>
      <c r="G1282" s="92">
        <v>745.24879999999996</v>
      </c>
      <c r="H1282" s="92">
        <v>123.86320000000001</v>
      </c>
      <c r="I1282" s="92"/>
      <c r="J1282" s="93">
        <f t="shared" si="26"/>
        <v>6.3899999999989632E-2</v>
      </c>
    </row>
    <row r="1283" spans="2:10" x14ac:dyDescent="0.2">
      <c r="B1283" s="92">
        <v>1.7680560000000001</v>
      </c>
      <c r="C1283" s="92">
        <v>745.19140000000004</v>
      </c>
      <c r="D1283" s="92">
        <v>124.45910000000001</v>
      </c>
      <c r="E1283" s="92"/>
      <c r="F1283" s="92">
        <v>1.7680560000000001</v>
      </c>
      <c r="G1283" s="92">
        <v>745.2559</v>
      </c>
      <c r="H1283" s="92">
        <v>123.8599</v>
      </c>
      <c r="I1283" s="92"/>
      <c r="J1283" s="93">
        <f t="shared" si="26"/>
        <v>6.4499999999952706E-2</v>
      </c>
    </row>
    <row r="1284" spans="2:10" x14ac:dyDescent="0.2">
      <c r="B1284" s="92">
        <v>1.769444</v>
      </c>
      <c r="C1284" s="92">
        <v>745.20129999999995</v>
      </c>
      <c r="D1284" s="92">
        <v>124.4508</v>
      </c>
      <c r="E1284" s="92"/>
      <c r="F1284" s="92">
        <v>1.769444</v>
      </c>
      <c r="G1284" s="92">
        <v>745.27670000000001</v>
      </c>
      <c r="H1284" s="92">
        <v>123.86150000000001</v>
      </c>
      <c r="I1284" s="92"/>
      <c r="J1284" s="93">
        <f t="shared" si="26"/>
        <v>7.5400000000058753E-2</v>
      </c>
    </row>
    <row r="1285" spans="2:10" x14ac:dyDescent="0.2">
      <c r="B1285" s="92">
        <v>1.7708330000000001</v>
      </c>
      <c r="C1285" s="92">
        <v>745.15030000000002</v>
      </c>
      <c r="D1285" s="92">
        <v>124.4624</v>
      </c>
      <c r="E1285" s="92"/>
      <c r="F1285" s="92">
        <v>1.7708330000000001</v>
      </c>
      <c r="G1285" s="92">
        <v>745.27449999999999</v>
      </c>
      <c r="H1285" s="92">
        <v>123.86490000000001</v>
      </c>
      <c r="I1285" s="92"/>
      <c r="J1285" s="93">
        <f t="shared" si="26"/>
        <v>0.12419999999997344</v>
      </c>
    </row>
    <row r="1286" spans="2:10" x14ac:dyDescent="0.2">
      <c r="B1286" s="92">
        <v>1.772222</v>
      </c>
      <c r="C1286" s="92">
        <v>745.19280000000003</v>
      </c>
      <c r="D1286" s="92">
        <v>124.4607</v>
      </c>
      <c r="E1286" s="92"/>
      <c r="F1286" s="92">
        <v>1.772222</v>
      </c>
      <c r="G1286" s="92">
        <v>745.28679999999997</v>
      </c>
      <c r="H1286" s="92">
        <v>123.8682</v>
      </c>
      <c r="I1286" s="92"/>
      <c r="J1286" s="93">
        <f t="shared" si="26"/>
        <v>9.3999999999937245E-2</v>
      </c>
    </row>
    <row r="1287" spans="2:10" x14ac:dyDescent="0.2">
      <c r="B1287" s="92">
        <v>1.773611</v>
      </c>
      <c r="C1287" s="92">
        <v>745.16930000000002</v>
      </c>
      <c r="D1287" s="92">
        <v>124.4657</v>
      </c>
      <c r="E1287" s="92"/>
      <c r="F1287" s="92">
        <v>1.773611</v>
      </c>
      <c r="G1287" s="92">
        <v>745.29129999999998</v>
      </c>
      <c r="H1287" s="92">
        <v>123.8798</v>
      </c>
      <c r="I1287" s="92"/>
      <c r="J1287" s="93">
        <f t="shared" si="26"/>
        <v>0.12199999999995725</v>
      </c>
    </row>
    <row r="1288" spans="2:10" x14ac:dyDescent="0.2">
      <c r="B1288" s="92">
        <v>1.7749999999999999</v>
      </c>
      <c r="C1288" s="92">
        <v>745.19539999999995</v>
      </c>
      <c r="D1288" s="92">
        <v>124.464</v>
      </c>
      <c r="E1288" s="92"/>
      <c r="F1288" s="92">
        <v>1.7749999999999999</v>
      </c>
      <c r="G1288" s="92">
        <v>745.24400000000003</v>
      </c>
      <c r="H1288" s="92">
        <v>123.8815</v>
      </c>
      <c r="I1288" s="92"/>
      <c r="J1288" s="93">
        <f t="shared" si="26"/>
        <v>4.860000000007858E-2</v>
      </c>
    </row>
    <row r="1289" spans="2:10" x14ac:dyDescent="0.2">
      <c r="B1289" s="92">
        <v>1.776389</v>
      </c>
      <c r="C1289" s="92">
        <v>745.16930000000002</v>
      </c>
      <c r="D1289" s="92">
        <v>124.4657</v>
      </c>
      <c r="E1289" s="92"/>
      <c r="F1289" s="92">
        <v>1.776389</v>
      </c>
      <c r="G1289" s="92">
        <v>745.28989999999999</v>
      </c>
      <c r="H1289" s="92">
        <v>123.87820000000001</v>
      </c>
      <c r="I1289" s="92"/>
      <c r="J1289" s="93">
        <f t="shared" si="26"/>
        <v>0.12059999999996762</v>
      </c>
    </row>
    <row r="1290" spans="2:10" x14ac:dyDescent="0.2">
      <c r="B1290" s="92">
        <v>1.7777780000000001</v>
      </c>
      <c r="C1290" s="92">
        <v>745.14020000000005</v>
      </c>
      <c r="D1290" s="92">
        <v>124.4773</v>
      </c>
      <c r="E1290" s="92"/>
      <c r="F1290" s="92">
        <v>1.7777780000000001</v>
      </c>
      <c r="G1290" s="92">
        <v>745.29610000000002</v>
      </c>
      <c r="H1290" s="92">
        <v>123.8798</v>
      </c>
      <c r="I1290" s="92"/>
      <c r="J1290" s="93">
        <f t="shared" si="26"/>
        <v>0.15589999999997417</v>
      </c>
    </row>
    <row r="1291" spans="2:10" x14ac:dyDescent="0.2">
      <c r="B1291" s="92">
        <v>1.7791669999999999</v>
      </c>
      <c r="C1291" s="92">
        <v>745.19489999999996</v>
      </c>
      <c r="D1291" s="92">
        <v>124.4773</v>
      </c>
      <c r="E1291" s="92"/>
      <c r="F1291" s="92">
        <v>1.7791669999999999</v>
      </c>
      <c r="G1291" s="92">
        <v>745.27850000000001</v>
      </c>
      <c r="H1291" s="92">
        <v>123.88809999999999</v>
      </c>
      <c r="I1291" s="92"/>
      <c r="J1291" s="93">
        <f t="shared" ref="J1291:J1354" si="27">+ABS(G1291-C1291)</f>
        <v>8.3600000000046748E-2</v>
      </c>
    </row>
    <row r="1292" spans="2:10" x14ac:dyDescent="0.2">
      <c r="B1292" s="92">
        <v>1.780556</v>
      </c>
      <c r="C1292" s="92">
        <v>745.24159999999995</v>
      </c>
      <c r="D1292" s="92">
        <v>124.474</v>
      </c>
      <c r="E1292" s="92"/>
      <c r="F1292" s="92">
        <v>1.780556</v>
      </c>
      <c r="G1292" s="92">
        <v>745.25289999999995</v>
      </c>
      <c r="H1292" s="92">
        <v>123.8865</v>
      </c>
      <c r="I1292" s="92"/>
      <c r="J1292" s="93">
        <f t="shared" si="27"/>
        <v>1.1300000000005639E-2</v>
      </c>
    </row>
    <row r="1293" spans="2:10" x14ac:dyDescent="0.2">
      <c r="B1293" s="92">
        <v>1.781944</v>
      </c>
      <c r="C1293" s="92">
        <v>745.21400000000006</v>
      </c>
      <c r="D1293" s="92">
        <v>124.4806</v>
      </c>
      <c r="E1293" s="92"/>
      <c r="F1293" s="92">
        <v>1.781944</v>
      </c>
      <c r="G1293" s="92">
        <v>745.25239999999997</v>
      </c>
      <c r="H1293" s="92">
        <v>123.8981</v>
      </c>
      <c r="I1293" s="92"/>
      <c r="J1293" s="93">
        <f t="shared" si="27"/>
        <v>3.8399999999910506E-2</v>
      </c>
    </row>
    <row r="1294" spans="2:10" x14ac:dyDescent="0.2">
      <c r="B1294" s="92">
        <v>1.7833330000000001</v>
      </c>
      <c r="C1294" s="92">
        <v>745.17589999999996</v>
      </c>
      <c r="D1294" s="92">
        <v>124.474</v>
      </c>
      <c r="E1294" s="92"/>
      <c r="F1294" s="92">
        <v>1.7833330000000001</v>
      </c>
      <c r="G1294" s="92">
        <v>745.30100000000004</v>
      </c>
      <c r="H1294" s="92">
        <v>123.8981</v>
      </c>
      <c r="I1294" s="92"/>
      <c r="J1294" s="93">
        <f t="shared" si="27"/>
        <v>0.12510000000008858</v>
      </c>
    </row>
    <row r="1295" spans="2:10" x14ac:dyDescent="0.2">
      <c r="B1295" s="92">
        <v>1.7847219999999999</v>
      </c>
      <c r="C1295" s="92">
        <v>745.18380000000002</v>
      </c>
      <c r="D1295" s="92">
        <v>124.48390000000001</v>
      </c>
      <c r="E1295" s="92"/>
      <c r="F1295" s="92">
        <v>1.7847219999999999</v>
      </c>
      <c r="G1295" s="92">
        <v>745.27189999999996</v>
      </c>
      <c r="H1295" s="92">
        <v>123.8981</v>
      </c>
      <c r="I1295" s="92"/>
      <c r="J1295" s="93">
        <f t="shared" si="27"/>
        <v>8.8099999999940337E-2</v>
      </c>
    </row>
    <row r="1296" spans="2:10" x14ac:dyDescent="0.2">
      <c r="B1296" s="92">
        <v>1.786111</v>
      </c>
      <c r="C1296" s="92">
        <v>745.19079999999997</v>
      </c>
      <c r="D1296" s="92">
        <v>124.4789</v>
      </c>
      <c r="E1296" s="92"/>
      <c r="F1296" s="92">
        <v>1.786111</v>
      </c>
      <c r="G1296" s="92">
        <v>745.24760000000003</v>
      </c>
      <c r="H1296" s="92">
        <v>123.8981</v>
      </c>
      <c r="I1296" s="92"/>
      <c r="J1296" s="93">
        <f t="shared" si="27"/>
        <v>5.6800000000066575E-2</v>
      </c>
    </row>
    <row r="1297" spans="2:10" x14ac:dyDescent="0.2">
      <c r="B1297" s="92">
        <v>1.7875000000000001</v>
      </c>
      <c r="C1297" s="92">
        <v>745.12509999999997</v>
      </c>
      <c r="D1297" s="92">
        <v>124.4789</v>
      </c>
      <c r="E1297" s="92"/>
      <c r="F1297" s="92">
        <v>1.7875000000000001</v>
      </c>
      <c r="G1297" s="92">
        <v>745.25109999999995</v>
      </c>
      <c r="H1297" s="92">
        <v>123.8965</v>
      </c>
      <c r="I1297" s="92"/>
      <c r="J1297" s="93">
        <f t="shared" si="27"/>
        <v>0.12599999999997635</v>
      </c>
    </row>
    <row r="1298" spans="2:10" x14ac:dyDescent="0.2">
      <c r="B1298" s="92">
        <v>1.788889</v>
      </c>
      <c r="C1298" s="92">
        <v>745.18219999999997</v>
      </c>
      <c r="D1298" s="92">
        <v>124.4889</v>
      </c>
      <c r="E1298" s="92"/>
      <c r="F1298" s="92">
        <v>1.788889</v>
      </c>
      <c r="G1298" s="92">
        <v>745.27229999999997</v>
      </c>
      <c r="H1298" s="92">
        <v>123.90479999999999</v>
      </c>
      <c r="I1298" s="92"/>
      <c r="J1298" s="93">
        <f t="shared" si="27"/>
        <v>9.010000000000673E-2</v>
      </c>
    </row>
    <row r="1299" spans="2:10" x14ac:dyDescent="0.2">
      <c r="B1299" s="92">
        <v>1.790278</v>
      </c>
      <c r="C1299" s="92">
        <v>745.20389999999998</v>
      </c>
      <c r="D1299" s="92">
        <v>124.49550000000001</v>
      </c>
      <c r="E1299" s="92"/>
      <c r="F1299" s="92">
        <v>1.790278</v>
      </c>
      <c r="G1299" s="92">
        <v>745.2595</v>
      </c>
      <c r="H1299" s="92">
        <v>123.9131</v>
      </c>
      <c r="I1299" s="92"/>
      <c r="J1299" s="93">
        <f t="shared" si="27"/>
        <v>5.5600000000026739E-2</v>
      </c>
    </row>
    <row r="1300" spans="2:10" x14ac:dyDescent="0.2">
      <c r="B1300" s="92">
        <v>1.7916669999999999</v>
      </c>
      <c r="C1300" s="92">
        <v>745.17790000000002</v>
      </c>
      <c r="D1300" s="92">
        <v>124.49720000000001</v>
      </c>
      <c r="E1300" s="92"/>
      <c r="F1300" s="92">
        <v>1.7916669999999999</v>
      </c>
      <c r="G1300" s="92">
        <v>745.26570000000004</v>
      </c>
      <c r="H1300" s="92">
        <v>123.9147</v>
      </c>
      <c r="I1300" s="92"/>
      <c r="J1300" s="93">
        <f t="shared" si="27"/>
        <v>8.7800000000015643E-2</v>
      </c>
    </row>
    <row r="1301" spans="2:10" x14ac:dyDescent="0.2">
      <c r="B1301" s="92">
        <v>1.793056</v>
      </c>
      <c r="C1301" s="92">
        <v>745.13819999999998</v>
      </c>
      <c r="D1301" s="92">
        <v>124.49550000000001</v>
      </c>
      <c r="E1301" s="92"/>
      <c r="F1301" s="92">
        <v>1.793056</v>
      </c>
      <c r="G1301" s="92">
        <v>745.27409999999998</v>
      </c>
      <c r="H1301" s="92">
        <v>123.9131</v>
      </c>
      <c r="I1301" s="92"/>
      <c r="J1301" s="93">
        <f t="shared" si="27"/>
        <v>0.13589999999999236</v>
      </c>
    </row>
    <row r="1302" spans="2:10" x14ac:dyDescent="0.2">
      <c r="B1302" s="92">
        <v>1.7944439999999999</v>
      </c>
      <c r="C1302" s="92">
        <v>745.19560000000001</v>
      </c>
      <c r="D1302" s="92">
        <v>124.4988</v>
      </c>
      <c r="E1302" s="92"/>
      <c r="F1302" s="92">
        <v>1.7944439999999999</v>
      </c>
      <c r="G1302" s="92">
        <v>745.21839999999997</v>
      </c>
      <c r="H1302" s="92">
        <v>123.9164</v>
      </c>
      <c r="I1302" s="92"/>
      <c r="J1302" s="93">
        <f t="shared" si="27"/>
        <v>2.2799999999961074E-2</v>
      </c>
    </row>
    <row r="1303" spans="2:10" x14ac:dyDescent="0.2">
      <c r="B1303" s="92">
        <v>1.795833</v>
      </c>
      <c r="C1303" s="92">
        <v>745.17219999999998</v>
      </c>
      <c r="D1303" s="92">
        <v>124.5038</v>
      </c>
      <c r="E1303" s="92"/>
      <c r="F1303" s="92">
        <v>1.795833</v>
      </c>
      <c r="G1303" s="92">
        <v>745.26700000000005</v>
      </c>
      <c r="H1303" s="92">
        <v>123.9164</v>
      </c>
      <c r="I1303" s="92"/>
      <c r="J1303" s="93">
        <f t="shared" si="27"/>
        <v>9.4800000000077489E-2</v>
      </c>
    </row>
    <row r="1304" spans="2:10" x14ac:dyDescent="0.2">
      <c r="B1304" s="92">
        <v>1.7972220000000001</v>
      </c>
      <c r="C1304" s="92">
        <v>745.18439999999998</v>
      </c>
      <c r="D1304" s="92">
        <v>124.50539999999999</v>
      </c>
      <c r="E1304" s="92"/>
      <c r="F1304" s="92">
        <v>1.7972220000000001</v>
      </c>
      <c r="G1304" s="92">
        <v>745.27279999999996</v>
      </c>
      <c r="H1304" s="92">
        <v>123.9297</v>
      </c>
      <c r="I1304" s="92"/>
      <c r="J1304" s="93">
        <f t="shared" si="27"/>
        <v>8.8399999999978718E-2</v>
      </c>
    </row>
    <row r="1305" spans="2:10" x14ac:dyDescent="0.2">
      <c r="B1305" s="92">
        <v>1.798611</v>
      </c>
      <c r="C1305" s="92">
        <v>745.15030000000002</v>
      </c>
      <c r="D1305" s="92">
        <v>124.5038</v>
      </c>
      <c r="E1305" s="92"/>
      <c r="F1305" s="92">
        <v>1.798611</v>
      </c>
      <c r="G1305" s="92">
        <v>745.21979999999996</v>
      </c>
      <c r="H1305" s="92">
        <v>123.9181</v>
      </c>
      <c r="I1305" s="92"/>
      <c r="J1305" s="93">
        <f t="shared" si="27"/>
        <v>6.9499999999948159E-2</v>
      </c>
    </row>
    <row r="1306" spans="2:10" x14ac:dyDescent="0.2">
      <c r="B1306" s="92">
        <v>1.8</v>
      </c>
      <c r="C1306" s="92">
        <v>745.14350000000002</v>
      </c>
      <c r="D1306" s="92">
        <v>124.5021</v>
      </c>
      <c r="E1306" s="92"/>
      <c r="F1306" s="92">
        <v>1.8</v>
      </c>
      <c r="G1306" s="92">
        <v>745.23659999999995</v>
      </c>
      <c r="H1306" s="92">
        <v>123.93300000000001</v>
      </c>
      <c r="I1306" s="92"/>
      <c r="J1306" s="93">
        <f t="shared" si="27"/>
        <v>9.309999999993579E-2</v>
      </c>
    </row>
    <row r="1307" spans="2:10" x14ac:dyDescent="0.2">
      <c r="B1307" s="92">
        <v>1.8013889999999999</v>
      </c>
      <c r="C1307" s="92">
        <v>745.15970000000004</v>
      </c>
      <c r="D1307" s="92">
        <v>124.50879999999999</v>
      </c>
      <c r="E1307" s="92"/>
      <c r="F1307" s="92">
        <v>1.8013889999999999</v>
      </c>
      <c r="G1307" s="92">
        <v>745.25779999999997</v>
      </c>
      <c r="H1307" s="92">
        <v>123.92310000000001</v>
      </c>
      <c r="I1307" s="92"/>
      <c r="J1307" s="93">
        <f t="shared" si="27"/>
        <v>9.8099999999931242E-2</v>
      </c>
    </row>
    <row r="1308" spans="2:10" x14ac:dyDescent="0.2">
      <c r="B1308" s="92">
        <v>1.802778</v>
      </c>
      <c r="C1308" s="92">
        <v>745.20330000000001</v>
      </c>
      <c r="D1308" s="92">
        <v>124.5154</v>
      </c>
      <c r="E1308" s="92"/>
      <c r="F1308" s="92">
        <v>1.802778</v>
      </c>
      <c r="G1308" s="92">
        <v>745.25819999999999</v>
      </c>
      <c r="H1308" s="92">
        <v>123.9297</v>
      </c>
      <c r="I1308" s="92"/>
      <c r="J1308" s="93">
        <f t="shared" si="27"/>
        <v>5.489999999997508E-2</v>
      </c>
    </row>
    <row r="1309" spans="2:10" x14ac:dyDescent="0.2">
      <c r="B1309" s="92">
        <v>1.8041670000000001</v>
      </c>
      <c r="C1309" s="92">
        <v>745.17330000000004</v>
      </c>
      <c r="D1309" s="92">
        <v>124.5121</v>
      </c>
      <c r="E1309" s="92"/>
      <c r="F1309" s="92">
        <v>1.8041670000000001</v>
      </c>
      <c r="G1309" s="92">
        <v>745.27539999999999</v>
      </c>
      <c r="H1309" s="92">
        <v>123.93300000000001</v>
      </c>
      <c r="I1309" s="92"/>
      <c r="J1309" s="93">
        <f t="shared" si="27"/>
        <v>0.10209999999995034</v>
      </c>
    </row>
    <row r="1310" spans="2:10" x14ac:dyDescent="0.2">
      <c r="B1310" s="92">
        <v>1.8055559999999999</v>
      </c>
      <c r="C1310" s="92">
        <v>745.13499999999999</v>
      </c>
      <c r="D1310" s="92">
        <v>124.5121</v>
      </c>
      <c r="E1310" s="92"/>
      <c r="F1310" s="92">
        <v>1.8055559999999999</v>
      </c>
      <c r="G1310" s="92">
        <v>745.26220000000001</v>
      </c>
      <c r="H1310" s="92">
        <v>123.93470000000001</v>
      </c>
      <c r="I1310" s="92"/>
      <c r="J1310" s="93">
        <f t="shared" si="27"/>
        <v>0.12720000000001619</v>
      </c>
    </row>
    <row r="1311" spans="2:10" x14ac:dyDescent="0.2">
      <c r="B1311" s="92">
        <v>1.8069440000000001</v>
      </c>
      <c r="C1311" s="92">
        <v>745.13869999999997</v>
      </c>
      <c r="D1311" s="92">
        <v>124.52370000000001</v>
      </c>
      <c r="E1311" s="92"/>
      <c r="F1311" s="92">
        <v>1.8069440000000001</v>
      </c>
      <c r="G1311" s="92">
        <v>745.28390000000002</v>
      </c>
      <c r="H1311" s="92">
        <v>123.94970000000001</v>
      </c>
      <c r="I1311" s="92"/>
      <c r="J1311" s="93">
        <f t="shared" si="27"/>
        <v>0.14520000000004529</v>
      </c>
    </row>
    <row r="1312" spans="2:10" x14ac:dyDescent="0.2">
      <c r="B1312" s="92">
        <v>1.808333</v>
      </c>
      <c r="C1312" s="92">
        <v>745.17150000000004</v>
      </c>
      <c r="D1312" s="92">
        <v>124.52370000000001</v>
      </c>
      <c r="E1312" s="92"/>
      <c r="F1312" s="92">
        <v>1.808333</v>
      </c>
      <c r="G1312" s="92">
        <v>745.2799</v>
      </c>
      <c r="H1312" s="92">
        <v>123.9447</v>
      </c>
      <c r="I1312" s="92"/>
      <c r="J1312" s="93">
        <f t="shared" si="27"/>
        <v>0.10839999999996053</v>
      </c>
    </row>
    <row r="1313" spans="2:10" x14ac:dyDescent="0.2">
      <c r="B1313" s="92">
        <v>1.8097220000000001</v>
      </c>
      <c r="C1313" s="92">
        <v>745.18809999999996</v>
      </c>
      <c r="D1313" s="92">
        <v>124.517</v>
      </c>
      <c r="E1313" s="92"/>
      <c r="F1313" s="92">
        <v>1.8097220000000001</v>
      </c>
      <c r="G1313" s="92">
        <v>745.24940000000004</v>
      </c>
      <c r="H1313" s="92">
        <v>123.943</v>
      </c>
      <c r="I1313" s="92"/>
      <c r="J1313" s="93">
        <f t="shared" si="27"/>
        <v>6.1300000000073851E-2</v>
      </c>
    </row>
    <row r="1314" spans="2:10" x14ac:dyDescent="0.2">
      <c r="B1314" s="92">
        <v>1.8111109999999999</v>
      </c>
      <c r="C1314" s="92">
        <v>745.17830000000004</v>
      </c>
      <c r="D1314" s="92">
        <v>124.5253</v>
      </c>
      <c r="E1314" s="92"/>
      <c r="F1314" s="92">
        <v>1.8111109999999999</v>
      </c>
      <c r="G1314" s="92">
        <v>745.31169999999997</v>
      </c>
      <c r="H1314" s="92">
        <v>123.94799999999999</v>
      </c>
      <c r="I1314" s="92"/>
      <c r="J1314" s="93">
        <f t="shared" si="27"/>
        <v>0.13339999999993779</v>
      </c>
    </row>
    <row r="1315" spans="2:10" x14ac:dyDescent="0.2">
      <c r="B1315" s="92">
        <v>1.8125</v>
      </c>
      <c r="C1315" s="92">
        <v>745.11</v>
      </c>
      <c r="D1315" s="92">
        <v>124.52200000000001</v>
      </c>
      <c r="E1315" s="92"/>
      <c r="F1315" s="92">
        <v>1.8125</v>
      </c>
      <c r="G1315" s="92">
        <v>745.25599999999997</v>
      </c>
      <c r="H1315" s="92">
        <v>123.9513</v>
      </c>
      <c r="I1315" s="92"/>
      <c r="J1315" s="93">
        <f t="shared" si="27"/>
        <v>0.14599999999995816</v>
      </c>
    </row>
    <row r="1316" spans="2:10" x14ac:dyDescent="0.2">
      <c r="B1316" s="92">
        <v>1.8138890000000001</v>
      </c>
      <c r="C1316" s="92">
        <v>745.20150000000001</v>
      </c>
      <c r="D1316" s="92">
        <v>124.527</v>
      </c>
      <c r="E1316" s="92"/>
      <c r="F1316" s="92">
        <v>1.8138890000000001</v>
      </c>
      <c r="G1316" s="92">
        <v>745.24850000000004</v>
      </c>
      <c r="H1316" s="92">
        <v>123.94799999999999</v>
      </c>
      <c r="I1316" s="92"/>
      <c r="J1316" s="93">
        <f t="shared" si="27"/>
        <v>4.7000000000025466E-2</v>
      </c>
    </row>
    <row r="1317" spans="2:10" x14ac:dyDescent="0.2">
      <c r="B1317" s="92">
        <v>1.8152779999999999</v>
      </c>
      <c r="C1317" s="92">
        <v>745.19060000000002</v>
      </c>
      <c r="D1317" s="92">
        <v>124.527</v>
      </c>
      <c r="E1317" s="92"/>
      <c r="F1317" s="92">
        <v>1.8152779999999999</v>
      </c>
      <c r="G1317" s="92">
        <v>745.23170000000005</v>
      </c>
      <c r="H1317" s="92">
        <v>123.9513</v>
      </c>
      <c r="I1317" s="92"/>
      <c r="J1317" s="93">
        <f t="shared" si="27"/>
        <v>4.1100000000028558E-2</v>
      </c>
    </row>
    <row r="1318" spans="2:10" x14ac:dyDescent="0.2">
      <c r="B1318" s="92">
        <v>1.816667</v>
      </c>
      <c r="C1318" s="92">
        <v>745.15620000000001</v>
      </c>
      <c r="D1318" s="92">
        <v>124.53189999999999</v>
      </c>
      <c r="E1318" s="92"/>
      <c r="F1318" s="92">
        <v>1.816667</v>
      </c>
      <c r="G1318" s="92">
        <v>745.26840000000004</v>
      </c>
      <c r="H1318" s="92">
        <v>123.9547</v>
      </c>
      <c r="I1318" s="92"/>
      <c r="J1318" s="93">
        <f t="shared" si="27"/>
        <v>0.11220000000002983</v>
      </c>
    </row>
    <row r="1319" spans="2:10" x14ac:dyDescent="0.2">
      <c r="B1319" s="92">
        <v>1.8180559999999999</v>
      </c>
      <c r="C1319" s="92">
        <v>745.2</v>
      </c>
      <c r="D1319" s="92">
        <v>124.53189999999999</v>
      </c>
      <c r="E1319" s="92"/>
      <c r="F1319" s="92">
        <v>1.8180559999999999</v>
      </c>
      <c r="G1319" s="92">
        <v>745.26</v>
      </c>
      <c r="H1319" s="92">
        <v>123.9563</v>
      </c>
      <c r="I1319" s="92"/>
      <c r="J1319" s="93">
        <f t="shared" si="27"/>
        <v>5.999999999994543E-2</v>
      </c>
    </row>
    <row r="1320" spans="2:10" x14ac:dyDescent="0.2">
      <c r="B1320" s="92">
        <v>1.8194440000000001</v>
      </c>
      <c r="C1320" s="92">
        <v>745.17520000000002</v>
      </c>
      <c r="D1320" s="92">
        <v>124.53530000000001</v>
      </c>
      <c r="E1320" s="92"/>
      <c r="F1320" s="92">
        <v>1.8194440000000001</v>
      </c>
      <c r="G1320" s="92">
        <v>745.26490000000001</v>
      </c>
      <c r="H1320" s="92">
        <v>123.9563</v>
      </c>
      <c r="I1320" s="92"/>
      <c r="J1320" s="93">
        <f t="shared" si="27"/>
        <v>8.9699999999993452E-2</v>
      </c>
    </row>
    <row r="1321" spans="2:10" x14ac:dyDescent="0.2">
      <c r="B1321" s="92">
        <v>1.8208329999999999</v>
      </c>
      <c r="C1321" s="92">
        <v>745.20650000000001</v>
      </c>
      <c r="D1321" s="92">
        <v>124.5402</v>
      </c>
      <c r="E1321" s="92"/>
      <c r="F1321" s="92">
        <v>1.8208329999999999</v>
      </c>
      <c r="G1321" s="92">
        <v>745.20699999999999</v>
      </c>
      <c r="H1321" s="92">
        <v>123.96299999999999</v>
      </c>
      <c r="I1321" s="92"/>
      <c r="J1321" s="93">
        <f t="shared" si="27"/>
        <v>4.9999999998817657E-4</v>
      </c>
    </row>
    <row r="1322" spans="2:10" x14ac:dyDescent="0.2">
      <c r="B1322" s="92">
        <v>1.822222</v>
      </c>
      <c r="C1322" s="92">
        <v>745.15049999999997</v>
      </c>
      <c r="D1322" s="92">
        <v>124.5386</v>
      </c>
      <c r="E1322" s="92"/>
      <c r="F1322" s="92">
        <v>1.822222</v>
      </c>
      <c r="G1322" s="92">
        <v>745.24019999999996</v>
      </c>
      <c r="H1322" s="92">
        <v>123.968</v>
      </c>
      <c r="I1322" s="92"/>
      <c r="J1322" s="93">
        <f t="shared" si="27"/>
        <v>8.9699999999993452E-2</v>
      </c>
    </row>
    <row r="1323" spans="2:10" x14ac:dyDescent="0.2">
      <c r="B1323" s="92">
        <v>1.8236110000000001</v>
      </c>
      <c r="C1323" s="92">
        <v>745.13930000000005</v>
      </c>
      <c r="D1323" s="92">
        <v>124.54519999999999</v>
      </c>
      <c r="E1323" s="92"/>
      <c r="F1323" s="92">
        <v>1.8236110000000001</v>
      </c>
      <c r="G1323" s="92">
        <v>745.26310000000001</v>
      </c>
      <c r="H1323" s="92">
        <v>123.9663</v>
      </c>
      <c r="I1323" s="92"/>
      <c r="J1323" s="93">
        <f t="shared" si="27"/>
        <v>0.12379999999996016</v>
      </c>
    </row>
    <row r="1324" spans="2:10" x14ac:dyDescent="0.2">
      <c r="B1324" s="92">
        <v>1.825</v>
      </c>
      <c r="C1324" s="92">
        <v>745.21730000000002</v>
      </c>
      <c r="D1324" s="92">
        <v>124.5468</v>
      </c>
      <c r="E1324" s="92"/>
      <c r="F1324" s="92">
        <v>1.825</v>
      </c>
      <c r="G1324" s="92">
        <v>745.23929999999996</v>
      </c>
      <c r="H1324" s="92">
        <v>123.9729</v>
      </c>
      <c r="I1324" s="92"/>
      <c r="J1324" s="93">
        <f t="shared" si="27"/>
        <v>2.1999999999934516E-2</v>
      </c>
    </row>
    <row r="1325" spans="2:10" x14ac:dyDescent="0.2">
      <c r="B1325" s="92">
        <v>1.826389</v>
      </c>
      <c r="C1325" s="92">
        <v>745.1268</v>
      </c>
      <c r="D1325" s="92">
        <v>124.5502</v>
      </c>
      <c r="E1325" s="92"/>
      <c r="F1325" s="92">
        <v>1.826389</v>
      </c>
      <c r="G1325" s="92">
        <v>745.21720000000005</v>
      </c>
      <c r="H1325" s="92">
        <v>123.9696</v>
      </c>
      <c r="I1325" s="92"/>
      <c r="J1325" s="93">
        <f t="shared" si="27"/>
        <v>9.0400000000045111E-2</v>
      </c>
    </row>
    <row r="1326" spans="2:10" x14ac:dyDescent="0.2">
      <c r="B1326" s="92">
        <v>1.8277779999999999</v>
      </c>
      <c r="C1326" s="92">
        <v>745.19539999999995</v>
      </c>
      <c r="D1326" s="92">
        <v>124.5468</v>
      </c>
      <c r="E1326" s="92"/>
      <c r="F1326" s="92">
        <v>1.8277779999999999</v>
      </c>
      <c r="G1326" s="92">
        <v>745.25300000000004</v>
      </c>
      <c r="H1326" s="92">
        <v>123.97790000000001</v>
      </c>
      <c r="I1326" s="92"/>
      <c r="J1326" s="93">
        <f t="shared" si="27"/>
        <v>5.7600000000093132E-2</v>
      </c>
    </row>
    <row r="1327" spans="2:10" x14ac:dyDescent="0.2">
      <c r="B1327" s="92">
        <v>1.829167</v>
      </c>
      <c r="C1327" s="92">
        <v>745.1748</v>
      </c>
      <c r="D1327" s="92">
        <v>124.5485</v>
      </c>
      <c r="E1327" s="92"/>
      <c r="F1327" s="92">
        <v>1.829167</v>
      </c>
      <c r="G1327" s="92">
        <v>745.26890000000003</v>
      </c>
      <c r="H1327" s="92">
        <v>123.9796</v>
      </c>
      <c r="I1327" s="92"/>
      <c r="J1327" s="93">
        <f t="shared" si="27"/>
        <v>9.410000000002583E-2</v>
      </c>
    </row>
    <row r="1328" spans="2:10" x14ac:dyDescent="0.2">
      <c r="B1328" s="92">
        <v>1.8305560000000001</v>
      </c>
      <c r="C1328" s="92">
        <v>745.17610000000002</v>
      </c>
      <c r="D1328" s="92">
        <v>124.5502</v>
      </c>
      <c r="E1328" s="92"/>
      <c r="F1328" s="92">
        <v>1.8305560000000001</v>
      </c>
      <c r="G1328" s="92">
        <v>745.27509999999995</v>
      </c>
      <c r="H1328" s="92">
        <v>123.9813</v>
      </c>
      <c r="I1328" s="92"/>
      <c r="J1328" s="93">
        <f t="shared" si="27"/>
        <v>9.8999999999932697E-2</v>
      </c>
    </row>
    <row r="1329" spans="2:10" x14ac:dyDescent="0.2">
      <c r="B1329" s="92">
        <v>1.831944</v>
      </c>
      <c r="C1329" s="92">
        <v>745.22540000000004</v>
      </c>
      <c r="D1329" s="92">
        <v>124.5502</v>
      </c>
      <c r="E1329" s="92"/>
      <c r="F1329" s="92">
        <v>1.831944</v>
      </c>
      <c r="G1329" s="92">
        <v>745.32899999999995</v>
      </c>
      <c r="H1329" s="92">
        <v>123.9879</v>
      </c>
      <c r="I1329" s="92"/>
      <c r="J1329" s="93">
        <f t="shared" si="27"/>
        <v>0.10359999999991487</v>
      </c>
    </row>
    <row r="1330" spans="2:10" x14ac:dyDescent="0.2">
      <c r="B1330" s="92">
        <v>1.8333330000000001</v>
      </c>
      <c r="C1330" s="92">
        <v>745.23059999999998</v>
      </c>
      <c r="D1330" s="92">
        <v>124.5568</v>
      </c>
      <c r="E1330" s="92"/>
      <c r="F1330" s="92">
        <v>1.8333330000000001</v>
      </c>
      <c r="G1330" s="92">
        <v>745.36339999999996</v>
      </c>
      <c r="H1330" s="92">
        <v>123.99460000000001</v>
      </c>
      <c r="I1330" s="92"/>
      <c r="J1330" s="93">
        <f t="shared" si="27"/>
        <v>0.13279999999997472</v>
      </c>
    </row>
    <row r="1331" spans="2:10" x14ac:dyDescent="0.2">
      <c r="B1331" s="92">
        <v>1.834722</v>
      </c>
      <c r="C1331" s="92">
        <v>745.27719999999999</v>
      </c>
      <c r="D1331" s="92">
        <v>124.5535</v>
      </c>
      <c r="E1331" s="92"/>
      <c r="F1331" s="92">
        <v>1.834722</v>
      </c>
      <c r="G1331" s="92">
        <v>745.37800000000004</v>
      </c>
      <c r="H1331" s="92">
        <v>123.99460000000001</v>
      </c>
      <c r="I1331" s="92"/>
      <c r="J1331" s="93">
        <f t="shared" si="27"/>
        <v>0.10080000000004929</v>
      </c>
    </row>
    <row r="1332" spans="2:10" x14ac:dyDescent="0.2">
      <c r="B1332" s="92">
        <v>1.836111</v>
      </c>
      <c r="C1332" s="92">
        <v>745.30679999999995</v>
      </c>
      <c r="D1332" s="92">
        <v>124.57</v>
      </c>
      <c r="E1332" s="92"/>
      <c r="F1332" s="92">
        <v>1.836111</v>
      </c>
      <c r="G1332" s="92">
        <v>745.45</v>
      </c>
      <c r="H1332" s="92">
        <v>123.9996</v>
      </c>
      <c r="I1332" s="92"/>
      <c r="J1332" s="93">
        <f t="shared" si="27"/>
        <v>0.14320000000009259</v>
      </c>
    </row>
    <row r="1333" spans="2:10" x14ac:dyDescent="0.2">
      <c r="B1333" s="92">
        <v>1.8374999999999999</v>
      </c>
      <c r="C1333" s="92">
        <v>745.37090000000001</v>
      </c>
      <c r="D1333" s="92">
        <v>124.575</v>
      </c>
      <c r="E1333" s="92"/>
      <c r="F1333" s="92">
        <v>1.8374999999999999</v>
      </c>
      <c r="G1333" s="92">
        <v>745.4982</v>
      </c>
      <c r="H1333" s="92">
        <v>124.0112</v>
      </c>
      <c r="I1333" s="92"/>
      <c r="J1333" s="93">
        <f t="shared" si="27"/>
        <v>0.12729999999999109</v>
      </c>
    </row>
    <row r="1334" spans="2:10" x14ac:dyDescent="0.2">
      <c r="B1334" s="92">
        <v>1.838889</v>
      </c>
      <c r="C1334" s="92">
        <v>745.41300000000001</v>
      </c>
      <c r="D1334" s="92">
        <v>124.5866</v>
      </c>
      <c r="E1334" s="92"/>
      <c r="F1334" s="92">
        <v>1.838889</v>
      </c>
      <c r="G1334" s="92">
        <v>745.61080000000004</v>
      </c>
      <c r="H1334" s="92">
        <v>124.0245</v>
      </c>
      <c r="I1334" s="92"/>
      <c r="J1334" s="93">
        <f t="shared" si="27"/>
        <v>0.19780000000002929</v>
      </c>
    </row>
    <row r="1335" spans="2:10" x14ac:dyDescent="0.2">
      <c r="B1335" s="92">
        <v>1.8402780000000001</v>
      </c>
      <c r="C1335" s="92">
        <v>745.5575</v>
      </c>
      <c r="D1335" s="92">
        <v>124.6032</v>
      </c>
      <c r="E1335" s="92"/>
      <c r="F1335" s="92">
        <v>1.8402780000000001</v>
      </c>
      <c r="G1335" s="92">
        <v>745.70050000000003</v>
      </c>
      <c r="H1335" s="92">
        <v>124.0395</v>
      </c>
      <c r="I1335" s="92"/>
      <c r="J1335" s="93">
        <f t="shared" si="27"/>
        <v>0.1430000000000291</v>
      </c>
    </row>
    <row r="1336" spans="2:10" x14ac:dyDescent="0.2">
      <c r="B1336" s="92">
        <v>1.8416669999999999</v>
      </c>
      <c r="C1336" s="92">
        <v>745.6481</v>
      </c>
      <c r="D1336" s="92">
        <v>124.63460000000001</v>
      </c>
      <c r="E1336" s="92"/>
      <c r="F1336" s="92">
        <v>1.8416669999999999</v>
      </c>
      <c r="G1336" s="92">
        <v>745.85069999999996</v>
      </c>
      <c r="H1336" s="92">
        <v>124.0694</v>
      </c>
      <c r="I1336" s="92"/>
      <c r="J1336" s="93">
        <f t="shared" si="27"/>
        <v>0.20259999999996126</v>
      </c>
    </row>
    <row r="1337" spans="2:10" x14ac:dyDescent="0.2">
      <c r="B1337" s="92">
        <v>1.843056</v>
      </c>
      <c r="C1337" s="92">
        <v>745.72950000000003</v>
      </c>
      <c r="D1337" s="92">
        <v>124.6545</v>
      </c>
      <c r="E1337" s="92"/>
      <c r="F1337" s="92">
        <v>1.843056</v>
      </c>
      <c r="G1337" s="92">
        <v>745.95590000000004</v>
      </c>
      <c r="H1337" s="92">
        <v>124.0977</v>
      </c>
      <c r="I1337" s="92"/>
      <c r="J1337" s="93">
        <f t="shared" si="27"/>
        <v>0.22640000000001237</v>
      </c>
    </row>
    <row r="1338" spans="2:10" x14ac:dyDescent="0.2">
      <c r="B1338" s="92">
        <v>1.844444</v>
      </c>
      <c r="C1338" s="92">
        <v>745.86680000000001</v>
      </c>
      <c r="D1338" s="92">
        <v>124.6827</v>
      </c>
      <c r="E1338" s="92"/>
      <c r="F1338" s="92">
        <v>1.844444</v>
      </c>
      <c r="G1338" s="92">
        <v>745.99580000000003</v>
      </c>
      <c r="H1338" s="92">
        <v>124.1293</v>
      </c>
      <c r="I1338" s="92"/>
      <c r="J1338" s="93">
        <f t="shared" si="27"/>
        <v>0.1290000000000191</v>
      </c>
    </row>
    <row r="1339" spans="2:10" x14ac:dyDescent="0.2">
      <c r="B1339" s="92">
        <v>1.8458330000000001</v>
      </c>
      <c r="C1339" s="92">
        <v>745.95730000000003</v>
      </c>
      <c r="D1339" s="92">
        <v>124.7208</v>
      </c>
      <c r="E1339" s="92"/>
      <c r="F1339" s="92">
        <v>1.8458330000000001</v>
      </c>
      <c r="G1339" s="92">
        <v>746.12390000000005</v>
      </c>
      <c r="H1339" s="92">
        <v>124.1559</v>
      </c>
      <c r="I1339" s="92"/>
      <c r="J1339" s="93">
        <f t="shared" si="27"/>
        <v>0.16660000000001673</v>
      </c>
    </row>
    <row r="1340" spans="2:10" x14ac:dyDescent="0.2">
      <c r="B1340" s="92">
        <v>1.8472219999999999</v>
      </c>
      <c r="C1340" s="92">
        <v>745.99009999999998</v>
      </c>
      <c r="D1340" s="92">
        <v>124.76220000000001</v>
      </c>
      <c r="E1340" s="92"/>
      <c r="F1340" s="92">
        <v>1.8472219999999999</v>
      </c>
      <c r="G1340" s="92">
        <v>746.18060000000003</v>
      </c>
      <c r="H1340" s="92">
        <v>124.2024</v>
      </c>
      <c r="I1340" s="92"/>
      <c r="J1340" s="93">
        <f t="shared" si="27"/>
        <v>0.19050000000004275</v>
      </c>
    </row>
    <row r="1341" spans="2:10" x14ac:dyDescent="0.2">
      <c r="B1341" s="92">
        <v>1.848611</v>
      </c>
      <c r="C1341" s="92">
        <v>746.03420000000006</v>
      </c>
      <c r="D1341" s="92">
        <v>124.797</v>
      </c>
      <c r="E1341" s="92"/>
      <c r="F1341" s="92">
        <v>1.848611</v>
      </c>
      <c r="G1341" s="92">
        <v>746.26059999999995</v>
      </c>
      <c r="H1341" s="92">
        <v>124.23569999999999</v>
      </c>
      <c r="I1341" s="92"/>
      <c r="J1341" s="93">
        <f t="shared" si="27"/>
        <v>0.22639999999989868</v>
      </c>
    </row>
    <row r="1342" spans="2:10" x14ac:dyDescent="0.2">
      <c r="B1342" s="92">
        <v>1.85</v>
      </c>
      <c r="C1342" s="92">
        <v>746.18619999999999</v>
      </c>
      <c r="D1342" s="92">
        <v>124.83669999999999</v>
      </c>
      <c r="E1342" s="92"/>
      <c r="F1342" s="92">
        <v>1.85</v>
      </c>
      <c r="G1342" s="92">
        <v>746.37030000000004</v>
      </c>
      <c r="H1342" s="92">
        <v>124.2756</v>
      </c>
      <c r="I1342" s="92"/>
      <c r="J1342" s="93">
        <f t="shared" si="27"/>
        <v>0.18410000000005766</v>
      </c>
    </row>
    <row r="1343" spans="2:10" x14ac:dyDescent="0.2">
      <c r="B1343" s="92">
        <v>1.851389</v>
      </c>
      <c r="C1343" s="92">
        <v>746.30529999999999</v>
      </c>
      <c r="D1343" s="92">
        <v>124.87649999999999</v>
      </c>
      <c r="E1343" s="92"/>
      <c r="F1343" s="92">
        <v>1.851389</v>
      </c>
      <c r="G1343" s="92">
        <v>746.52639999999997</v>
      </c>
      <c r="H1343" s="92">
        <v>124.3188</v>
      </c>
      <c r="I1343" s="92"/>
      <c r="J1343" s="93">
        <f t="shared" si="27"/>
        <v>0.22109999999997854</v>
      </c>
    </row>
    <row r="1344" spans="2:10" x14ac:dyDescent="0.2">
      <c r="B1344" s="92">
        <v>1.852778</v>
      </c>
      <c r="C1344" s="92">
        <v>746.42319999999995</v>
      </c>
      <c r="D1344" s="92">
        <v>124.91459999999999</v>
      </c>
      <c r="E1344" s="92"/>
      <c r="F1344" s="92">
        <v>1.852778</v>
      </c>
      <c r="G1344" s="92">
        <v>746.6096</v>
      </c>
      <c r="H1344" s="92">
        <v>124.3621</v>
      </c>
      <c r="I1344" s="92"/>
      <c r="J1344" s="93">
        <f t="shared" si="27"/>
        <v>0.18640000000004875</v>
      </c>
    </row>
    <row r="1345" spans="2:10" x14ac:dyDescent="0.2">
      <c r="B1345" s="92">
        <v>1.8541669999999999</v>
      </c>
      <c r="C1345" s="92">
        <v>746.54759999999999</v>
      </c>
      <c r="D1345" s="92">
        <v>124.9609</v>
      </c>
      <c r="E1345" s="92"/>
      <c r="F1345" s="92">
        <v>1.8541669999999999</v>
      </c>
      <c r="G1345" s="92">
        <v>746.7577</v>
      </c>
      <c r="H1345" s="92">
        <v>124.4136</v>
      </c>
      <c r="I1345" s="92"/>
      <c r="J1345" s="93">
        <f t="shared" si="27"/>
        <v>0.21010000000001128</v>
      </c>
    </row>
    <row r="1346" spans="2:10" x14ac:dyDescent="0.2">
      <c r="B1346" s="92">
        <v>1.855556</v>
      </c>
      <c r="C1346" s="92">
        <v>746.70339999999999</v>
      </c>
      <c r="D1346" s="92">
        <v>125.0123</v>
      </c>
      <c r="E1346" s="92"/>
      <c r="F1346" s="92">
        <v>1.855556</v>
      </c>
      <c r="G1346" s="92">
        <v>746.86220000000003</v>
      </c>
      <c r="H1346" s="92">
        <v>124.4652</v>
      </c>
      <c r="I1346" s="92"/>
      <c r="J1346" s="93">
        <f t="shared" si="27"/>
        <v>0.15880000000004202</v>
      </c>
    </row>
    <row r="1347" spans="2:10" x14ac:dyDescent="0.2">
      <c r="B1347" s="92">
        <v>1.8569439999999999</v>
      </c>
      <c r="C1347" s="92">
        <v>746.84720000000004</v>
      </c>
      <c r="D1347" s="92">
        <v>125.05540000000001</v>
      </c>
      <c r="E1347" s="92"/>
      <c r="F1347" s="92">
        <v>1.8569439999999999</v>
      </c>
      <c r="G1347" s="92">
        <v>747.01700000000005</v>
      </c>
      <c r="H1347" s="92">
        <v>124.52509999999999</v>
      </c>
      <c r="I1347" s="92"/>
      <c r="J1347" s="93">
        <f t="shared" si="27"/>
        <v>0.16980000000000928</v>
      </c>
    </row>
    <row r="1348" spans="2:10" x14ac:dyDescent="0.2">
      <c r="B1348" s="92">
        <v>1.858333</v>
      </c>
      <c r="C1348" s="92">
        <v>746.97249999999997</v>
      </c>
      <c r="D1348" s="92">
        <v>125.11669999999999</v>
      </c>
      <c r="E1348" s="92"/>
      <c r="F1348" s="92">
        <v>1.858333</v>
      </c>
      <c r="G1348" s="92">
        <v>747.19399999999996</v>
      </c>
      <c r="H1348" s="92">
        <v>124.5883</v>
      </c>
      <c r="I1348" s="92"/>
      <c r="J1348" s="93">
        <f t="shared" si="27"/>
        <v>0.22149999999999181</v>
      </c>
    </row>
    <row r="1349" spans="2:10" x14ac:dyDescent="0.2">
      <c r="B1349" s="92">
        <v>1.8597220000000001</v>
      </c>
      <c r="C1349" s="92">
        <v>747.06939999999997</v>
      </c>
      <c r="D1349" s="92">
        <v>125.16970000000001</v>
      </c>
      <c r="E1349" s="92"/>
      <c r="F1349" s="92">
        <v>1.8597220000000001</v>
      </c>
      <c r="G1349" s="92">
        <v>747.25040000000001</v>
      </c>
      <c r="H1349" s="92">
        <v>124.6465</v>
      </c>
      <c r="I1349" s="92"/>
      <c r="J1349" s="93">
        <f t="shared" si="27"/>
        <v>0.18100000000004002</v>
      </c>
    </row>
    <row r="1350" spans="2:10" x14ac:dyDescent="0.2">
      <c r="B1350" s="92">
        <v>1.861111</v>
      </c>
      <c r="C1350" s="92">
        <v>747.29190000000006</v>
      </c>
      <c r="D1350" s="92">
        <v>125.2359</v>
      </c>
      <c r="E1350" s="92"/>
      <c r="F1350" s="92">
        <v>1.861111</v>
      </c>
      <c r="G1350" s="92">
        <v>747.39549999999997</v>
      </c>
      <c r="H1350" s="92">
        <v>124.7064</v>
      </c>
      <c r="I1350" s="92"/>
      <c r="J1350" s="93">
        <f t="shared" si="27"/>
        <v>0.10359999999991487</v>
      </c>
    </row>
    <row r="1351" spans="2:10" x14ac:dyDescent="0.2">
      <c r="B1351" s="92">
        <v>1.8625</v>
      </c>
      <c r="C1351" s="92">
        <v>747.39300000000003</v>
      </c>
      <c r="D1351" s="92">
        <v>125.2873</v>
      </c>
      <c r="E1351" s="92"/>
      <c r="F1351" s="92">
        <v>1.8625</v>
      </c>
      <c r="G1351" s="92">
        <v>747.56910000000005</v>
      </c>
      <c r="H1351" s="92">
        <v>124.77119999999999</v>
      </c>
      <c r="I1351" s="92"/>
      <c r="J1351" s="93">
        <f t="shared" si="27"/>
        <v>0.17610000000001946</v>
      </c>
    </row>
    <row r="1352" spans="2:10" x14ac:dyDescent="0.2">
      <c r="B1352" s="92">
        <v>1.8638889999999999</v>
      </c>
      <c r="C1352" s="92">
        <v>747.47310000000004</v>
      </c>
      <c r="D1352" s="92">
        <v>125.3536</v>
      </c>
      <c r="E1352" s="92"/>
      <c r="F1352" s="92">
        <v>1.8638889999999999</v>
      </c>
      <c r="G1352" s="92">
        <v>747.6825</v>
      </c>
      <c r="H1352" s="92">
        <v>124.8278</v>
      </c>
      <c r="I1352" s="92"/>
      <c r="J1352" s="93">
        <f t="shared" si="27"/>
        <v>0.20939999999995962</v>
      </c>
    </row>
    <row r="1353" spans="2:10" x14ac:dyDescent="0.2">
      <c r="B1353" s="92">
        <v>1.865278</v>
      </c>
      <c r="C1353" s="92">
        <v>747.68100000000004</v>
      </c>
      <c r="D1353" s="92">
        <v>125.40819999999999</v>
      </c>
      <c r="E1353" s="92"/>
      <c r="F1353" s="92">
        <v>1.865278</v>
      </c>
      <c r="G1353" s="92">
        <v>747.87019999999995</v>
      </c>
      <c r="H1353" s="92">
        <v>124.90430000000001</v>
      </c>
      <c r="I1353" s="92"/>
      <c r="J1353" s="93">
        <f t="shared" si="27"/>
        <v>0.18919999999991433</v>
      </c>
    </row>
    <row r="1354" spans="2:10" x14ac:dyDescent="0.2">
      <c r="B1354" s="92">
        <v>1.8666670000000001</v>
      </c>
      <c r="C1354" s="92">
        <v>747.79660000000001</v>
      </c>
      <c r="D1354" s="92">
        <v>125.4778</v>
      </c>
      <c r="E1354" s="92"/>
      <c r="F1354" s="92">
        <v>1.8666670000000001</v>
      </c>
      <c r="G1354" s="92">
        <v>747.93989999999997</v>
      </c>
      <c r="H1354" s="92">
        <v>124.9609</v>
      </c>
      <c r="I1354" s="92"/>
      <c r="J1354" s="93">
        <f t="shared" si="27"/>
        <v>0.1432999999999538</v>
      </c>
    </row>
    <row r="1355" spans="2:10" x14ac:dyDescent="0.2">
      <c r="B1355" s="92">
        <v>1.8680559999999999</v>
      </c>
      <c r="C1355" s="92">
        <v>747.94</v>
      </c>
      <c r="D1355" s="92">
        <v>125.5342</v>
      </c>
      <c r="E1355" s="92"/>
      <c r="F1355" s="92">
        <v>1.8680559999999999</v>
      </c>
      <c r="G1355" s="92">
        <v>748.13520000000005</v>
      </c>
      <c r="H1355" s="92">
        <v>125.0407</v>
      </c>
      <c r="I1355" s="92"/>
      <c r="J1355" s="93">
        <f t="shared" ref="J1355:J1418" si="28">+ABS(G1355-C1355)</f>
        <v>0.19519999999999982</v>
      </c>
    </row>
    <row r="1356" spans="2:10" x14ac:dyDescent="0.2">
      <c r="B1356" s="92">
        <v>1.8694440000000001</v>
      </c>
      <c r="C1356" s="92">
        <v>748.08989999999994</v>
      </c>
      <c r="D1356" s="92">
        <v>125.6054</v>
      </c>
      <c r="E1356" s="92"/>
      <c r="F1356" s="92">
        <v>1.8694440000000001</v>
      </c>
      <c r="G1356" s="92">
        <v>748.32259999999997</v>
      </c>
      <c r="H1356" s="92">
        <v>125.11060000000001</v>
      </c>
      <c r="I1356" s="92"/>
      <c r="J1356" s="93">
        <f t="shared" si="28"/>
        <v>0.23270000000002256</v>
      </c>
    </row>
    <row r="1357" spans="2:10" x14ac:dyDescent="0.2">
      <c r="B1357" s="92">
        <v>1.870833</v>
      </c>
      <c r="C1357" s="92">
        <v>748.2876</v>
      </c>
      <c r="D1357" s="92">
        <v>125.6816</v>
      </c>
      <c r="E1357" s="92"/>
      <c r="F1357" s="92">
        <v>1.870833</v>
      </c>
      <c r="G1357" s="92">
        <v>748.47720000000004</v>
      </c>
      <c r="H1357" s="92">
        <v>125.18210000000001</v>
      </c>
      <c r="I1357" s="92"/>
      <c r="J1357" s="93">
        <f t="shared" si="28"/>
        <v>0.18960000000004129</v>
      </c>
    </row>
    <row r="1358" spans="2:10" x14ac:dyDescent="0.2">
      <c r="B1358" s="92">
        <v>1.8722220000000001</v>
      </c>
      <c r="C1358" s="92">
        <v>748.41030000000001</v>
      </c>
      <c r="D1358" s="92">
        <v>125.74630000000001</v>
      </c>
      <c r="E1358" s="92"/>
      <c r="F1358" s="92">
        <v>1.8722220000000001</v>
      </c>
      <c r="G1358" s="92">
        <v>748.60540000000003</v>
      </c>
      <c r="H1358" s="92">
        <v>125.25700000000001</v>
      </c>
      <c r="I1358" s="92"/>
      <c r="J1358" s="93">
        <f t="shared" si="28"/>
        <v>0.19510000000002492</v>
      </c>
    </row>
    <row r="1359" spans="2:10" x14ac:dyDescent="0.2">
      <c r="B1359" s="92">
        <v>1.8736109999999999</v>
      </c>
      <c r="C1359" s="92">
        <v>748.60799999999995</v>
      </c>
      <c r="D1359" s="92">
        <v>125.82250000000001</v>
      </c>
      <c r="E1359" s="92"/>
      <c r="F1359" s="92">
        <v>1.8736109999999999</v>
      </c>
      <c r="G1359" s="92">
        <v>748.77869999999996</v>
      </c>
      <c r="H1359" s="92">
        <v>125.3335</v>
      </c>
      <c r="I1359" s="92"/>
      <c r="J1359" s="93">
        <f t="shared" si="28"/>
        <v>0.17070000000001073</v>
      </c>
    </row>
    <row r="1360" spans="2:10" x14ac:dyDescent="0.2">
      <c r="B1360" s="92">
        <v>1.875</v>
      </c>
      <c r="C1360" s="92">
        <v>748.7278</v>
      </c>
      <c r="D1360" s="92">
        <v>125.89709999999999</v>
      </c>
      <c r="E1360" s="92"/>
      <c r="F1360" s="92">
        <v>1.875</v>
      </c>
      <c r="G1360" s="92">
        <v>748.89449999999999</v>
      </c>
      <c r="H1360" s="92">
        <v>125.405</v>
      </c>
      <c r="I1360" s="92"/>
      <c r="J1360" s="93">
        <f t="shared" si="28"/>
        <v>0.16669999999999163</v>
      </c>
    </row>
    <row r="1361" spans="2:10" x14ac:dyDescent="0.2">
      <c r="B1361" s="92">
        <v>1.8763890000000001</v>
      </c>
      <c r="C1361" s="92">
        <v>748.89300000000003</v>
      </c>
      <c r="D1361" s="92">
        <v>125.96</v>
      </c>
      <c r="E1361" s="92"/>
      <c r="F1361" s="92">
        <v>1.8763890000000001</v>
      </c>
      <c r="G1361" s="92">
        <v>749.09310000000005</v>
      </c>
      <c r="H1361" s="92">
        <v>125.4765</v>
      </c>
      <c r="I1361" s="92"/>
      <c r="J1361" s="93">
        <f t="shared" si="28"/>
        <v>0.20010000000002037</v>
      </c>
    </row>
    <row r="1362" spans="2:10" x14ac:dyDescent="0.2">
      <c r="B1362" s="92">
        <v>1.8777779999999999</v>
      </c>
      <c r="C1362" s="92">
        <v>749.00840000000005</v>
      </c>
      <c r="D1362" s="92">
        <v>126.0429</v>
      </c>
      <c r="E1362" s="92"/>
      <c r="F1362" s="92">
        <v>1.8777779999999999</v>
      </c>
      <c r="G1362" s="92">
        <v>749.23779999999999</v>
      </c>
      <c r="H1362" s="92">
        <v>125.55970000000001</v>
      </c>
      <c r="I1362" s="92"/>
      <c r="J1362" s="93">
        <f t="shared" si="28"/>
        <v>0.22939999999994143</v>
      </c>
    </row>
    <row r="1363" spans="2:10" x14ac:dyDescent="0.2">
      <c r="B1363" s="92">
        <v>1.879167</v>
      </c>
      <c r="C1363" s="92">
        <v>749.13369999999998</v>
      </c>
      <c r="D1363" s="92">
        <v>126.11750000000001</v>
      </c>
      <c r="E1363" s="92"/>
      <c r="F1363" s="92">
        <v>1.879167</v>
      </c>
      <c r="G1363" s="92">
        <v>749.39930000000004</v>
      </c>
      <c r="H1363" s="92">
        <v>125.6396</v>
      </c>
      <c r="I1363" s="92"/>
      <c r="J1363" s="93">
        <f t="shared" si="28"/>
        <v>0.26560000000006312</v>
      </c>
    </row>
    <row r="1364" spans="2:10" x14ac:dyDescent="0.2">
      <c r="B1364" s="92">
        <v>1.8805559999999999</v>
      </c>
      <c r="C1364" s="92">
        <v>749.35479999999995</v>
      </c>
      <c r="D1364" s="92">
        <v>126.19540000000001</v>
      </c>
      <c r="E1364" s="92"/>
      <c r="F1364" s="92">
        <v>1.8805559999999999</v>
      </c>
      <c r="G1364" s="92">
        <v>749.56920000000002</v>
      </c>
      <c r="H1364" s="92">
        <v>125.7178</v>
      </c>
      <c r="I1364" s="92"/>
      <c r="J1364" s="93">
        <f t="shared" si="28"/>
        <v>0.21440000000006876</v>
      </c>
    </row>
    <row r="1365" spans="2:10" x14ac:dyDescent="0.2">
      <c r="B1365" s="92">
        <v>1.8819440000000001</v>
      </c>
      <c r="C1365" s="92">
        <v>749.47709999999995</v>
      </c>
      <c r="D1365" s="92">
        <v>126.2799</v>
      </c>
      <c r="E1365" s="92"/>
      <c r="F1365" s="92">
        <v>1.8819440000000001</v>
      </c>
      <c r="G1365" s="92">
        <v>749.70870000000002</v>
      </c>
      <c r="H1365" s="92">
        <v>125.8126</v>
      </c>
      <c r="I1365" s="92"/>
      <c r="J1365" s="93">
        <f t="shared" si="28"/>
        <v>0.2316000000000713</v>
      </c>
    </row>
    <row r="1366" spans="2:10" x14ac:dyDescent="0.2">
      <c r="B1366" s="92">
        <v>1.8833329999999999</v>
      </c>
      <c r="C1366" s="92">
        <v>749.68389999999999</v>
      </c>
      <c r="D1366" s="92">
        <v>126.381</v>
      </c>
      <c r="E1366" s="92"/>
      <c r="F1366" s="92">
        <v>1.8833329999999999</v>
      </c>
      <c r="G1366" s="92">
        <v>749.83230000000003</v>
      </c>
      <c r="H1366" s="92">
        <v>125.9058</v>
      </c>
      <c r="I1366" s="92"/>
      <c r="J1366" s="93">
        <f t="shared" si="28"/>
        <v>0.14840000000003783</v>
      </c>
    </row>
    <row r="1367" spans="2:10" x14ac:dyDescent="0.2">
      <c r="B1367" s="92">
        <v>1.884722</v>
      </c>
      <c r="C1367" s="92">
        <v>749.80840000000001</v>
      </c>
      <c r="D1367" s="92">
        <v>126.4821</v>
      </c>
      <c r="E1367" s="92"/>
      <c r="F1367" s="92">
        <v>1.884722</v>
      </c>
      <c r="G1367" s="92">
        <v>750.03970000000004</v>
      </c>
      <c r="H1367" s="92">
        <v>126.0123</v>
      </c>
      <c r="I1367" s="92"/>
      <c r="J1367" s="93">
        <f t="shared" si="28"/>
        <v>0.23130000000003292</v>
      </c>
    </row>
    <row r="1368" spans="2:10" x14ac:dyDescent="0.2">
      <c r="B1368" s="92">
        <v>1.8861110000000001</v>
      </c>
      <c r="C1368" s="92">
        <v>749.97140000000002</v>
      </c>
      <c r="D1368" s="92">
        <v>126.58320000000001</v>
      </c>
      <c r="E1368" s="92"/>
      <c r="F1368" s="92">
        <v>1.8861110000000001</v>
      </c>
      <c r="G1368" s="92">
        <v>750.20060000000001</v>
      </c>
      <c r="H1368" s="92">
        <v>126.1155</v>
      </c>
      <c r="I1368" s="92"/>
      <c r="J1368" s="93">
        <f t="shared" si="28"/>
        <v>0.22919999999999163</v>
      </c>
    </row>
    <row r="1369" spans="2:10" x14ac:dyDescent="0.2">
      <c r="B1369" s="92">
        <v>1.8875</v>
      </c>
      <c r="C1369" s="92">
        <v>753.72069999999997</v>
      </c>
      <c r="D1369" s="92">
        <v>126.69589999999999</v>
      </c>
      <c r="E1369" s="92"/>
      <c r="F1369" s="92">
        <v>1.8875</v>
      </c>
      <c r="G1369" s="92">
        <v>757.56410000000005</v>
      </c>
      <c r="H1369" s="92">
        <v>126.2286</v>
      </c>
      <c r="I1369" s="92"/>
      <c r="J1369" s="93">
        <f t="shared" si="28"/>
        <v>3.8434000000000879</v>
      </c>
    </row>
    <row r="1370" spans="2:10" x14ac:dyDescent="0.2">
      <c r="B1370" s="92">
        <v>1.888889</v>
      </c>
      <c r="C1370" s="92">
        <v>759.69410000000005</v>
      </c>
      <c r="D1370" s="92">
        <v>126.8236</v>
      </c>
      <c r="E1370" s="92"/>
      <c r="F1370" s="92">
        <v>1.888889</v>
      </c>
      <c r="G1370" s="92">
        <v>761.68949999999995</v>
      </c>
      <c r="H1370" s="92">
        <v>126.395</v>
      </c>
      <c r="I1370" s="92"/>
      <c r="J1370" s="93">
        <f t="shared" si="28"/>
        <v>1.9953999999999041</v>
      </c>
    </row>
    <row r="1371" spans="2:10" x14ac:dyDescent="0.2">
      <c r="B1371" s="92">
        <v>1.8902779999999999</v>
      </c>
      <c r="C1371" s="92">
        <v>763.70640000000003</v>
      </c>
      <c r="D1371" s="92">
        <v>127.0275</v>
      </c>
      <c r="E1371" s="92"/>
      <c r="F1371" s="92">
        <v>1.8902779999999999</v>
      </c>
      <c r="G1371" s="92">
        <v>765.83550000000002</v>
      </c>
      <c r="H1371" s="92">
        <v>126.63800000000001</v>
      </c>
      <c r="I1371" s="92"/>
      <c r="J1371" s="93">
        <f t="shared" si="28"/>
        <v>2.129099999999994</v>
      </c>
    </row>
    <row r="1372" spans="2:10" x14ac:dyDescent="0.2">
      <c r="B1372" s="92">
        <v>1.891667</v>
      </c>
      <c r="C1372" s="92">
        <v>768.11260000000004</v>
      </c>
      <c r="D1372" s="92">
        <v>127.27460000000001</v>
      </c>
      <c r="E1372" s="92"/>
      <c r="F1372" s="92">
        <v>1.891667</v>
      </c>
      <c r="G1372" s="92">
        <v>770.20759999999996</v>
      </c>
      <c r="H1372" s="92">
        <v>126.9392</v>
      </c>
      <c r="I1372" s="92"/>
      <c r="J1372" s="93">
        <f t="shared" si="28"/>
        <v>2.0949999999999136</v>
      </c>
    </row>
    <row r="1373" spans="2:10" x14ac:dyDescent="0.2">
      <c r="B1373" s="92">
        <v>1.8930560000000001</v>
      </c>
      <c r="C1373" s="92">
        <v>772.226</v>
      </c>
      <c r="D1373" s="92">
        <v>127.5498</v>
      </c>
      <c r="E1373" s="92"/>
      <c r="F1373" s="92">
        <v>1.8930560000000001</v>
      </c>
      <c r="G1373" s="92">
        <v>774.2328</v>
      </c>
      <c r="H1373" s="92">
        <v>127.2538</v>
      </c>
      <c r="I1373" s="92"/>
      <c r="J1373" s="93">
        <f t="shared" si="28"/>
        <v>2.0067999999999984</v>
      </c>
    </row>
    <row r="1374" spans="2:10" x14ac:dyDescent="0.2">
      <c r="B1374" s="92">
        <v>1.894444</v>
      </c>
      <c r="C1374" s="92">
        <v>776.35559999999998</v>
      </c>
      <c r="D1374" s="92">
        <v>127.8218</v>
      </c>
      <c r="E1374" s="92"/>
      <c r="F1374" s="92">
        <v>1.894444</v>
      </c>
      <c r="G1374" s="92">
        <v>778.49369999999999</v>
      </c>
      <c r="H1374" s="92">
        <v>127.5551</v>
      </c>
      <c r="I1374" s="92"/>
      <c r="J1374" s="93">
        <f t="shared" si="28"/>
        <v>2.1381000000000085</v>
      </c>
    </row>
    <row r="1375" spans="2:10" x14ac:dyDescent="0.2">
      <c r="B1375" s="92">
        <v>1.8958330000000001</v>
      </c>
      <c r="C1375" s="92">
        <v>780.5385</v>
      </c>
      <c r="D1375" s="92">
        <v>128.0889</v>
      </c>
      <c r="E1375" s="92"/>
      <c r="F1375" s="92">
        <v>1.8958330000000001</v>
      </c>
      <c r="G1375" s="92">
        <v>782.64030000000002</v>
      </c>
      <c r="H1375" s="92">
        <v>127.84480000000001</v>
      </c>
      <c r="I1375" s="92"/>
      <c r="J1375" s="93">
        <f t="shared" si="28"/>
        <v>2.1018000000000256</v>
      </c>
    </row>
    <row r="1376" spans="2:10" x14ac:dyDescent="0.2">
      <c r="B1376" s="92">
        <v>1.897222</v>
      </c>
      <c r="C1376" s="92">
        <v>784.8252</v>
      </c>
      <c r="D1376" s="92">
        <v>128.3261</v>
      </c>
      <c r="E1376" s="92"/>
      <c r="F1376" s="92">
        <v>1.897222</v>
      </c>
      <c r="G1376" s="92">
        <v>786.76009999999997</v>
      </c>
      <c r="H1376" s="92">
        <v>128.1112</v>
      </c>
      <c r="I1376" s="92"/>
      <c r="J1376" s="93">
        <f t="shared" si="28"/>
        <v>1.9348999999999705</v>
      </c>
    </row>
    <row r="1377" spans="2:10" x14ac:dyDescent="0.2">
      <c r="B1377" s="92">
        <v>1.898611</v>
      </c>
      <c r="C1377" s="92">
        <v>788.92460000000005</v>
      </c>
      <c r="D1377" s="92">
        <v>128.56659999999999</v>
      </c>
      <c r="E1377" s="92"/>
      <c r="F1377" s="92">
        <v>1.898611</v>
      </c>
      <c r="G1377" s="92">
        <v>790.76009999999997</v>
      </c>
      <c r="H1377" s="92">
        <v>128.36600000000001</v>
      </c>
      <c r="I1377" s="92"/>
      <c r="J1377" s="93">
        <f t="shared" si="28"/>
        <v>1.8354999999999109</v>
      </c>
    </row>
    <row r="1378" spans="2:10" x14ac:dyDescent="0.2">
      <c r="B1378" s="92">
        <v>1.9</v>
      </c>
      <c r="C1378" s="92">
        <v>793.02080000000001</v>
      </c>
      <c r="D1378" s="92">
        <v>128.80719999999999</v>
      </c>
      <c r="E1378" s="92"/>
      <c r="F1378" s="92">
        <v>1.9</v>
      </c>
      <c r="G1378" s="92">
        <v>795.1567</v>
      </c>
      <c r="H1378" s="92">
        <v>128.6191</v>
      </c>
      <c r="I1378" s="92"/>
      <c r="J1378" s="93">
        <f t="shared" si="28"/>
        <v>2.1358999999999924</v>
      </c>
    </row>
    <row r="1379" spans="2:10" x14ac:dyDescent="0.2">
      <c r="B1379" s="92">
        <v>1.901389</v>
      </c>
      <c r="C1379" s="92">
        <v>797.21109999999999</v>
      </c>
      <c r="D1379" s="92">
        <v>129.0461</v>
      </c>
      <c r="E1379" s="92"/>
      <c r="F1379" s="92">
        <v>1.901389</v>
      </c>
      <c r="G1379" s="92">
        <v>799.42290000000003</v>
      </c>
      <c r="H1379" s="92">
        <v>128.8656</v>
      </c>
      <c r="I1379" s="92"/>
      <c r="J1379" s="93">
        <f t="shared" si="28"/>
        <v>2.2118000000000393</v>
      </c>
    </row>
    <row r="1380" spans="2:10" x14ac:dyDescent="0.2">
      <c r="B1380" s="92">
        <v>1.9027780000000001</v>
      </c>
      <c r="C1380" s="92">
        <v>801.49829999999997</v>
      </c>
      <c r="D1380" s="92">
        <v>129.27350000000001</v>
      </c>
      <c r="E1380" s="92"/>
      <c r="F1380" s="92">
        <v>1.9027780000000001</v>
      </c>
      <c r="G1380" s="92">
        <v>802.77020000000005</v>
      </c>
      <c r="H1380" s="92">
        <v>129.09209999999999</v>
      </c>
      <c r="I1380" s="92"/>
      <c r="J1380" s="93">
        <f t="shared" si="28"/>
        <v>1.2719000000000733</v>
      </c>
    </row>
    <row r="1381" spans="2:10" x14ac:dyDescent="0.2">
      <c r="B1381" s="92">
        <v>1.9041669999999999</v>
      </c>
      <c r="C1381" s="92">
        <v>804.23940000000005</v>
      </c>
      <c r="D1381" s="92">
        <v>129.48589999999999</v>
      </c>
      <c r="E1381" s="92"/>
      <c r="F1381" s="92">
        <v>1.9041669999999999</v>
      </c>
      <c r="G1381" s="92">
        <v>804.30139999999994</v>
      </c>
      <c r="H1381" s="92">
        <v>129.31360000000001</v>
      </c>
      <c r="I1381" s="92"/>
      <c r="J1381" s="93">
        <f t="shared" si="28"/>
        <v>6.1999999999898137E-2</v>
      </c>
    </row>
    <row r="1382" spans="2:10" x14ac:dyDescent="0.2">
      <c r="B1382" s="92">
        <v>1.905556</v>
      </c>
      <c r="C1382" s="92">
        <v>805.51480000000004</v>
      </c>
      <c r="D1382" s="92">
        <v>129.6951</v>
      </c>
      <c r="E1382" s="92"/>
      <c r="F1382" s="92">
        <v>1.905556</v>
      </c>
      <c r="G1382" s="92">
        <v>805.03359999999998</v>
      </c>
      <c r="H1382" s="92">
        <v>129.51519999999999</v>
      </c>
      <c r="I1382" s="92"/>
      <c r="J1382" s="93">
        <f t="shared" si="28"/>
        <v>0.48120000000005803</v>
      </c>
    </row>
    <row r="1383" spans="2:10" x14ac:dyDescent="0.2">
      <c r="B1383" s="92">
        <v>1.906944</v>
      </c>
      <c r="C1383" s="92">
        <v>805.38589999999999</v>
      </c>
      <c r="D1383" s="92">
        <v>129.8777</v>
      </c>
      <c r="E1383" s="92"/>
      <c r="F1383" s="92">
        <v>1.906944</v>
      </c>
      <c r="G1383" s="92">
        <v>805.00530000000003</v>
      </c>
      <c r="H1383" s="92">
        <v>129.71340000000001</v>
      </c>
      <c r="I1383" s="92"/>
      <c r="J1383" s="93">
        <f t="shared" si="28"/>
        <v>0.38059999999995853</v>
      </c>
    </row>
    <row r="1384" spans="2:10" x14ac:dyDescent="0.2">
      <c r="B1384" s="92">
        <v>1.9083330000000001</v>
      </c>
      <c r="C1384" s="92">
        <v>805.38189999999997</v>
      </c>
      <c r="D1384" s="92">
        <v>130.05199999999999</v>
      </c>
      <c r="E1384" s="92"/>
      <c r="F1384" s="92">
        <v>1.9083330000000001</v>
      </c>
      <c r="G1384" s="92">
        <v>805.03779999999995</v>
      </c>
      <c r="H1384" s="92">
        <v>129.86340000000001</v>
      </c>
      <c r="I1384" s="92"/>
      <c r="J1384" s="93">
        <f t="shared" si="28"/>
        <v>0.34410000000002583</v>
      </c>
    </row>
    <row r="1385" spans="2:10" x14ac:dyDescent="0.2">
      <c r="B1385" s="92">
        <v>1.9097219999999999</v>
      </c>
      <c r="C1385" s="92">
        <v>805.39930000000004</v>
      </c>
      <c r="D1385" s="92">
        <v>130.2064</v>
      </c>
      <c r="E1385" s="92"/>
      <c r="F1385" s="92">
        <v>1.9097219999999999</v>
      </c>
      <c r="G1385" s="92">
        <v>804.97490000000005</v>
      </c>
      <c r="H1385" s="92">
        <v>130.005</v>
      </c>
      <c r="I1385" s="92"/>
      <c r="J1385" s="93">
        <f t="shared" si="28"/>
        <v>0.42439999999999145</v>
      </c>
    </row>
    <row r="1386" spans="2:10" x14ac:dyDescent="0.2">
      <c r="B1386" s="92">
        <v>1.911111</v>
      </c>
      <c r="C1386" s="92">
        <v>805.4434</v>
      </c>
      <c r="D1386" s="92">
        <v>130.33420000000001</v>
      </c>
      <c r="E1386" s="92"/>
      <c r="F1386" s="92">
        <v>1.911111</v>
      </c>
      <c r="G1386" s="92">
        <v>805.01120000000003</v>
      </c>
      <c r="H1386" s="92">
        <v>130.12</v>
      </c>
      <c r="I1386" s="92"/>
      <c r="J1386" s="93">
        <f t="shared" si="28"/>
        <v>0.43219999999996617</v>
      </c>
    </row>
    <row r="1387" spans="2:10" x14ac:dyDescent="0.2">
      <c r="B1387" s="92">
        <v>1.9125000000000001</v>
      </c>
      <c r="C1387" s="92">
        <v>805.41089999999997</v>
      </c>
      <c r="D1387" s="92">
        <v>130.43709999999999</v>
      </c>
      <c r="E1387" s="92"/>
      <c r="F1387" s="92">
        <v>1.9125000000000001</v>
      </c>
      <c r="G1387" s="92">
        <v>805.00360000000001</v>
      </c>
      <c r="H1387" s="92">
        <v>130.2183</v>
      </c>
      <c r="I1387" s="92"/>
      <c r="J1387" s="93">
        <f t="shared" si="28"/>
        <v>0.4072999999999638</v>
      </c>
    </row>
    <row r="1388" spans="2:10" x14ac:dyDescent="0.2">
      <c r="B1388" s="92">
        <v>1.913889</v>
      </c>
      <c r="C1388" s="92">
        <v>805.45240000000001</v>
      </c>
      <c r="D1388" s="92">
        <v>130.5301</v>
      </c>
      <c r="E1388" s="92"/>
      <c r="F1388" s="92">
        <v>1.913889</v>
      </c>
      <c r="G1388" s="92">
        <v>805.00599999999997</v>
      </c>
      <c r="H1388" s="92">
        <v>130.29990000000001</v>
      </c>
      <c r="I1388" s="92"/>
      <c r="J1388" s="93">
        <f t="shared" si="28"/>
        <v>0.44640000000003965</v>
      </c>
    </row>
    <row r="1389" spans="2:10" x14ac:dyDescent="0.2">
      <c r="B1389" s="92">
        <v>1.915278</v>
      </c>
      <c r="C1389" s="92">
        <v>805.38580000000002</v>
      </c>
      <c r="D1389" s="92">
        <v>130.59989999999999</v>
      </c>
      <c r="E1389" s="92"/>
      <c r="F1389" s="92">
        <v>1.915278</v>
      </c>
      <c r="G1389" s="92">
        <v>804.99940000000004</v>
      </c>
      <c r="H1389" s="92">
        <v>130.35990000000001</v>
      </c>
      <c r="I1389" s="92"/>
      <c r="J1389" s="93">
        <f t="shared" si="28"/>
        <v>0.38639999999998054</v>
      </c>
    </row>
    <row r="1390" spans="2:10" x14ac:dyDescent="0.2">
      <c r="B1390" s="92">
        <v>1.9166669999999999</v>
      </c>
      <c r="C1390" s="92">
        <v>805.40830000000005</v>
      </c>
      <c r="D1390" s="92">
        <v>130.65799999999999</v>
      </c>
      <c r="E1390" s="92"/>
      <c r="F1390" s="92">
        <v>1.9166669999999999</v>
      </c>
      <c r="G1390" s="92">
        <v>805.00549999999998</v>
      </c>
      <c r="H1390" s="92">
        <v>130.42320000000001</v>
      </c>
      <c r="I1390" s="92"/>
      <c r="J1390" s="93">
        <f t="shared" si="28"/>
        <v>0.40280000000007021</v>
      </c>
    </row>
    <row r="1391" spans="2:10" x14ac:dyDescent="0.2">
      <c r="B1391" s="92">
        <v>1.918056</v>
      </c>
      <c r="C1391" s="92">
        <v>805.45820000000003</v>
      </c>
      <c r="D1391" s="92">
        <v>130.70949999999999</v>
      </c>
      <c r="E1391" s="92"/>
      <c r="F1391" s="92">
        <v>1.918056</v>
      </c>
      <c r="G1391" s="92">
        <v>804.94179999999994</v>
      </c>
      <c r="H1391" s="92">
        <v>130.4682</v>
      </c>
      <c r="I1391" s="92"/>
      <c r="J1391" s="93">
        <f t="shared" si="28"/>
        <v>0.51640000000008968</v>
      </c>
    </row>
    <row r="1392" spans="2:10" x14ac:dyDescent="0.2">
      <c r="B1392" s="92">
        <v>1.9194439999999999</v>
      </c>
      <c r="C1392" s="92">
        <v>805.43340000000001</v>
      </c>
      <c r="D1392" s="92">
        <v>130.751</v>
      </c>
      <c r="E1392" s="92"/>
      <c r="F1392" s="92">
        <v>1.9194439999999999</v>
      </c>
      <c r="G1392" s="92">
        <v>805.01769999999999</v>
      </c>
      <c r="H1392" s="92">
        <v>130.50489999999999</v>
      </c>
      <c r="I1392" s="92"/>
      <c r="J1392" s="93">
        <f t="shared" si="28"/>
        <v>0.41570000000001528</v>
      </c>
    </row>
    <row r="1393" spans="2:10" x14ac:dyDescent="0.2">
      <c r="B1393" s="92">
        <v>1.920833</v>
      </c>
      <c r="C1393" s="92">
        <v>805.44569999999999</v>
      </c>
      <c r="D1393" s="92">
        <v>130.79079999999999</v>
      </c>
      <c r="E1393" s="92"/>
      <c r="F1393" s="92">
        <v>1.920833</v>
      </c>
      <c r="G1393" s="92">
        <v>805.02160000000003</v>
      </c>
      <c r="H1393" s="92">
        <v>130.54320000000001</v>
      </c>
      <c r="I1393" s="92"/>
      <c r="J1393" s="93">
        <f t="shared" si="28"/>
        <v>0.42409999999995307</v>
      </c>
    </row>
    <row r="1394" spans="2:10" x14ac:dyDescent="0.2">
      <c r="B1394" s="92">
        <v>1.9222220000000001</v>
      </c>
      <c r="C1394" s="92">
        <v>805.39840000000004</v>
      </c>
      <c r="D1394" s="92">
        <v>130.81909999999999</v>
      </c>
      <c r="E1394" s="92"/>
      <c r="F1394" s="92">
        <v>1.9222220000000001</v>
      </c>
      <c r="G1394" s="92">
        <v>805.01199999999994</v>
      </c>
      <c r="H1394" s="92">
        <v>130.57149999999999</v>
      </c>
      <c r="I1394" s="92"/>
      <c r="J1394" s="93">
        <f t="shared" si="28"/>
        <v>0.38640000000009422</v>
      </c>
    </row>
    <row r="1395" spans="2:10" x14ac:dyDescent="0.2">
      <c r="B1395" s="92">
        <v>1.923611</v>
      </c>
      <c r="C1395" s="92">
        <v>805.44069999999999</v>
      </c>
      <c r="D1395" s="92">
        <v>130.84899999999999</v>
      </c>
      <c r="E1395" s="92"/>
      <c r="F1395" s="92">
        <v>1.923611</v>
      </c>
      <c r="G1395" s="92">
        <v>804.99710000000005</v>
      </c>
      <c r="H1395" s="92">
        <v>130.5882</v>
      </c>
      <c r="I1395" s="92"/>
      <c r="J1395" s="93">
        <f t="shared" si="28"/>
        <v>0.4435999999999467</v>
      </c>
    </row>
    <row r="1396" spans="2:10" x14ac:dyDescent="0.2">
      <c r="B1396" s="92">
        <v>1.925</v>
      </c>
      <c r="C1396" s="92">
        <v>805.43330000000003</v>
      </c>
      <c r="D1396" s="92">
        <v>130.87880000000001</v>
      </c>
      <c r="E1396" s="92"/>
      <c r="F1396" s="92">
        <v>1.925</v>
      </c>
      <c r="G1396" s="92">
        <v>805.03689999999995</v>
      </c>
      <c r="H1396" s="92">
        <v>130.61150000000001</v>
      </c>
      <c r="I1396" s="92"/>
      <c r="J1396" s="93">
        <f t="shared" si="28"/>
        <v>0.39640000000008513</v>
      </c>
    </row>
    <row r="1397" spans="2:10" x14ac:dyDescent="0.2">
      <c r="B1397" s="92">
        <v>1.9263889999999999</v>
      </c>
      <c r="C1397" s="92">
        <v>805.45299999999997</v>
      </c>
      <c r="D1397" s="92">
        <v>130.8888</v>
      </c>
      <c r="E1397" s="92"/>
      <c r="F1397" s="92">
        <v>1.9263889999999999</v>
      </c>
      <c r="G1397" s="92">
        <v>804.9633</v>
      </c>
      <c r="H1397" s="92">
        <v>130.62819999999999</v>
      </c>
      <c r="I1397" s="92"/>
      <c r="J1397" s="93">
        <f t="shared" si="28"/>
        <v>0.48969999999997071</v>
      </c>
    </row>
    <row r="1398" spans="2:10" x14ac:dyDescent="0.2">
      <c r="B1398" s="92">
        <v>1.927778</v>
      </c>
      <c r="C1398" s="92">
        <v>805.43809999999996</v>
      </c>
      <c r="D1398" s="92">
        <v>130.89709999999999</v>
      </c>
      <c r="E1398" s="92"/>
      <c r="F1398" s="92">
        <v>1.927778</v>
      </c>
      <c r="G1398" s="92">
        <v>805.04570000000001</v>
      </c>
      <c r="H1398" s="92">
        <v>130.6499</v>
      </c>
      <c r="I1398" s="92"/>
      <c r="J1398" s="93">
        <f t="shared" si="28"/>
        <v>0.39239999999995234</v>
      </c>
    </row>
    <row r="1399" spans="2:10" x14ac:dyDescent="0.2">
      <c r="B1399" s="92">
        <v>1.9291670000000001</v>
      </c>
      <c r="C1399" s="92">
        <v>805.41139999999996</v>
      </c>
      <c r="D1399" s="92">
        <v>130.9237</v>
      </c>
      <c r="E1399" s="92"/>
      <c r="F1399" s="92">
        <v>1.9291670000000001</v>
      </c>
      <c r="G1399" s="92">
        <v>804.99419999999998</v>
      </c>
      <c r="H1399" s="92">
        <v>130.65819999999999</v>
      </c>
      <c r="I1399" s="92"/>
      <c r="J1399" s="93">
        <f t="shared" si="28"/>
        <v>0.41719999999997981</v>
      </c>
    </row>
    <row r="1400" spans="2:10" x14ac:dyDescent="0.2">
      <c r="B1400" s="92">
        <v>1.9305559999999999</v>
      </c>
      <c r="C1400" s="92">
        <v>805.46960000000001</v>
      </c>
      <c r="D1400" s="92">
        <v>130.93369999999999</v>
      </c>
      <c r="E1400" s="92"/>
      <c r="F1400" s="92">
        <v>1.9305559999999999</v>
      </c>
      <c r="G1400" s="92">
        <v>805.00980000000004</v>
      </c>
      <c r="H1400" s="92">
        <v>130.66489999999999</v>
      </c>
      <c r="I1400" s="92"/>
      <c r="J1400" s="93">
        <f t="shared" si="28"/>
        <v>0.4597999999999729</v>
      </c>
    </row>
    <row r="1401" spans="2:10" x14ac:dyDescent="0.2">
      <c r="B1401" s="92">
        <v>1.9319440000000001</v>
      </c>
      <c r="C1401" s="92">
        <v>805.4547</v>
      </c>
      <c r="D1401" s="92">
        <v>130.94200000000001</v>
      </c>
      <c r="E1401" s="92"/>
      <c r="F1401" s="92">
        <v>1.9319440000000001</v>
      </c>
      <c r="G1401" s="92">
        <v>805.00530000000003</v>
      </c>
      <c r="H1401" s="92">
        <v>130.6765</v>
      </c>
      <c r="I1401" s="92"/>
      <c r="J1401" s="93">
        <f t="shared" si="28"/>
        <v>0.44939999999996871</v>
      </c>
    </row>
    <row r="1402" spans="2:10" x14ac:dyDescent="0.2">
      <c r="B1402" s="92">
        <v>1.933333</v>
      </c>
      <c r="C1402" s="92">
        <v>805.43299999999999</v>
      </c>
      <c r="D1402" s="92">
        <v>130.95519999999999</v>
      </c>
      <c r="E1402" s="92"/>
      <c r="F1402" s="92">
        <v>1.933333</v>
      </c>
      <c r="G1402" s="92">
        <v>804.97389999999996</v>
      </c>
      <c r="H1402" s="92">
        <v>130.6799</v>
      </c>
      <c r="I1402" s="92"/>
      <c r="J1402" s="93">
        <f t="shared" si="28"/>
        <v>0.45910000000003492</v>
      </c>
    </row>
    <row r="1403" spans="2:10" x14ac:dyDescent="0.2">
      <c r="B1403" s="92">
        <v>1.9347220000000001</v>
      </c>
      <c r="C1403" s="92">
        <v>805.43330000000003</v>
      </c>
      <c r="D1403" s="92">
        <v>130.96190000000001</v>
      </c>
      <c r="E1403" s="92"/>
      <c r="F1403" s="92">
        <v>1.9347220000000001</v>
      </c>
      <c r="G1403" s="92">
        <v>804.98950000000002</v>
      </c>
      <c r="H1403" s="92">
        <v>130.6865</v>
      </c>
      <c r="I1403" s="92"/>
      <c r="J1403" s="93">
        <f t="shared" si="28"/>
        <v>0.44380000000001019</v>
      </c>
    </row>
    <row r="1404" spans="2:10" x14ac:dyDescent="0.2">
      <c r="B1404" s="92">
        <v>1.9361109999999999</v>
      </c>
      <c r="C1404" s="92">
        <v>805.41430000000003</v>
      </c>
      <c r="D1404" s="92">
        <v>130.97190000000001</v>
      </c>
      <c r="E1404" s="92"/>
      <c r="F1404" s="92">
        <v>1.9361109999999999</v>
      </c>
      <c r="G1404" s="92">
        <v>805.01969999999994</v>
      </c>
      <c r="H1404" s="92">
        <v>130.69319999999999</v>
      </c>
      <c r="I1404" s="92"/>
      <c r="J1404" s="93">
        <f t="shared" si="28"/>
        <v>0.39460000000008222</v>
      </c>
    </row>
    <row r="1405" spans="2:10" x14ac:dyDescent="0.2">
      <c r="B1405" s="92">
        <v>1.9375</v>
      </c>
      <c r="C1405" s="92">
        <v>805.46799999999996</v>
      </c>
      <c r="D1405" s="92">
        <v>130.97020000000001</v>
      </c>
      <c r="E1405" s="92"/>
      <c r="F1405" s="92">
        <v>1.9375</v>
      </c>
      <c r="G1405" s="92">
        <v>804.9864</v>
      </c>
      <c r="H1405" s="92">
        <v>130.69990000000001</v>
      </c>
      <c r="I1405" s="92"/>
      <c r="J1405" s="93">
        <f t="shared" si="28"/>
        <v>0.48159999999995762</v>
      </c>
    </row>
    <row r="1406" spans="2:10" x14ac:dyDescent="0.2">
      <c r="B1406" s="92">
        <v>1.9388890000000001</v>
      </c>
      <c r="C1406" s="92">
        <v>805.50819999999999</v>
      </c>
      <c r="D1406" s="92">
        <v>130.9785</v>
      </c>
      <c r="E1406" s="92"/>
      <c r="F1406" s="92">
        <v>1.9388890000000001</v>
      </c>
      <c r="G1406" s="92">
        <v>804.98289999999997</v>
      </c>
      <c r="H1406" s="92">
        <v>130.70150000000001</v>
      </c>
      <c r="I1406" s="92"/>
      <c r="J1406" s="93">
        <f t="shared" si="28"/>
        <v>0.52530000000001564</v>
      </c>
    </row>
    <row r="1407" spans="2:10" x14ac:dyDescent="0.2">
      <c r="B1407" s="92">
        <v>1.9402779999999999</v>
      </c>
      <c r="C1407" s="92">
        <v>805.46699999999998</v>
      </c>
      <c r="D1407" s="92">
        <v>130.98179999999999</v>
      </c>
      <c r="E1407" s="92"/>
      <c r="F1407" s="92">
        <v>1.9402779999999999</v>
      </c>
      <c r="G1407" s="92">
        <v>804.97260000000006</v>
      </c>
      <c r="H1407" s="92">
        <v>130.70650000000001</v>
      </c>
      <c r="I1407" s="92"/>
      <c r="J1407" s="93">
        <f t="shared" si="28"/>
        <v>0.49439999999992779</v>
      </c>
    </row>
    <row r="1408" spans="2:10" x14ac:dyDescent="0.2">
      <c r="B1408" s="92">
        <v>1.941667</v>
      </c>
      <c r="C1408" s="92">
        <v>805.46019999999999</v>
      </c>
      <c r="D1408" s="92">
        <v>130.98679999999999</v>
      </c>
      <c r="E1408" s="92"/>
      <c r="F1408" s="92">
        <v>1.941667</v>
      </c>
      <c r="G1408" s="92">
        <v>804.9896</v>
      </c>
      <c r="H1408" s="92">
        <v>130.7149</v>
      </c>
      <c r="I1408" s="92"/>
      <c r="J1408" s="93">
        <f t="shared" si="28"/>
        <v>0.47059999999999036</v>
      </c>
    </row>
    <row r="1409" spans="2:10" x14ac:dyDescent="0.2">
      <c r="B1409" s="92">
        <v>1.9430559999999999</v>
      </c>
      <c r="C1409" s="92">
        <v>805.45190000000002</v>
      </c>
      <c r="D1409" s="92">
        <v>130.98349999999999</v>
      </c>
      <c r="E1409" s="92"/>
      <c r="F1409" s="92">
        <v>1.9430559999999999</v>
      </c>
      <c r="G1409" s="92">
        <v>805.0317</v>
      </c>
      <c r="H1409" s="92">
        <v>130.7182</v>
      </c>
      <c r="I1409" s="92"/>
      <c r="J1409" s="93">
        <f t="shared" si="28"/>
        <v>0.42020000000002256</v>
      </c>
    </row>
    <row r="1410" spans="2:10" x14ac:dyDescent="0.2">
      <c r="B1410" s="92">
        <v>1.9444440000000001</v>
      </c>
      <c r="C1410" s="92">
        <v>805.44680000000005</v>
      </c>
      <c r="D1410" s="92">
        <v>130.99680000000001</v>
      </c>
      <c r="E1410" s="92"/>
      <c r="F1410" s="92">
        <v>1.9444440000000001</v>
      </c>
      <c r="G1410" s="92">
        <v>805.0317</v>
      </c>
      <c r="H1410" s="92">
        <v>130.7182</v>
      </c>
      <c r="I1410" s="92"/>
      <c r="J1410" s="93">
        <f t="shared" si="28"/>
        <v>0.4151000000000522</v>
      </c>
    </row>
    <row r="1411" spans="2:10" x14ac:dyDescent="0.2">
      <c r="B1411" s="92">
        <v>1.9458329999999999</v>
      </c>
      <c r="C1411" s="92">
        <v>805.4357</v>
      </c>
      <c r="D1411" s="92">
        <v>130.99680000000001</v>
      </c>
      <c r="E1411" s="92"/>
      <c r="F1411" s="92">
        <v>1.9458329999999999</v>
      </c>
      <c r="G1411" s="92">
        <v>805.01840000000004</v>
      </c>
      <c r="H1411" s="92">
        <v>130.7199</v>
      </c>
      <c r="I1411" s="92"/>
      <c r="J1411" s="93">
        <f t="shared" si="28"/>
        <v>0.41729999999995471</v>
      </c>
    </row>
    <row r="1412" spans="2:10" x14ac:dyDescent="0.2">
      <c r="B1412" s="92">
        <v>1.947222</v>
      </c>
      <c r="C1412" s="92">
        <v>805.48270000000002</v>
      </c>
      <c r="D1412" s="92">
        <v>131.0001</v>
      </c>
      <c r="E1412" s="92"/>
      <c r="F1412" s="92">
        <v>1.947222</v>
      </c>
      <c r="G1412" s="92">
        <v>805.0326</v>
      </c>
      <c r="H1412" s="92">
        <v>130.72489999999999</v>
      </c>
      <c r="I1412" s="92"/>
      <c r="J1412" s="93">
        <f t="shared" si="28"/>
        <v>0.45010000000002037</v>
      </c>
    </row>
    <row r="1413" spans="2:10" x14ac:dyDescent="0.2">
      <c r="B1413" s="92">
        <v>1.9486110000000001</v>
      </c>
      <c r="C1413" s="92">
        <v>805.48130000000003</v>
      </c>
      <c r="D1413" s="92">
        <v>130.9984</v>
      </c>
      <c r="E1413" s="92"/>
      <c r="F1413" s="92">
        <v>1.9486110000000001</v>
      </c>
      <c r="G1413" s="92">
        <v>805.01639999999998</v>
      </c>
      <c r="H1413" s="92">
        <v>130.72319999999999</v>
      </c>
      <c r="I1413" s="92"/>
      <c r="J1413" s="93">
        <f t="shared" si="28"/>
        <v>0.46490000000005693</v>
      </c>
    </row>
    <row r="1414" spans="2:10" x14ac:dyDescent="0.2">
      <c r="B1414" s="92">
        <v>1.95</v>
      </c>
      <c r="C1414" s="92">
        <v>805.45920000000001</v>
      </c>
      <c r="D1414" s="92">
        <v>130.9984</v>
      </c>
      <c r="E1414" s="92"/>
      <c r="F1414" s="92">
        <v>1.95</v>
      </c>
      <c r="G1414" s="92">
        <v>805.01990000000001</v>
      </c>
      <c r="H1414" s="92">
        <v>130.72149999999999</v>
      </c>
      <c r="I1414" s="92"/>
      <c r="J1414" s="93">
        <f t="shared" si="28"/>
        <v>0.43930000000000291</v>
      </c>
    </row>
    <row r="1415" spans="2:10" x14ac:dyDescent="0.2">
      <c r="B1415" s="92">
        <v>1.951389</v>
      </c>
      <c r="C1415" s="92">
        <v>805.49249999999995</v>
      </c>
      <c r="D1415" s="92">
        <v>131.0051</v>
      </c>
      <c r="E1415" s="92"/>
      <c r="F1415" s="92">
        <v>1.951389</v>
      </c>
      <c r="G1415" s="92">
        <v>804.98850000000004</v>
      </c>
      <c r="H1415" s="92">
        <v>130.72489999999999</v>
      </c>
      <c r="I1415" s="92"/>
      <c r="J1415" s="93">
        <f t="shared" si="28"/>
        <v>0.50399999999990541</v>
      </c>
    </row>
    <row r="1416" spans="2:10" x14ac:dyDescent="0.2">
      <c r="B1416" s="92">
        <v>1.9527779999999999</v>
      </c>
      <c r="C1416" s="92">
        <v>805.47760000000005</v>
      </c>
      <c r="D1416" s="92">
        <v>131.01339999999999</v>
      </c>
      <c r="E1416" s="92"/>
      <c r="F1416" s="92">
        <v>1.9527779999999999</v>
      </c>
      <c r="G1416" s="92">
        <v>804.99720000000002</v>
      </c>
      <c r="H1416" s="92">
        <v>130.73490000000001</v>
      </c>
      <c r="I1416" s="92"/>
      <c r="J1416" s="93">
        <f t="shared" si="28"/>
        <v>0.48040000000003147</v>
      </c>
    </row>
    <row r="1417" spans="2:10" x14ac:dyDescent="0.2">
      <c r="B1417" s="92">
        <v>1.954167</v>
      </c>
      <c r="C1417" s="92">
        <v>805.47209999999995</v>
      </c>
      <c r="D1417" s="92">
        <v>131.01339999999999</v>
      </c>
      <c r="E1417" s="92"/>
      <c r="F1417" s="92">
        <v>1.954167</v>
      </c>
      <c r="G1417" s="92">
        <v>805.03779999999995</v>
      </c>
      <c r="H1417" s="92">
        <v>130.73650000000001</v>
      </c>
      <c r="I1417" s="92"/>
      <c r="J1417" s="93">
        <f t="shared" si="28"/>
        <v>0.43430000000000746</v>
      </c>
    </row>
    <row r="1418" spans="2:10" x14ac:dyDescent="0.2">
      <c r="B1418" s="92">
        <v>1.9555560000000001</v>
      </c>
      <c r="C1418" s="92">
        <v>805.47209999999995</v>
      </c>
      <c r="D1418" s="92">
        <v>131.01339999999999</v>
      </c>
      <c r="E1418" s="92"/>
      <c r="F1418" s="92">
        <v>1.9555560000000001</v>
      </c>
      <c r="G1418" s="92">
        <v>805.03089999999997</v>
      </c>
      <c r="H1418" s="92">
        <v>130.73990000000001</v>
      </c>
      <c r="I1418" s="92"/>
      <c r="J1418" s="93">
        <f t="shared" si="28"/>
        <v>0.44119999999998072</v>
      </c>
    </row>
    <row r="1419" spans="2:10" x14ac:dyDescent="0.2">
      <c r="B1419" s="92">
        <v>1.956944</v>
      </c>
      <c r="C1419" s="92">
        <v>805.45839999999998</v>
      </c>
      <c r="D1419" s="92">
        <v>131.01669999999999</v>
      </c>
      <c r="E1419" s="92"/>
      <c r="F1419" s="92">
        <v>1.956944</v>
      </c>
      <c r="G1419" s="92">
        <v>805.01530000000002</v>
      </c>
      <c r="H1419" s="92">
        <v>130.73320000000001</v>
      </c>
      <c r="I1419" s="92"/>
      <c r="J1419" s="93">
        <f t="shared" ref="J1419:J1482" si="29">+ABS(G1419-C1419)</f>
        <v>0.44309999999995853</v>
      </c>
    </row>
    <row r="1420" spans="2:10" x14ac:dyDescent="0.2">
      <c r="B1420" s="92">
        <v>1.9583330000000001</v>
      </c>
      <c r="C1420" s="92">
        <v>805.49969999999996</v>
      </c>
      <c r="D1420" s="92">
        <v>131.01339999999999</v>
      </c>
      <c r="E1420" s="92"/>
      <c r="F1420" s="92">
        <v>1.9583330000000001</v>
      </c>
      <c r="G1420" s="92">
        <v>805.03779999999995</v>
      </c>
      <c r="H1420" s="92">
        <v>130.73650000000001</v>
      </c>
      <c r="I1420" s="92"/>
      <c r="J1420" s="93">
        <f t="shared" si="29"/>
        <v>0.46190000000001419</v>
      </c>
    </row>
    <row r="1421" spans="2:10" x14ac:dyDescent="0.2">
      <c r="B1421" s="92">
        <v>1.959722</v>
      </c>
      <c r="C1421" s="92">
        <v>805.46780000000001</v>
      </c>
      <c r="D1421" s="92">
        <v>131.00839999999999</v>
      </c>
      <c r="E1421" s="92"/>
      <c r="F1421" s="92">
        <v>1.959722</v>
      </c>
      <c r="G1421" s="92">
        <v>805.05050000000006</v>
      </c>
      <c r="H1421" s="92">
        <v>130.73990000000001</v>
      </c>
      <c r="I1421" s="92"/>
      <c r="J1421" s="93">
        <f t="shared" si="29"/>
        <v>0.41729999999995471</v>
      </c>
    </row>
    <row r="1422" spans="2:10" x14ac:dyDescent="0.2">
      <c r="B1422" s="92">
        <v>1.961111</v>
      </c>
      <c r="C1422" s="92">
        <v>805.49419999999998</v>
      </c>
      <c r="D1422" s="92">
        <v>131.01339999999999</v>
      </c>
      <c r="E1422" s="92"/>
      <c r="F1422" s="92">
        <v>1.961111</v>
      </c>
      <c r="G1422" s="92">
        <v>805.0412</v>
      </c>
      <c r="H1422" s="92">
        <v>130.73490000000001</v>
      </c>
      <c r="I1422" s="92"/>
      <c r="J1422" s="93">
        <f t="shared" si="29"/>
        <v>0.45299999999997453</v>
      </c>
    </row>
    <row r="1423" spans="2:10" x14ac:dyDescent="0.2">
      <c r="B1423" s="92">
        <v>1.9624999999999999</v>
      </c>
      <c r="C1423" s="92">
        <v>805.46680000000003</v>
      </c>
      <c r="D1423" s="92">
        <v>131.02000000000001</v>
      </c>
      <c r="E1423" s="92"/>
      <c r="F1423" s="92">
        <v>1.9624999999999999</v>
      </c>
      <c r="G1423" s="92">
        <v>805.03920000000005</v>
      </c>
      <c r="H1423" s="92">
        <v>130.73820000000001</v>
      </c>
      <c r="I1423" s="92"/>
      <c r="J1423" s="93">
        <f t="shared" si="29"/>
        <v>0.42759999999998399</v>
      </c>
    </row>
    <row r="1424" spans="2:10" x14ac:dyDescent="0.2">
      <c r="B1424" s="92">
        <v>1.963889</v>
      </c>
      <c r="C1424" s="92">
        <v>805.46389999999997</v>
      </c>
      <c r="D1424" s="92">
        <v>131.01669999999999</v>
      </c>
      <c r="E1424" s="92"/>
      <c r="F1424" s="92">
        <v>1.963889</v>
      </c>
      <c r="G1424" s="92">
        <v>805.03240000000005</v>
      </c>
      <c r="H1424" s="92">
        <v>130.7415</v>
      </c>
      <c r="I1424" s="92"/>
      <c r="J1424" s="93">
        <f t="shared" si="29"/>
        <v>0.43149999999991451</v>
      </c>
    </row>
    <row r="1425" spans="2:10" x14ac:dyDescent="0.2">
      <c r="B1425" s="92">
        <v>1.9652780000000001</v>
      </c>
      <c r="C1425" s="92">
        <v>805.48050000000001</v>
      </c>
      <c r="D1425" s="92">
        <v>131.01669999999999</v>
      </c>
      <c r="E1425" s="92"/>
      <c r="F1425" s="92">
        <v>1.9652780000000001</v>
      </c>
      <c r="G1425" s="92">
        <v>804.97699999999998</v>
      </c>
      <c r="H1425" s="92">
        <v>130.73990000000001</v>
      </c>
      <c r="I1425" s="92"/>
      <c r="J1425" s="93">
        <f t="shared" si="29"/>
        <v>0.50350000000003092</v>
      </c>
    </row>
    <row r="1426" spans="2:10" x14ac:dyDescent="0.2">
      <c r="B1426" s="92">
        <v>1.9666669999999999</v>
      </c>
      <c r="C1426" s="92">
        <v>805.47209999999995</v>
      </c>
      <c r="D1426" s="92">
        <v>131.01339999999999</v>
      </c>
      <c r="E1426" s="92"/>
      <c r="F1426" s="92">
        <v>1.9666669999999999</v>
      </c>
      <c r="G1426" s="92">
        <v>805.05050000000006</v>
      </c>
      <c r="H1426" s="92">
        <v>130.73990000000001</v>
      </c>
      <c r="I1426" s="92"/>
      <c r="J1426" s="93">
        <f t="shared" si="29"/>
        <v>0.4215999999998985</v>
      </c>
    </row>
    <row r="1427" spans="2:10" x14ac:dyDescent="0.2">
      <c r="B1427" s="92">
        <v>1.968056</v>
      </c>
      <c r="C1427" s="92">
        <v>805.48310000000004</v>
      </c>
      <c r="D1427" s="92">
        <v>131.01339999999999</v>
      </c>
      <c r="E1427" s="92"/>
      <c r="F1427" s="92">
        <v>1.968056</v>
      </c>
      <c r="G1427" s="92">
        <v>805.04359999999997</v>
      </c>
      <c r="H1427" s="92">
        <v>130.7432</v>
      </c>
      <c r="I1427" s="92"/>
      <c r="J1427" s="93">
        <f t="shared" si="29"/>
        <v>0.43950000000006639</v>
      </c>
    </row>
    <row r="1428" spans="2:10" x14ac:dyDescent="0.2">
      <c r="B1428" s="92">
        <v>1.969444</v>
      </c>
      <c r="C1428" s="92">
        <v>805.46849999999995</v>
      </c>
      <c r="D1428" s="92">
        <v>131.0283</v>
      </c>
      <c r="E1428" s="92"/>
      <c r="F1428" s="92">
        <v>1.969444</v>
      </c>
      <c r="G1428" s="92">
        <v>805.00639999999999</v>
      </c>
      <c r="H1428" s="92">
        <v>130.73990000000001</v>
      </c>
      <c r="I1428" s="92"/>
      <c r="J1428" s="93">
        <f t="shared" si="29"/>
        <v>0.46209999999996398</v>
      </c>
    </row>
    <row r="1429" spans="2:10" x14ac:dyDescent="0.2">
      <c r="B1429" s="92">
        <v>1.9708330000000001</v>
      </c>
      <c r="C1429" s="92">
        <v>805.50810000000001</v>
      </c>
      <c r="D1429" s="92">
        <v>131.01669999999999</v>
      </c>
      <c r="E1429" s="92"/>
      <c r="F1429" s="92">
        <v>1.9708330000000001</v>
      </c>
      <c r="G1429" s="92">
        <v>805.01710000000003</v>
      </c>
      <c r="H1429" s="92">
        <v>130.7465</v>
      </c>
      <c r="I1429" s="92"/>
      <c r="J1429" s="93">
        <f t="shared" si="29"/>
        <v>0.49099999999998545</v>
      </c>
    </row>
    <row r="1430" spans="2:10" x14ac:dyDescent="0.2">
      <c r="B1430" s="92">
        <v>1.9722219999999999</v>
      </c>
      <c r="C1430" s="92">
        <v>805.45989999999995</v>
      </c>
      <c r="D1430" s="92">
        <v>131.01840000000001</v>
      </c>
      <c r="E1430" s="92"/>
      <c r="F1430" s="92">
        <v>1.9722219999999999</v>
      </c>
      <c r="G1430" s="92">
        <v>805.09140000000002</v>
      </c>
      <c r="H1430" s="92">
        <v>130.75319999999999</v>
      </c>
      <c r="I1430" s="92"/>
      <c r="J1430" s="93">
        <f t="shared" si="29"/>
        <v>0.36849999999992633</v>
      </c>
    </row>
    <row r="1431" spans="2:10" x14ac:dyDescent="0.2">
      <c r="B1431" s="92">
        <v>1.973611</v>
      </c>
      <c r="C1431" s="92">
        <v>805.52769999999998</v>
      </c>
      <c r="D1431" s="92">
        <v>131.02670000000001</v>
      </c>
      <c r="E1431" s="92"/>
      <c r="F1431" s="92">
        <v>1.973611</v>
      </c>
      <c r="G1431" s="92">
        <v>805.00729999999999</v>
      </c>
      <c r="H1431" s="92">
        <v>130.7465</v>
      </c>
      <c r="I1431" s="92"/>
      <c r="J1431" s="93">
        <f t="shared" si="29"/>
        <v>0.52039999999999509</v>
      </c>
    </row>
    <row r="1432" spans="2:10" x14ac:dyDescent="0.2">
      <c r="B1432" s="92">
        <v>1.9750000000000001</v>
      </c>
      <c r="C1432" s="92">
        <v>805.50559999999996</v>
      </c>
      <c r="D1432" s="92">
        <v>131.02670000000001</v>
      </c>
      <c r="E1432" s="92"/>
      <c r="F1432" s="92">
        <v>1.9750000000000001</v>
      </c>
      <c r="G1432" s="92">
        <v>805.01020000000005</v>
      </c>
      <c r="H1432" s="92">
        <v>130.7499</v>
      </c>
      <c r="I1432" s="92"/>
      <c r="J1432" s="93">
        <f t="shared" si="29"/>
        <v>0.49539999999990414</v>
      </c>
    </row>
    <row r="1433" spans="2:10" x14ac:dyDescent="0.2">
      <c r="B1433" s="92">
        <v>1.976389</v>
      </c>
      <c r="C1433" s="92">
        <v>805.47379999999998</v>
      </c>
      <c r="D1433" s="92">
        <v>131.02170000000001</v>
      </c>
      <c r="E1433" s="92"/>
      <c r="F1433" s="92">
        <v>1.976389</v>
      </c>
      <c r="G1433" s="92">
        <v>805.01909999999998</v>
      </c>
      <c r="H1433" s="92">
        <v>130.7432</v>
      </c>
      <c r="I1433" s="92"/>
      <c r="J1433" s="93">
        <f t="shared" si="29"/>
        <v>0.45470000000000255</v>
      </c>
    </row>
    <row r="1434" spans="2:10" x14ac:dyDescent="0.2">
      <c r="B1434" s="92">
        <v>1.977778</v>
      </c>
      <c r="C1434" s="92">
        <v>805.50009999999997</v>
      </c>
      <c r="D1434" s="92">
        <v>131.02670000000001</v>
      </c>
      <c r="E1434" s="92"/>
      <c r="F1434" s="92">
        <v>1.977778</v>
      </c>
      <c r="G1434" s="92">
        <v>805.02779999999996</v>
      </c>
      <c r="H1434" s="92">
        <v>130.75319999999999</v>
      </c>
      <c r="I1434" s="92"/>
      <c r="J1434" s="93">
        <f t="shared" si="29"/>
        <v>0.47230000000001837</v>
      </c>
    </row>
    <row r="1435" spans="2:10" x14ac:dyDescent="0.2">
      <c r="B1435" s="92">
        <v>1.9791669999999999</v>
      </c>
      <c r="C1435" s="92">
        <v>805.47249999999997</v>
      </c>
      <c r="D1435" s="92">
        <v>131.02670000000001</v>
      </c>
      <c r="E1435" s="92"/>
      <c r="F1435" s="92">
        <v>1.9791669999999999</v>
      </c>
      <c r="G1435" s="92">
        <v>805.03959999999995</v>
      </c>
      <c r="H1435" s="92">
        <v>130.7499</v>
      </c>
      <c r="I1435" s="92"/>
      <c r="J1435" s="93">
        <f t="shared" si="29"/>
        <v>0.43290000000001783</v>
      </c>
    </row>
    <row r="1436" spans="2:10" x14ac:dyDescent="0.2">
      <c r="B1436" s="92">
        <v>1.980556</v>
      </c>
      <c r="C1436" s="92">
        <v>805.50969999999995</v>
      </c>
      <c r="D1436" s="92">
        <v>131.02500000000001</v>
      </c>
      <c r="E1436" s="92"/>
      <c r="F1436" s="92">
        <v>1.980556</v>
      </c>
      <c r="G1436" s="92">
        <v>805.04449999999997</v>
      </c>
      <c r="H1436" s="92">
        <v>130.7499</v>
      </c>
      <c r="I1436" s="92"/>
      <c r="J1436" s="93">
        <f t="shared" si="29"/>
        <v>0.46519999999998163</v>
      </c>
    </row>
    <row r="1437" spans="2:10" x14ac:dyDescent="0.2">
      <c r="B1437" s="92">
        <v>1.9819439999999999</v>
      </c>
      <c r="C1437" s="92">
        <v>805.48789999999997</v>
      </c>
      <c r="D1437" s="92">
        <v>131.0316</v>
      </c>
      <c r="E1437" s="92"/>
      <c r="F1437" s="92">
        <v>1.9819439999999999</v>
      </c>
      <c r="G1437" s="92">
        <v>805.03470000000004</v>
      </c>
      <c r="H1437" s="92">
        <v>130.7499</v>
      </c>
      <c r="I1437" s="92"/>
      <c r="J1437" s="93">
        <f t="shared" si="29"/>
        <v>0.45319999999992433</v>
      </c>
    </row>
    <row r="1438" spans="2:10" x14ac:dyDescent="0.2">
      <c r="B1438" s="92">
        <v>1.983333</v>
      </c>
      <c r="C1438" s="92">
        <v>805.54160000000002</v>
      </c>
      <c r="D1438" s="92">
        <v>131.03</v>
      </c>
      <c r="E1438" s="92"/>
      <c r="F1438" s="92">
        <v>1.983333</v>
      </c>
      <c r="G1438" s="92">
        <v>805.03959999999995</v>
      </c>
      <c r="H1438" s="92">
        <v>130.7499</v>
      </c>
      <c r="I1438" s="92"/>
      <c r="J1438" s="93">
        <f t="shared" si="29"/>
        <v>0.50200000000006639</v>
      </c>
    </row>
    <row r="1439" spans="2:10" x14ac:dyDescent="0.2">
      <c r="B1439" s="92">
        <v>1.9847220000000001</v>
      </c>
      <c r="C1439" s="92">
        <v>805.46289999999999</v>
      </c>
      <c r="D1439" s="92">
        <v>131.0283</v>
      </c>
      <c r="E1439" s="92"/>
      <c r="F1439" s="92">
        <v>1.9847220000000001</v>
      </c>
      <c r="G1439" s="92">
        <v>805.04100000000005</v>
      </c>
      <c r="H1439" s="92">
        <v>130.75149999999999</v>
      </c>
      <c r="I1439" s="92"/>
      <c r="J1439" s="93">
        <f t="shared" si="29"/>
        <v>0.42189999999993688</v>
      </c>
    </row>
    <row r="1440" spans="2:10" x14ac:dyDescent="0.2">
      <c r="B1440" s="92">
        <v>1.986111</v>
      </c>
      <c r="C1440" s="92">
        <v>805.52239999999995</v>
      </c>
      <c r="D1440" s="92">
        <v>131.0333</v>
      </c>
      <c r="E1440" s="92"/>
      <c r="F1440" s="92">
        <v>1.986111</v>
      </c>
      <c r="G1440" s="92">
        <v>805.00239999999997</v>
      </c>
      <c r="H1440" s="92">
        <v>130.7465</v>
      </c>
      <c r="I1440" s="92"/>
      <c r="J1440" s="93">
        <f t="shared" si="29"/>
        <v>0.51999999999998181</v>
      </c>
    </row>
    <row r="1441" spans="2:10" x14ac:dyDescent="0.2">
      <c r="B1441" s="92">
        <v>1.9875</v>
      </c>
      <c r="C1441" s="92">
        <v>805.53869999999995</v>
      </c>
      <c r="D1441" s="92">
        <v>131.02670000000001</v>
      </c>
      <c r="E1441" s="92"/>
      <c r="F1441" s="92">
        <v>1.9875</v>
      </c>
      <c r="G1441" s="92">
        <v>804.99990000000003</v>
      </c>
      <c r="H1441" s="92">
        <v>130.75489999999999</v>
      </c>
      <c r="I1441" s="92"/>
      <c r="J1441" s="93">
        <f t="shared" si="29"/>
        <v>0.53879999999992378</v>
      </c>
    </row>
    <row r="1442" spans="2:10" x14ac:dyDescent="0.2">
      <c r="B1442" s="92">
        <v>1.9888889999999999</v>
      </c>
      <c r="C1442" s="92">
        <v>805.50279999999998</v>
      </c>
      <c r="D1442" s="92">
        <v>131.02330000000001</v>
      </c>
      <c r="E1442" s="92"/>
      <c r="F1442" s="92">
        <v>1.9888889999999999</v>
      </c>
      <c r="G1442" s="92">
        <v>804.97680000000003</v>
      </c>
      <c r="H1442" s="92">
        <v>130.75649999999999</v>
      </c>
      <c r="I1442" s="92"/>
      <c r="J1442" s="93">
        <f t="shared" si="29"/>
        <v>0.52599999999995362</v>
      </c>
    </row>
    <row r="1443" spans="2:10" x14ac:dyDescent="0.2">
      <c r="B1443" s="92">
        <v>1.990278</v>
      </c>
      <c r="C1443" s="92">
        <v>805.48260000000005</v>
      </c>
      <c r="D1443" s="92">
        <v>131.03829999999999</v>
      </c>
      <c r="E1443" s="92"/>
      <c r="F1443" s="92">
        <v>1.990278</v>
      </c>
      <c r="G1443" s="92">
        <v>805.00480000000005</v>
      </c>
      <c r="H1443" s="92">
        <v>130.75489999999999</v>
      </c>
      <c r="I1443" s="92"/>
      <c r="J1443" s="93">
        <f t="shared" si="29"/>
        <v>0.477800000000002</v>
      </c>
    </row>
    <row r="1444" spans="2:10" x14ac:dyDescent="0.2">
      <c r="B1444" s="92">
        <v>1.9916670000000001</v>
      </c>
      <c r="C1444" s="92">
        <v>805.47950000000003</v>
      </c>
      <c r="D1444" s="92">
        <v>131.0283</v>
      </c>
      <c r="E1444" s="92"/>
      <c r="F1444" s="92">
        <v>1.9916670000000001</v>
      </c>
      <c r="G1444" s="92">
        <v>805.03409999999997</v>
      </c>
      <c r="H1444" s="92">
        <v>130.75489999999999</v>
      </c>
      <c r="I1444" s="92"/>
      <c r="J1444" s="93">
        <f t="shared" si="29"/>
        <v>0.4454000000000633</v>
      </c>
    </row>
    <row r="1445" spans="2:10" x14ac:dyDescent="0.2">
      <c r="B1445" s="92">
        <v>1.9930559999999999</v>
      </c>
      <c r="C1445" s="92">
        <v>805.50580000000002</v>
      </c>
      <c r="D1445" s="92">
        <v>131.0333</v>
      </c>
      <c r="E1445" s="92"/>
      <c r="F1445" s="92">
        <v>1.9930559999999999</v>
      </c>
      <c r="G1445" s="92">
        <v>805.04190000000006</v>
      </c>
      <c r="H1445" s="92">
        <v>130.75819999999999</v>
      </c>
      <c r="I1445" s="92"/>
      <c r="J1445" s="93">
        <f t="shared" si="29"/>
        <v>0.46389999999996689</v>
      </c>
    </row>
    <row r="1446" spans="2:10" x14ac:dyDescent="0.2">
      <c r="B1446" s="92">
        <v>1.9944440000000001</v>
      </c>
      <c r="C1446" s="92">
        <v>805.49749999999995</v>
      </c>
      <c r="D1446" s="92">
        <v>131.03</v>
      </c>
      <c r="E1446" s="92"/>
      <c r="F1446" s="92">
        <v>1.9944440000000001</v>
      </c>
      <c r="G1446" s="92">
        <v>805.0806</v>
      </c>
      <c r="H1446" s="92">
        <v>130.76320000000001</v>
      </c>
      <c r="I1446" s="92"/>
      <c r="J1446" s="93">
        <f t="shared" si="29"/>
        <v>0.41689999999994143</v>
      </c>
    </row>
    <row r="1447" spans="2:10" x14ac:dyDescent="0.2">
      <c r="B1447" s="92">
        <v>1.995833</v>
      </c>
      <c r="C1447" s="92">
        <v>805.51689999999996</v>
      </c>
      <c r="D1447" s="92">
        <v>131.0333</v>
      </c>
      <c r="E1447" s="92"/>
      <c r="F1447" s="92">
        <v>1.995833</v>
      </c>
      <c r="G1447" s="92">
        <v>805.04049999999995</v>
      </c>
      <c r="H1447" s="92">
        <v>130.75649999999999</v>
      </c>
      <c r="I1447" s="92"/>
      <c r="J1447" s="93">
        <f t="shared" si="29"/>
        <v>0.47640000000001237</v>
      </c>
    </row>
    <row r="1448" spans="2:10" x14ac:dyDescent="0.2">
      <c r="B1448" s="92">
        <v>1.9972220000000001</v>
      </c>
      <c r="C1448" s="92">
        <v>805.48379999999997</v>
      </c>
      <c r="D1448" s="92">
        <v>131.0333</v>
      </c>
      <c r="E1448" s="92"/>
      <c r="F1448" s="92">
        <v>1.9972220000000001</v>
      </c>
      <c r="G1448" s="92">
        <v>805.00480000000005</v>
      </c>
      <c r="H1448" s="92">
        <v>130.75489999999999</v>
      </c>
      <c r="I1448" s="92"/>
      <c r="J1448" s="93">
        <f t="shared" si="29"/>
        <v>0.47899999999992815</v>
      </c>
    </row>
    <row r="1449" spans="2:10" x14ac:dyDescent="0.2">
      <c r="B1449" s="92">
        <v>1.9986109999999999</v>
      </c>
      <c r="C1449" s="92">
        <v>805.53340000000003</v>
      </c>
      <c r="D1449" s="92">
        <v>131.0333</v>
      </c>
      <c r="E1449" s="92"/>
      <c r="F1449" s="92">
        <v>1.9986109999999999</v>
      </c>
      <c r="G1449" s="92">
        <v>805.03359999999998</v>
      </c>
      <c r="H1449" s="92">
        <v>130.75989999999999</v>
      </c>
      <c r="I1449" s="92"/>
      <c r="J1449" s="93">
        <f t="shared" si="29"/>
        <v>0.4998000000000502</v>
      </c>
    </row>
    <row r="1450" spans="2:10" x14ac:dyDescent="0.2">
      <c r="B1450" s="92">
        <v>2</v>
      </c>
      <c r="C1450" s="92">
        <v>805.51009999999997</v>
      </c>
      <c r="D1450" s="92">
        <v>131.03829999999999</v>
      </c>
      <c r="E1450" s="92"/>
      <c r="F1450" s="92">
        <v>2</v>
      </c>
      <c r="G1450" s="92">
        <v>804.98609999999996</v>
      </c>
      <c r="H1450" s="92">
        <v>130.76150000000001</v>
      </c>
      <c r="I1450" s="92"/>
      <c r="J1450" s="93">
        <f t="shared" si="29"/>
        <v>0.52400000000000091</v>
      </c>
    </row>
    <row r="1451" spans="2:10" x14ac:dyDescent="0.2">
      <c r="B1451" s="92">
        <v>2.0013890000000001</v>
      </c>
      <c r="C1451" s="92">
        <v>805.53459999999995</v>
      </c>
      <c r="D1451" s="92">
        <v>131.0283</v>
      </c>
      <c r="E1451" s="92"/>
      <c r="F1451" s="92">
        <v>2.0013890000000001</v>
      </c>
      <c r="G1451" s="92">
        <v>804.99789999999996</v>
      </c>
      <c r="H1451" s="92">
        <v>130.75819999999999</v>
      </c>
      <c r="I1451" s="92"/>
      <c r="J1451" s="93">
        <f t="shared" si="29"/>
        <v>0.53669999999999618</v>
      </c>
    </row>
    <row r="1452" spans="2:10" x14ac:dyDescent="0.2">
      <c r="B1452" s="92">
        <v>2.0027780000000002</v>
      </c>
      <c r="C1452" s="92">
        <v>805.51969999999994</v>
      </c>
      <c r="D1452" s="92">
        <v>131.03659999999999</v>
      </c>
      <c r="E1452" s="92"/>
      <c r="F1452" s="92">
        <v>2.0027780000000002</v>
      </c>
      <c r="G1452" s="92">
        <v>805.02520000000004</v>
      </c>
      <c r="H1452" s="92">
        <v>130.76150000000001</v>
      </c>
      <c r="I1452" s="92"/>
      <c r="J1452" s="93">
        <f t="shared" si="29"/>
        <v>0.49449999999990268</v>
      </c>
    </row>
    <row r="1453" spans="2:10" x14ac:dyDescent="0.2">
      <c r="B1453" s="92">
        <v>2.0041669999999998</v>
      </c>
      <c r="C1453" s="92">
        <v>805.47680000000003</v>
      </c>
      <c r="D1453" s="92">
        <v>131.0316</v>
      </c>
      <c r="E1453" s="92"/>
      <c r="F1453" s="92">
        <v>2.0041669999999998</v>
      </c>
      <c r="G1453" s="92">
        <v>805.03210000000001</v>
      </c>
      <c r="H1453" s="92">
        <v>130.75819999999999</v>
      </c>
      <c r="I1453" s="92"/>
      <c r="J1453" s="93">
        <f t="shared" si="29"/>
        <v>0.44470000000001164</v>
      </c>
    </row>
    <row r="1454" spans="2:10" x14ac:dyDescent="0.2">
      <c r="B1454" s="92">
        <v>2.0055559999999999</v>
      </c>
      <c r="C1454" s="92">
        <v>805.45069999999998</v>
      </c>
      <c r="D1454" s="92">
        <v>131.0333</v>
      </c>
      <c r="E1454" s="92"/>
      <c r="F1454" s="92">
        <v>2.0055559999999999</v>
      </c>
      <c r="G1454" s="92">
        <v>805.00909999999999</v>
      </c>
      <c r="H1454" s="92">
        <v>130.75989999999999</v>
      </c>
      <c r="I1454" s="92"/>
      <c r="J1454" s="93">
        <f t="shared" si="29"/>
        <v>0.441599999999994</v>
      </c>
    </row>
    <row r="1455" spans="2:10" x14ac:dyDescent="0.2">
      <c r="B1455" s="92">
        <v>2.0069439999999998</v>
      </c>
      <c r="C1455" s="92">
        <v>805.49360000000001</v>
      </c>
      <c r="D1455" s="92">
        <v>131.03829999999999</v>
      </c>
      <c r="E1455" s="92"/>
      <c r="F1455" s="92">
        <v>2.0069439999999998</v>
      </c>
      <c r="G1455" s="92">
        <v>805.03160000000003</v>
      </c>
      <c r="H1455" s="92">
        <v>130.76320000000001</v>
      </c>
      <c r="I1455" s="92"/>
      <c r="J1455" s="93">
        <f t="shared" si="29"/>
        <v>0.46199999999998909</v>
      </c>
    </row>
    <row r="1456" spans="2:10" x14ac:dyDescent="0.2">
      <c r="B1456" s="92">
        <v>2.0083329999999999</v>
      </c>
      <c r="C1456" s="92">
        <v>805.49770000000001</v>
      </c>
      <c r="D1456" s="92">
        <v>131.03659999999999</v>
      </c>
      <c r="E1456" s="92"/>
      <c r="F1456" s="92">
        <v>2.0083329999999999</v>
      </c>
      <c r="G1456" s="92">
        <v>805.06010000000003</v>
      </c>
      <c r="H1456" s="92">
        <v>130.75649999999999</v>
      </c>
      <c r="I1456" s="92"/>
      <c r="J1456" s="93">
        <f t="shared" si="29"/>
        <v>0.4375999999999749</v>
      </c>
    </row>
    <row r="1457" spans="2:10" x14ac:dyDescent="0.2">
      <c r="B1457" s="92">
        <v>2.009722</v>
      </c>
      <c r="C1457" s="92">
        <v>805.50890000000004</v>
      </c>
      <c r="D1457" s="92">
        <v>131.04329999999999</v>
      </c>
      <c r="E1457" s="92"/>
      <c r="F1457" s="92">
        <v>2.009722</v>
      </c>
      <c r="G1457" s="92">
        <v>805.00620000000004</v>
      </c>
      <c r="H1457" s="92">
        <v>130.75649999999999</v>
      </c>
      <c r="I1457" s="92"/>
      <c r="J1457" s="93">
        <f t="shared" si="29"/>
        <v>0.50270000000000437</v>
      </c>
    </row>
    <row r="1458" spans="2:10" x14ac:dyDescent="0.2">
      <c r="B1458" s="92">
        <v>2.0111110000000001</v>
      </c>
      <c r="C1458" s="92">
        <v>805.50459999999998</v>
      </c>
      <c r="D1458" s="92">
        <v>131.03829999999999</v>
      </c>
      <c r="E1458" s="92"/>
      <c r="F1458" s="92">
        <v>2.0111110000000001</v>
      </c>
      <c r="G1458" s="92">
        <v>805.04480000000001</v>
      </c>
      <c r="H1458" s="92">
        <v>130.76150000000001</v>
      </c>
      <c r="I1458" s="92"/>
      <c r="J1458" s="93">
        <f t="shared" si="29"/>
        <v>0.4597999999999729</v>
      </c>
    </row>
    <row r="1459" spans="2:10" x14ac:dyDescent="0.2">
      <c r="B1459" s="92">
        <v>2.0125000000000002</v>
      </c>
      <c r="C1459" s="92">
        <v>805.50459999999998</v>
      </c>
      <c r="D1459" s="92">
        <v>131.03829999999999</v>
      </c>
      <c r="E1459" s="92"/>
      <c r="F1459" s="92">
        <v>2.0125000000000002</v>
      </c>
      <c r="G1459" s="92">
        <v>805.01840000000004</v>
      </c>
      <c r="H1459" s="92">
        <v>130.76490000000001</v>
      </c>
      <c r="I1459" s="92"/>
      <c r="J1459" s="93">
        <f t="shared" si="29"/>
        <v>0.48619999999993979</v>
      </c>
    </row>
    <row r="1460" spans="2:10" x14ac:dyDescent="0.2">
      <c r="B1460" s="92">
        <v>2.0138889999999998</v>
      </c>
      <c r="C1460" s="92">
        <v>805.51419999999996</v>
      </c>
      <c r="D1460" s="92">
        <v>131.03659999999999</v>
      </c>
      <c r="E1460" s="92"/>
      <c r="F1460" s="92">
        <v>2.0138889999999998</v>
      </c>
      <c r="G1460" s="92">
        <v>805.02959999999996</v>
      </c>
      <c r="H1460" s="92">
        <v>130.76650000000001</v>
      </c>
      <c r="I1460" s="92"/>
      <c r="J1460" s="93">
        <f t="shared" si="29"/>
        <v>0.48460000000000036</v>
      </c>
    </row>
    <row r="1461" spans="2:10" x14ac:dyDescent="0.2">
      <c r="B1461" s="92">
        <v>2.0152779999999999</v>
      </c>
      <c r="C1461" s="92">
        <v>805.50459999999998</v>
      </c>
      <c r="D1461" s="92">
        <v>131.03829999999999</v>
      </c>
      <c r="E1461" s="92"/>
      <c r="F1461" s="92">
        <v>2.0152779999999999</v>
      </c>
      <c r="G1461" s="92">
        <v>804.99390000000005</v>
      </c>
      <c r="H1461" s="92">
        <v>130.76490000000001</v>
      </c>
      <c r="I1461" s="92"/>
      <c r="J1461" s="93">
        <f t="shared" si="29"/>
        <v>0.51069999999992888</v>
      </c>
    </row>
    <row r="1462" spans="2:10" x14ac:dyDescent="0.2">
      <c r="B1462" s="92">
        <v>2.016667</v>
      </c>
      <c r="C1462" s="92">
        <v>805.49069999999995</v>
      </c>
      <c r="D1462" s="92">
        <v>131.035</v>
      </c>
      <c r="E1462" s="92"/>
      <c r="F1462" s="92">
        <v>2.016667</v>
      </c>
      <c r="G1462" s="92">
        <v>805.03650000000005</v>
      </c>
      <c r="H1462" s="92">
        <v>130.76320000000001</v>
      </c>
      <c r="I1462" s="92"/>
      <c r="J1462" s="93">
        <f t="shared" si="29"/>
        <v>0.45419999999990068</v>
      </c>
    </row>
    <row r="1463" spans="2:10" x14ac:dyDescent="0.2">
      <c r="B1463" s="92">
        <v>2.0180560000000001</v>
      </c>
      <c r="C1463" s="92">
        <v>805.50480000000005</v>
      </c>
      <c r="D1463" s="92">
        <v>131.04490000000001</v>
      </c>
      <c r="E1463" s="92"/>
      <c r="F1463" s="92">
        <v>2.0180560000000001</v>
      </c>
      <c r="G1463" s="92">
        <v>805.01840000000004</v>
      </c>
      <c r="H1463" s="92">
        <v>130.76490000000001</v>
      </c>
      <c r="I1463" s="92"/>
      <c r="J1463" s="93">
        <f t="shared" si="29"/>
        <v>0.48640000000000327</v>
      </c>
    </row>
    <row r="1464" spans="2:10" x14ac:dyDescent="0.2">
      <c r="B1464" s="92">
        <v>2.019444</v>
      </c>
      <c r="C1464" s="92">
        <v>805.46619999999996</v>
      </c>
      <c r="D1464" s="92">
        <v>131.04490000000001</v>
      </c>
      <c r="E1464" s="92"/>
      <c r="F1464" s="92">
        <v>2.019444</v>
      </c>
      <c r="G1464" s="92">
        <v>805.00080000000003</v>
      </c>
      <c r="H1464" s="92">
        <v>130.76150000000001</v>
      </c>
      <c r="I1464" s="92"/>
      <c r="J1464" s="93">
        <f t="shared" si="29"/>
        <v>0.46539999999993142</v>
      </c>
    </row>
    <row r="1465" spans="2:10" x14ac:dyDescent="0.2">
      <c r="B1465" s="92">
        <v>2.0208330000000001</v>
      </c>
      <c r="C1465" s="92">
        <v>805.49519999999995</v>
      </c>
      <c r="D1465" s="92">
        <v>131.04660000000001</v>
      </c>
      <c r="E1465" s="92"/>
      <c r="F1465" s="92">
        <v>2.0208330000000001</v>
      </c>
      <c r="G1465" s="92">
        <v>805.01350000000002</v>
      </c>
      <c r="H1465" s="92">
        <v>130.76490000000001</v>
      </c>
      <c r="I1465" s="92"/>
      <c r="J1465" s="93">
        <f t="shared" si="29"/>
        <v>0.48169999999993252</v>
      </c>
    </row>
    <row r="1466" spans="2:10" x14ac:dyDescent="0.2">
      <c r="B1466" s="92">
        <v>2.0222220000000002</v>
      </c>
      <c r="C1466" s="92">
        <v>805.4538</v>
      </c>
      <c r="D1466" s="92">
        <v>131.04329999999999</v>
      </c>
      <c r="E1466" s="92"/>
      <c r="F1466" s="92">
        <v>2.0222220000000002</v>
      </c>
      <c r="G1466" s="92">
        <v>805.00260000000003</v>
      </c>
      <c r="H1466" s="92">
        <v>130.7749</v>
      </c>
      <c r="I1466" s="92"/>
      <c r="J1466" s="93">
        <f t="shared" si="29"/>
        <v>0.45119999999997162</v>
      </c>
    </row>
    <row r="1467" spans="2:10" x14ac:dyDescent="0.2">
      <c r="B1467" s="92">
        <v>2.0236109999999998</v>
      </c>
      <c r="C1467" s="92">
        <v>805.47580000000005</v>
      </c>
      <c r="D1467" s="92">
        <v>131.04329999999999</v>
      </c>
      <c r="E1467" s="92"/>
      <c r="F1467" s="92">
        <v>2.0236109999999998</v>
      </c>
      <c r="G1467" s="92">
        <v>805.02470000000005</v>
      </c>
      <c r="H1467" s="92">
        <v>130.76650000000001</v>
      </c>
      <c r="I1467" s="92"/>
      <c r="J1467" s="93">
        <f t="shared" si="29"/>
        <v>0.45109999999999673</v>
      </c>
    </row>
    <row r="1468" spans="2:10" x14ac:dyDescent="0.2">
      <c r="B1468" s="92">
        <v>2.0249999999999999</v>
      </c>
      <c r="C1468" s="92">
        <v>805.53909999999996</v>
      </c>
      <c r="D1468" s="92">
        <v>131.03989999999999</v>
      </c>
      <c r="E1468" s="92"/>
      <c r="F1468" s="92">
        <v>2.0249999999999999</v>
      </c>
      <c r="G1468" s="92">
        <v>805.0095</v>
      </c>
      <c r="H1468" s="92">
        <v>130.7715</v>
      </c>
      <c r="I1468" s="92"/>
      <c r="J1468" s="93">
        <f t="shared" si="29"/>
        <v>0.52959999999995944</v>
      </c>
    </row>
    <row r="1469" spans="2:10" x14ac:dyDescent="0.2">
      <c r="B1469" s="92">
        <v>2.026389</v>
      </c>
      <c r="C1469" s="92">
        <v>805.49929999999995</v>
      </c>
      <c r="D1469" s="92">
        <v>131.04490000000001</v>
      </c>
      <c r="E1469" s="92"/>
      <c r="F1469" s="92">
        <v>2.026389</v>
      </c>
      <c r="G1469" s="92">
        <v>805.00310000000002</v>
      </c>
      <c r="H1469" s="92">
        <v>130.76990000000001</v>
      </c>
      <c r="I1469" s="92"/>
      <c r="J1469" s="93">
        <f t="shared" si="29"/>
        <v>0.4961999999999307</v>
      </c>
    </row>
    <row r="1470" spans="2:10" x14ac:dyDescent="0.2">
      <c r="B1470" s="92">
        <v>2.0277780000000001</v>
      </c>
      <c r="C1470" s="92">
        <v>805.4742</v>
      </c>
      <c r="D1470" s="92">
        <v>131.035</v>
      </c>
      <c r="E1470" s="92"/>
      <c r="F1470" s="92">
        <v>2.0277780000000001</v>
      </c>
      <c r="G1470" s="92">
        <v>805.03049999999996</v>
      </c>
      <c r="H1470" s="92">
        <v>130.7732</v>
      </c>
      <c r="I1470" s="92"/>
      <c r="J1470" s="93">
        <f t="shared" si="29"/>
        <v>0.44370000000003529</v>
      </c>
    </row>
    <row r="1471" spans="2:10" x14ac:dyDescent="0.2">
      <c r="B1471" s="92">
        <v>2.0291670000000002</v>
      </c>
      <c r="C1471" s="92">
        <v>805.49379999999996</v>
      </c>
      <c r="D1471" s="92">
        <v>131.04490000000001</v>
      </c>
      <c r="E1471" s="92"/>
      <c r="F1471" s="92">
        <v>2.0291670000000002</v>
      </c>
      <c r="G1471" s="92">
        <v>805.0086</v>
      </c>
      <c r="H1471" s="92">
        <v>130.76490000000001</v>
      </c>
      <c r="I1471" s="92"/>
      <c r="J1471" s="93">
        <f t="shared" si="29"/>
        <v>0.48519999999996344</v>
      </c>
    </row>
    <row r="1472" spans="2:10" x14ac:dyDescent="0.2">
      <c r="B1472" s="92">
        <v>2.0305559999999998</v>
      </c>
      <c r="C1472" s="92">
        <v>805.47460000000001</v>
      </c>
      <c r="D1472" s="92">
        <v>131.04820000000001</v>
      </c>
      <c r="E1472" s="92"/>
      <c r="F1472" s="92">
        <v>2.0305559999999998</v>
      </c>
      <c r="G1472" s="92">
        <v>805.04859999999996</v>
      </c>
      <c r="H1472" s="92">
        <v>130.7715</v>
      </c>
      <c r="I1472" s="92"/>
      <c r="J1472" s="93">
        <f t="shared" si="29"/>
        <v>0.42600000000004457</v>
      </c>
    </row>
    <row r="1473" spans="2:10" x14ac:dyDescent="0.2">
      <c r="B1473" s="92">
        <v>2.0319440000000002</v>
      </c>
      <c r="C1473" s="92">
        <v>805.53099999999995</v>
      </c>
      <c r="D1473" s="92">
        <v>131.04329999999999</v>
      </c>
      <c r="E1473" s="92"/>
      <c r="F1473" s="92">
        <v>2.0319440000000002</v>
      </c>
      <c r="G1473" s="92">
        <v>805.07889999999998</v>
      </c>
      <c r="H1473" s="92">
        <v>130.7782</v>
      </c>
      <c r="I1473" s="92"/>
      <c r="J1473" s="93">
        <f t="shared" si="29"/>
        <v>0.45209999999997308</v>
      </c>
    </row>
    <row r="1474" spans="2:10" x14ac:dyDescent="0.2">
      <c r="B1474" s="92">
        <v>2.0333329999999998</v>
      </c>
      <c r="C1474" s="92">
        <v>805.51049999999998</v>
      </c>
      <c r="D1474" s="92">
        <v>131.05160000000001</v>
      </c>
      <c r="E1474" s="92"/>
      <c r="F1474" s="92">
        <v>2.0333329999999998</v>
      </c>
      <c r="G1474" s="92">
        <v>805.02409999999998</v>
      </c>
      <c r="H1474" s="92">
        <v>130.7715</v>
      </c>
      <c r="I1474" s="92"/>
      <c r="J1474" s="93">
        <f t="shared" si="29"/>
        <v>0.48640000000000327</v>
      </c>
    </row>
    <row r="1475" spans="2:10" x14ac:dyDescent="0.2">
      <c r="B1475" s="92">
        <v>2.0347219999999999</v>
      </c>
      <c r="C1475" s="92">
        <v>805.51160000000004</v>
      </c>
      <c r="D1475" s="92">
        <v>131.03989999999999</v>
      </c>
      <c r="E1475" s="92"/>
      <c r="F1475" s="92">
        <v>2.0347219999999999</v>
      </c>
      <c r="G1475" s="92">
        <v>805.02560000000005</v>
      </c>
      <c r="H1475" s="92">
        <v>130.7732</v>
      </c>
      <c r="I1475" s="92"/>
      <c r="J1475" s="93">
        <f t="shared" si="29"/>
        <v>0.48599999999999</v>
      </c>
    </row>
    <row r="1476" spans="2:10" x14ac:dyDescent="0.2">
      <c r="B1476" s="92">
        <v>2.036111</v>
      </c>
      <c r="C1476" s="92">
        <v>805.48419999999999</v>
      </c>
      <c r="D1476" s="92">
        <v>131.04660000000001</v>
      </c>
      <c r="E1476" s="92"/>
      <c r="F1476" s="92">
        <v>2.036111</v>
      </c>
      <c r="G1476" s="92">
        <v>805.04719999999998</v>
      </c>
      <c r="H1476" s="92">
        <v>130.76990000000001</v>
      </c>
      <c r="I1476" s="92"/>
      <c r="J1476" s="93">
        <f t="shared" si="29"/>
        <v>0.43700000000001182</v>
      </c>
    </row>
    <row r="1477" spans="2:10" x14ac:dyDescent="0.2">
      <c r="B1477" s="92">
        <v>2.0375000000000001</v>
      </c>
      <c r="C1477" s="92">
        <v>805.49810000000002</v>
      </c>
      <c r="D1477" s="92">
        <v>131.04990000000001</v>
      </c>
      <c r="E1477" s="92"/>
      <c r="F1477" s="92">
        <v>2.0375000000000001</v>
      </c>
      <c r="G1477" s="92">
        <v>805.02760000000001</v>
      </c>
      <c r="H1477" s="92">
        <v>130.76990000000001</v>
      </c>
      <c r="I1477" s="92"/>
      <c r="J1477" s="93">
        <f t="shared" si="29"/>
        <v>0.47050000000001546</v>
      </c>
    </row>
    <row r="1478" spans="2:10" x14ac:dyDescent="0.2">
      <c r="B1478" s="92">
        <v>2.0388890000000002</v>
      </c>
      <c r="C1478" s="92">
        <v>805.50070000000005</v>
      </c>
      <c r="D1478" s="92">
        <v>131.04660000000001</v>
      </c>
      <c r="E1478" s="92"/>
      <c r="F1478" s="92">
        <v>2.0388890000000002</v>
      </c>
      <c r="G1478" s="92">
        <v>805.02160000000003</v>
      </c>
      <c r="H1478" s="92">
        <v>130.7799</v>
      </c>
      <c r="I1478" s="92"/>
      <c r="J1478" s="93">
        <f t="shared" si="29"/>
        <v>0.47910000000001673</v>
      </c>
    </row>
    <row r="1479" spans="2:10" x14ac:dyDescent="0.2">
      <c r="B1479" s="92">
        <v>2.0402779999999998</v>
      </c>
      <c r="C1479" s="92">
        <v>805.47749999999996</v>
      </c>
      <c r="D1479" s="92">
        <v>131.05160000000001</v>
      </c>
      <c r="E1479" s="92"/>
      <c r="F1479" s="92">
        <v>2.0402779999999998</v>
      </c>
      <c r="G1479" s="92">
        <v>805.03340000000003</v>
      </c>
      <c r="H1479" s="92">
        <v>130.7765</v>
      </c>
      <c r="I1479" s="92"/>
      <c r="J1479" s="93">
        <f t="shared" si="29"/>
        <v>0.44409999999993488</v>
      </c>
    </row>
    <row r="1480" spans="2:10" x14ac:dyDescent="0.2">
      <c r="B1480" s="92">
        <v>2.0416669999999999</v>
      </c>
      <c r="C1480" s="92">
        <v>805.50480000000005</v>
      </c>
      <c r="D1480" s="92">
        <v>131.04490000000001</v>
      </c>
      <c r="E1480" s="92"/>
      <c r="F1480" s="92">
        <v>2.0416669999999999</v>
      </c>
      <c r="G1480" s="92">
        <v>805.06529999999998</v>
      </c>
      <c r="H1480" s="92">
        <v>130.76820000000001</v>
      </c>
      <c r="I1480" s="92"/>
      <c r="J1480" s="93">
        <f t="shared" si="29"/>
        <v>0.43950000000006639</v>
      </c>
    </row>
    <row r="1481" spans="2:10" x14ac:dyDescent="0.2">
      <c r="B1481" s="92">
        <v>2.043056</v>
      </c>
      <c r="C1481" s="92">
        <v>805.49109999999996</v>
      </c>
      <c r="D1481" s="92">
        <v>131.04820000000001</v>
      </c>
      <c r="E1481" s="92"/>
      <c r="F1481" s="92">
        <v>2.043056</v>
      </c>
      <c r="G1481" s="92">
        <v>805.00890000000004</v>
      </c>
      <c r="H1481" s="92">
        <v>130.7765</v>
      </c>
      <c r="I1481" s="92"/>
      <c r="J1481" s="93">
        <f t="shared" si="29"/>
        <v>0.48219999999992069</v>
      </c>
    </row>
    <row r="1482" spans="2:10" x14ac:dyDescent="0.2">
      <c r="B1482" s="92">
        <v>2.0444439999999999</v>
      </c>
      <c r="C1482" s="92">
        <v>805.5077</v>
      </c>
      <c r="D1482" s="92">
        <v>131.04820000000001</v>
      </c>
      <c r="E1482" s="92"/>
      <c r="F1482" s="92">
        <v>2.0444439999999999</v>
      </c>
      <c r="G1482" s="92">
        <v>805.03679999999997</v>
      </c>
      <c r="H1482" s="92">
        <v>130.7749</v>
      </c>
      <c r="I1482" s="92"/>
      <c r="J1482" s="93">
        <f t="shared" si="29"/>
        <v>0.47090000000002874</v>
      </c>
    </row>
    <row r="1483" spans="2:10" x14ac:dyDescent="0.2">
      <c r="B1483" s="92">
        <v>2.045833</v>
      </c>
      <c r="C1483" s="92">
        <v>805.53399999999999</v>
      </c>
      <c r="D1483" s="92">
        <v>131.0532</v>
      </c>
      <c r="E1483" s="92"/>
      <c r="F1483" s="92">
        <v>2.045833</v>
      </c>
      <c r="G1483" s="92">
        <v>804.99279999999999</v>
      </c>
      <c r="H1483" s="92">
        <v>130.7749</v>
      </c>
      <c r="I1483" s="92"/>
      <c r="J1483" s="93">
        <f t="shared" ref="J1483:J1546" si="30">+ABS(G1483-C1483)</f>
        <v>0.54120000000000346</v>
      </c>
    </row>
    <row r="1484" spans="2:10" x14ac:dyDescent="0.2">
      <c r="B1484" s="92">
        <v>2.0472220000000001</v>
      </c>
      <c r="C1484" s="92">
        <v>805.4787</v>
      </c>
      <c r="D1484" s="92">
        <v>131.04660000000001</v>
      </c>
      <c r="E1484" s="92"/>
      <c r="F1484" s="92">
        <v>2.0472220000000001</v>
      </c>
      <c r="G1484" s="92">
        <v>805.02850000000001</v>
      </c>
      <c r="H1484" s="92">
        <v>130.7765</v>
      </c>
      <c r="I1484" s="92"/>
      <c r="J1484" s="93">
        <f t="shared" si="30"/>
        <v>0.45019999999999527</v>
      </c>
    </row>
    <row r="1485" spans="2:10" x14ac:dyDescent="0.2">
      <c r="B1485" s="92">
        <v>2.0486110000000002</v>
      </c>
      <c r="C1485" s="92">
        <v>805.476</v>
      </c>
      <c r="D1485" s="92">
        <v>131.04990000000001</v>
      </c>
      <c r="E1485" s="92"/>
      <c r="F1485" s="92">
        <v>2.0486110000000002</v>
      </c>
      <c r="G1485" s="92">
        <v>805.02850000000001</v>
      </c>
      <c r="H1485" s="92">
        <v>130.7765</v>
      </c>
      <c r="I1485" s="92"/>
      <c r="J1485" s="93">
        <f t="shared" si="30"/>
        <v>0.44749999999999091</v>
      </c>
    </row>
    <row r="1486" spans="2:10" x14ac:dyDescent="0.2">
      <c r="B1486" s="92">
        <v>2.0499999999999998</v>
      </c>
      <c r="C1486" s="92">
        <v>805.48850000000004</v>
      </c>
      <c r="D1486" s="92">
        <v>131.05160000000001</v>
      </c>
      <c r="E1486" s="92"/>
      <c r="F1486" s="92">
        <v>2.0499999999999998</v>
      </c>
      <c r="G1486" s="92">
        <v>805.04859999999996</v>
      </c>
      <c r="H1486" s="92">
        <v>130.7715</v>
      </c>
      <c r="I1486" s="92"/>
      <c r="J1486" s="93">
        <f t="shared" si="30"/>
        <v>0.43990000000007967</v>
      </c>
    </row>
    <row r="1487" spans="2:10" x14ac:dyDescent="0.2">
      <c r="B1487" s="92">
        <v>2.0513889999999999</v>
      </c>
      <c r="C1487" s="92">
        <v>805.52179999999998</v>
      </c>
      <c r="D1487" s="92">
        <v>131.0582</v>
      </c>
      <c r="E1487" s="92"/>
      <c r="F1487" s="92">
        <v>2.0513889999999999</v>
      </c>
      <c r="G1487" s="92">
        <v>805.03679999999997</v>
      </c>
      <c r="H1487" s="92">
        <v>130.7749</v>
      </c>
      <c r="I1487" s="92"/>
      <c r="J1487" s="93">
        <f t="shared" si="30"/>
        <v>0.48500000000001364</v>
      </c>
    </row>
    <row r="1488" spans="2:10" x14ac:dyDescent="0.2">
      <c r="B1488" s="92">
        <v>2.052778</v>
      </c>
      <c r="C1488" s="92">
        <v>805.53240000000005</v>
      </c>
      <c r="D1488" s="92">
        <v>131.04490000000001</v>
      </c>
      <c r="E1488" s="92"/>
      <c r="F1488" s="92">
        <v>2.052778</v>
      </c>
      <c r="G1488" s="92">
        <v>805.0104</v>
      </c>
      <c r="H1488" s="92">
        <v>130.7782</v>
      </c>
      <c r="I1488" s="92"/>
      <c r="J1488" s="93">
        <f t="shared" si="30"/>
        <v>0.5220000000000482</v>
      </c>
    </row>
    <row r="1489" spans="2:10" x14ac:dyDescent="0.2">
      <c r="B1489" s="92">
        <v>2.0541670000000001</v>
      </c>
      <c r="C1489" s="92">
        <v>805.49540000000002</v>
      </c>
      <c r="D1489" s="92">
        <v>131.0532</v>
      </c>
      <c r="E1489" s="92"/>
      <c r="F1489" s="92">
        <v>2.0541670000000001</v>
      </c>
      <c r="G1489" s="92">
        <v>805.02449999999999</v>
      </c>
      <c r="H1489" s="92">
        <v>130.78319999999999</v>
      </c>
      <c r="I1489" s="92"/>
      <c r="J1489" s="93">
        <f t="shared" si="30"/>
        <v>0.47090000000002874</v>
      </c>
    </row>
    <row r="1490" spans="2:10" x14ac:dyDescent="0.2">
      <c r="B1490" s="92">
        <v>2.0555560000000002</v>
      </c>
      <c r="C1490" s="92">
        <v>805.50070000000005</v>
      </c>
      <c r="D1490" s="92">
        <v>131.04660000000001</v>
      </c>
      <c r="E1490" s="92"/>
      <c r="F1490" s="92">
        <v>2.0555560000000002</v>
      </c>
      <c r="G1490" s="92">
        <v>805.02700000000004</v>
      </c>
      <c r="H1490" s="92">
        <v>130.7749</v>
      </c>
      <c r="I1490" s="92"/>
      <c r="J1490" s="93">
        <f t="shared" si="30"/>
        <v>0.473700000000008</v>
      </c>
    </row>
    <row r="1491" spans="2:10" x14ac:dyDescent="0.2">
      <c r="B1491" s="92">
        <v>2.0569440000000001</v>
      </c>
      <c r="C1491" s="92">
        <v>805.4914</v>
      </c>
      <c r="D1491" s="92">
        <v>131.0549</v>
      </c>
      <c r="E1491" s="92"/>
      <c r="F1491" s="92">
        <v>2.0569440000000001</v>
      </c>
      <c r="G1491" s="92">
        <v>805.02160000000003</v>
      </c>
      <c r="H1491" s="92">
        <v>130.7799</v>
      </c>
      <c r="I1491" s="92"/>
      <c r="J1491" s="93">
        <f t="shared" si="30"/>
        <v>0.4697999999999638</v>
      </c>
    </row>
    <row r="1492" spans="2:10" x14ac:dyDescent="0.2">
      <c r="B1492" s="92">
        <v>2.0583330000000002</v>
      </c>
      <c r="C1492" s="92">
        <v>805.4787</v>
      </c>
      <c r="D1492" s="92">
        <v>131.04660000000001</v>
      </c>
      <c r="E1492" s="92"/>
      <c r="F1492" s="92">
        <v>2.0583330000000002</v>
      </c>
      <c r="G1492" s="92">
        <v>805.05150000000003</v>
      </c>
      <c r="H1492" s="92">
        <v>130.7749</v>
      </c>
      <c r="I1492" s="92"/>
      <c r="J1492" s="93">
        <f t="shared" si="30"/>
        <v>0.42719999999997071</v>
      </c>
    </row>
    <row r="1493" spans="2:10" x14ac:dyDescent="0.2">
      <c r="B1493" s="92">
        <v>2.0597219999999998</v>
      </c>
      <c r="C1493" s="92">
        <v>805.48440000000005</v>
      </c>
      <c r="D1493" s="92">
        <v>131.0532</v>
      </c>
      <c r="E1493" s="92"/>
      <c r="F1493" s="92">
        <v>2.0597219999999998</v>
      </c>
      <c r="G1493" s="92">
        <v>804.99860000000001</v>
      </c>
      <c r="H1493" s="92">
        <v>130.78149999999999</v>
      </c>
      <c r="I1493" s="92"/>
      <c r="J1493" s="93">
        <f t="shared" si="30"/>
        <v>0.4858000000000402</v>
      </c>
    </row>
    <row r="1494" spans="2:10" x14ac:dyDescent="0.2">
      <c r="B1494" s="92">
        <v>2.0611109999999999</v>
      </c>
      <c r="C1494" s="92">
        <v>805.49400000000003</v>
      </c>
      <c r="D1494" s="92">
        <v>131.05160000000001</v>
      </c>
      <c r="E1494" s="92"/>
      <c r="F1494" s="92">
        <v>2.0611109999999999</v>
      </c>
      <c r="G1494" s="92">
        <v>805.04750000000001</v>
      </c>
      <c r="H1494" s="92">
        <v>130.78149999999999</v>
      </c>
      <c r="I1494" s="92"/>
      <c r="J1494" s="93">
        <f t="shared" si="30"/>
        <v>0.44650000000001455</v>
      </c>
    </row>
    <row r="1495" spans="2:10" x14ac:dyDescent="0.2">
      <c r="B1495" s="92">
        <v>2.0625</v>
      </c>
      <c r="C1495" s="92">
        <v>805.51729999999998</v>
      </c>
      <c r="D1495" s="92">
        <v>131.04660000000001</v>
      </c>
      <c r="E1495" s="92"/>
      <c r="F1495" s="92">
        <v>2.0625</v>
      </c>
      <c r="G1495" s="92">
        <v>805.03279999999995</v>
      </c>
      <c r="H1495" s="92">
        <v>130.78149999999999</v>
      </c>
      <c r="I1495" s="92"/>
      <c r="J1495" s="93">
        <f t="shared" si="30"/>
        <v>0.48450000000002547</v>
      </c>
    </row>
    <row r="1496" spans="2:10" x14ac:dyDescent="0.2">
      <c r="B1496" s="92">
        <v>2.0638890000000001</v>
      </c>
      <c r="C1496" s="92">
        <v>805.49400000000003</v>
      </c>
      <c r="D1496" s="92">
        <v>131.05160000000001</v>
      </c>
      <c r="E1496" s="92"/>
      <c r="F1496" s="92">
        <v>2.0638890000000001</v>
      </c>
      <c r="G1496" s="92">
        <v>805.02790000000005</v>
      </c>
      <c r="H1496" s="92">
        <v>130.78149999999999</v>
      </c>
      <c r="I1496" s="92"/>
      <c r="J1496" s="93">
        <f t="shared" si="30"/>
        <v>0.46609999999998308</v>
      </c>
    </row>
    <row r="1497" spans="2:10" x14ac:dyDescent="0.2">
      <c r="B1497" s="92">
        <v>2.0652780000000002</v>
      </c>
      <c r="C1497" s="92">
        <v>805.46669999999995</v>
      </c>
      <c r="D1497" s="92">
        <v>131.0582</v>
      </c>
      <c r="E1497" s="92"/>
      <c r="F1497" s="92">
        <v>2.0652780000000002</v>
      </c>
      <c r="G1497" s="92">
        <v>805.04319999999996</v>
      </c>
      <c r="H1497" s="92">
        <v>130.7765</v>
      </c>
      <c r="I1497" s="92"/>
      <c r="J1497" s="93">
        <f t="shared" si="30"/>
        <v>0.42349999999999</v>
      </c>
    </row>
    <row r="1498" spans="2:10" x14ac:dyDescent="0.2">
      <c r="B1498" s="92">
        <v>2.0666669999999998</v>
      </c>
      <c r="C1498" s="92">
        <v>805.50930000000005</v>
      </c>
      <c r="D1498" s="92">
        <v>131.0566</v>
      </c>
      <c r="E1498" s="92"/>
      <c r="F1498" s="92">
        <v>2.0666669999999998</v>
      </c>
      <c r="G1498" s="92">
        <v>804.98590000000002</v>
      </c>
      <c r="H1498" s="92">
        <v>130.7782</v>
      </c>
      <c r="I1498" s="92"/>
      <c r="J1498" s="93">
        <f t="shared" si="30"/>
        <v>0.52340000000003783</v>
      </c>
    </row>
    <row r="1499" spans="2:10" x14ac:dyDescent="0.2">
      <c r="B1499" s="92">
        <v>2.0680559999999999</v>
      </c>
      <c r="C1499" s="92">
        <v>805.48869999999999</v>
      </c>
      <c r="D1499" s="92">
        <v>131.0582</v>
      </c>
      <c r="E1499" s="92"/>
      <c r="F1499" s="92">
        <v>2.0680559999999999</v>
      </c>
      <c r="G1499" s="92">
        <v>805.01179999999999</v>
      </c>
      <c r="H1499" s="92">
        <v>130.7799</v>
      </c>
      <c r="I1499" s="92"/>
      <c r="J1499" s="93">
        <f t="shared" si="30"/>
        <v>0.47690000000000055</v>
      </c>
    </row>
    <row r="1500" spans="2:10" x14ac:dyDescent="0.2">
      <c r="B1500" s="92">
        <v>2.0694439999999998</v>
      </c>
      <c r="C1500" s="92">
        <v>805.5616</v>
      </c>
      <c r="D1500" s="92">
        <v>131.0532</v>
      </c>
      <c r="E1500" s="92"/>
      <c r="F1500" s="92">
        <v>2.0694439999999998</v>
      </c>
      <c r="G1500" s="92">
        <v>805.00400000000002</v>
      </c>
      <c r="H1500" s="92">
        <v>130.7765</v>
      </c>
      <c r="I1500" s="92"/>
      <c r="J1500" s="93">
        <f t="shared" si="30"/>
        <v>0.55759999999997945</v>
      </c>
    </row>
    <row r="1501" spans="2:10" x14ac:dyDescent="0.2">
      <c r="B1501" s="92">
        <v>2.0708329999999999</v>
      </c>
      <c r="C1501" s="92">
        <v>805.50239999999997</v>
      </c>
      <c r="D1501" s="92">
        <v>131.0549</v>
      </c>
      <c r="E1501" s="92"/>
      <c r="F1501" s="92">
        <v>2.0708329999999999</v>
      </c>
      <c r="G1501" s="92">
        <v>805.0421</v>
      </c>
      <c r="H1501" s="92">
        <v>130.78649999999999</v>
      </c>
      <c r="I1501" s="92"/>
      <c r="J1501" s="93">
        <f t="shared" si="30"/>
        <v>0.46029999999996107</v>
      </c>
    </row>
    <row r="1502" spans="2:10" x14ac:dyDescent="0.2">
      <c r="B1502" s="92">
        <v>2.072222</v>
      </c>
      <c r="C1502" s="92">
        <v>805.51890000000003</v>
      </c>
      <c r="D1502" s="92">
        <v>131.0549</v>
      </c>
      <c r="E1502" s="92"/>
      <c r="F1502" s="92">
        <v>2.072222</v>
      </c>
      <c r="G1502" s="92">
        <v>805.02449999999999</v>
      </c>
      <c r="H1502" s="92">
        <v>130.78319999999999</v>
      </c>
      <c r="I1502" s="92"/>
      <c r="J1502" s="93">
        <f t="shared" si="30"/>
        <v>0.49440000000004147</v>
      </c>
    </row>
    <row r="1503" spans="2:10" x14ac:dyDescent="0.2">
      <c r="B1503" s="92">
        <v>2.0736110000000001</v>
      </c>
      <c r="C1503" s="92">
        <v>805.50519999999995</v>
      </c>
      <c r="D1503" s="92">
        <v>131.0582</v>
      </c>
      <c r="E1503" s="92"/>
      <c r="F1503" s="92">
        <v>2.0736110000000001</v>
      </c>
      <c r="G1503" s="92">
        <v>805.02700000000004</v>
      </c>
      <c r="H1503" s="92">
        <v>130.7749</v>
      </c>
      <c r="I1503" s="92"/>
      <c r="J1503" s="93">
        <f t="shared" si="30"/>
        <v>0.47819999999990159</v>
      </c>
    </row>
    <row r="1504" spans="2:10" x14ac:dyDescent="0.2">
      <c r="B1504" s="92">
        <v>2.0750000000000002</v>
      </c>
      <c r="C1504" s="92">
        <v>805.49950000000001</v>
      </c>
      <c r="D1504" s="92">
        <v>131.05160000000001</v>
      </c>
      <c r="E1504" s="92"/>
      <c r="F1504" s="92">
        <v>2.0750000000000002</v>
      </c>
      <c r="G1504" s="92">
        <v>805.00599999999997</v>
      </c>
      <c r="H1504" s="92">
        <v>130.7732</v>
      </c>
      <c r="I1504" s="92"/>
      <c r="J1504" s="93">
        <f t="shared" si="30"/>
        <v>0.49350000000004002</v>
      </c>
    </row>
    <row r="1505" spans="2:10" x14ac:dyDescent="0.2">
      <c r="B1505" s="92">
        <v>2.0763889999999998</v>
      </c>
      <c r="C1505" s="92">
        <v>805.49540000000002</v>
      </c>
      <c r="D1505" s="92">
        <v>131.0532</v>
      </c>
      <c r="E1505" s="92"/>
      <c r="F1505" s="92">
        <v>2.0763889999999998</v>
      </c>
      <c r="G1505" s="92">
        <v>805.06659999999999</v>
      </c>
      <c r="H1505" s="92">
        <v>130.78649999999999</v>
      </c>
      <c r="I1505" s="92"/>
      <c r="J1505" s="93">
        <f t="shared" si="30"/>
        <v>0.42880000000002383</v>
      </c>
    </row>
    <row r="1506" spans="2:10" x14ac:dyDescent="0.2">
      <c r="B1506" s="92">
        <v>2.0777779999999999</v>
      </c>
      <c r="C1506" s="92">
        <v>805.48580000000004</v>
      </c>
      <c r="D1506" s="92">
        <v>131.0549</v>
      </c>
      <c r="E1506" s="92"/>
      <c r="F1506" s="92">
        <v>2.0777779999999999</v>
      </c>
      <c r="G1506" s="92">
        <v>805.02760000000001</v>
      </c>
      <c r="H1506" s="92">
        <v>130.76990000000001</v>
      </c>
      <c r="I1506" s="92"/>
      <c r="J1506" s="93">
        <f t="shared" si="30"/>
        <v>0.45820000000003347</v>
      </c>
    </row>
    <row r="1507" spans="2:10" x14ac:dyDescent="0.2">
      <c r="B1507" s="92">
        <v>2.079167</v>
      </c>
      <c r="C1507" s="92">
        <v>805.51890000000003</v>
      </c>
      <c r="D1507" s="92">
        <v>131.0549</v>
      </c>
      <c r="E1507" s="92"/>
      <c r="F1507" s="92">
        <v>2.079167</v>
      </c>
      <c r="G1507" s="92">
        <v>805.05240000000003</v>
      </c>
      <c r="H1507" s="92">
        <v>130.78149999999999</v>
      </c>
      <c r="I1507" s="92"/>
      <c r="J1507" s="93">
        <f t="shared" si="30"/>
        <v>0.46649999999999636</v>
      </c>
    </row>
    <row r="1508" spans="2:10" x14ac:dyDescent="0.2">
      <c r="B1508" s="92">
        <v>2.0805560000000001</v>
      </c>
      <c r="C1508" s="92">
        <v>805.53570000000002</v>
      </c>
      <c r="D1508" s="92">
        <v>131.0615</v>
      </c>
      <c r="E1508" s="92"/>
      <c r="F1508" s="92">
        <v>2.0805560000000001</v>
      </c>
      <c r="G1508" s="92">
        <v>805.06510000000003</v>
      </c>
      <c r="H1508" s="92">
        <v>130.78489999999999</v>
      </c>
      <c r="I1508" s="92"/>
      <c r="J1508" s="93">
        <f t="shared" si="30"/>
        <v>0.47059999999999036</v>
      </c>
    </row>
    <row r="1509" spans="2:10" x14ac:dyDescent="0.2">
      <c r="B1509" s="92">
        <v>2.081944</v>
      </c>
      <c r="C1509" s="92">
        <v>805.47770000000003</v>
      </c>
      <c r="D1509" s="92">
        <v>131.0582</v>
      </c>
      <c r="E1509" s="92"/>
      <c r="F1509" s="92">
        <v>2.081944</v>
      </c>
      <c r="G1509" s="92">
        <v>805.00639999999999</v>
      </c>
      <c r="H1509" s="92">
        <v>130.78489999999999</v>
      </c>
      <c r="I1509" s="92"/>
      <c r="J1509" s="93">
        <f t="shared" si="30"/>
        <v>0.47130000000004202</v>
      </c>
    </row>
    <row r="1510" spans="2:10" x14ac:dyDescent="0.2">
      <c r="B1510" s="92">
        <v>2.0833330000000001</v>
      </c>
      <c r="C1510" s="92">
        <v>805.51480000000004</v>
      </c>
      <c r="D1510" s="92">
        <v>131.0566</v>
      </c>
      <c r="E1510" s="92"/>
      <c r="F1510" s="92">
        <v>2.0833330000000001</v>
      </c>
      <c r="G1510" s="92">
        <v>805.00980000000004</v>
      </c>
      <c r="H1510" s="92">
        <v>130.78319999999999</v>
      </c>
      <c r="I1510" s="92"/>
      <c r="J1510" s="93">
        <f t="shared" si="30"/>
        <v>0.50499999999999545</v>
      </c>
    </row>
    <row r="1511" spans="2:10" x14ac:dyDescent="0.2">
      <c r="B1511" s="92">
        <v>2.0847220000000002</v>
      </c>
      <c r="C1511" s="92">
        <v>805.51340000000005</v>
      </c>
      <c r="D1511" s="92">
        <v>131.0549</v>
      </c>
      <c r="E1511" s="92"/>
      <c r="F1511" s="92">
        <v>2.0847220000000002</v>
      </c>
      <c r="G1511" s="92">
        <v>805.02250000000004</v>
      </c>
      <c r="H1511" s="92">
        <v>130.78649999999999</v>
      </c>
      <c r="I1511" s="92"/>
      <c r="J1511" s="93">
        <f t="shared" si="30"/>
        <v>0.49090000000001055</v>
      </c>
    </row>
    <row r="1512" spans="2:10" x14ac:dyDescent="0.2">
      <c r="B1512" s="92">
        <v>2.0861109999999998</v>
      </c>
      <c r="C1512" s="92">
        <v>805.51080000000002</v>
      </c>
      <c r="D1512" s="92">
        <v>131.0582</v>
      </c>
      <c r="E1512" s="92"/>
      <c r="F1512" s="92">
        <v>2.0861109999999998</v>
      </c>
      <c r="G1512" s="92">
        <v>805.03430000000003</v>
      </c>
      <c r="H1512" s="92">
        <v>130.78319999999999</v>
      </c>
      <c r="I1512" s="92"/>
      <c r="J1512" s="93">
        <f t="shared" si="30"/>
        <v>0.47649999999998727</v>
      </c>
    </row>
    <row r="1513" spans="2:10" x14ac:dyDescent="0.2">
      <c r="B1513" s="92">
        <v>2.0874999999999999</v>
      </c>
      <c r="C1513" s="92">
        <v>805.50519999999995</v>
      </c>
      <c r="D1513" s="92">
        <v>131.0582</v>
      </c>
      <c r="E1513" s="92"/>
      <c r="F1513" s="92">
        <v>2.0874999999999999</v>
      </c>
      <c r="G1513" s="92">
        <v>805.05619999999999</v>
      </c>
      <c r="H1513" s="92">
        <v>130.79150000000001</v>
      </c>
      <c r="I1513" s="92"/>
      <c r="J1513" s="93">
        <f t="shared" si="30"/>
        <v>0.44899999999995543</v>
      </c>
    </row>
    <row r="1514" spans="2:10" x14ac:dyDescent="0.2">
      <c r="B1514" s="92">
        <v>2.088889</v>
      </c>
      <c r="C1514" s="92">
        <v>805.47360000000003</v>
      </c>
      <c r="D1514" s="92">
        <v>131.0599</v>
      </c>
      <c r="E1514" s="92"/>
      <c r="F1514" s="92">
        <v>2.088889</v>
      </c>
      <c r="G1514" s="92">
        <v>805.04989999999998</v>
      </c>
      <c r="H1514" s="92">
        <v>130.78989999999999</v>
      </c>
      <c r="I1514" s="92"/>
      <c r="J1514" s="93">
        <f t="shared" si="30"/>
        <v>0.42370000000005348</v>
      </c>
    </row>
    <row r="1515" spans="2:10" x14ac:dyDescent="0.2">
      <c r="B1515" s="92">
        <v>2.0902780000000001</v>
      </c>
      <c r="C1515" s="92">
        <v>805.49419999999998</v>
      </c>
      <c r="D1515" s="92">
        <v>131.0582</v>
      </c>
      <c r="E1515" s="92"/>
      <c r="F1515" s="92">
        <v>2.0902780000000001</v>
      </c>
      <c r="G1515" s="92">
        <v>805.0421</v>
      </c>
      <c r="H1515" s="92">
        <v>130.78649999999999</v>
      </c>
      <c r="I1515" s="92"/>
      <c r="J1515" s="93">
        <f t="shared" si="30"/>
        <v>0.45209999999997308</v>
      </c>
    </row>
    <row r="1516" spans="2:10" x14ac:dyDescent="0.2">
      <c r="B1516" s="92">
        <v>2.0916670000000002</v>
      </c>
      <c r="C1516" s="92">
        <v>805.51909999999998</v>
      </c>
      <c r="D1516" s="92">
        <v>131.0615</v>
      </c>
      <c r="E1516" s="92"/>
      <c r="F1516" s="92">
        <v>2.0916670000000002</v>
      </c>
      <c r="G1516" s="92">
        <v>805.00400000000002</v>
      </c>
      <c r="H1516" s="92">
        <v>130.7765</v>
      </c>
      <c r="I1516" s="92"/>
      <c r="J1516" s="93">
        <f t="shared" si="30"/>
        <v>0.51509999999996126</v>
      </c>
    </row>
    <row r="1517" spans="2:10" x14ac:dyDescent="0.2">
      <c r="B1517" s="92">
        <v>2.0930559999999998</v>
      </c>
      <c r="C1517" s="92">
        <v>805.47069999999997</v>
      </c>
      <c r="D1517" s="92">
        <v>131.0566</v>
      </c>
      <c r="E1517" s="92"/>
      <c r="F1517" s="92">
        <v>2.0930559999999998</v>
      </c>
      <c r="G1517" s="92">
        <v>805.05880000000002</v>
      </c>
      <c r="H1517" s="92">
        <v>130.78319999999999</v>
      </c>
      <c r="I1517" s="92"/>
      <c r="J1517" s="93">
        <f t="shared" si="30"/>
        <v>0.41189999999994598</v>
      </c>
    </row>
    <row r="1518" spans="2:10" x14ac:dyDescent="0.2">
      <c r="B1518" s="92">
        <v>2.0944440000000002</v>
      </c>
      <c r="C1518" s="92">
        <v>805.55079999999998</v>
      </c>
      <c r="D1518" s="92">
        <v>131.0599</v>
      </c>
      <c r="E1518" s="92"/>
      <c r="F1518" s="92">
        <v>2.0944440000000002</v>
      </c>
      <c r="G1518" s="92">
        <v>805.05769999999995</v>
      </c>
      <c r="H1518" s="92">
        <v>130.79320000000001</v>
      </c>
      <c r="I1518" s="92"/>
      <c r="J1518" s="93">
        <f t="shared" si="30"/>
        <v>0.49310000000002674</v>
      </c>
    </row>
    <row r="1519" spans="2:10" x14ac:dyDescent="0.2">
      <c r="B1519" s="92">
        <v>2.0958329999999998</v>
      </c>
      <c r="C1519" s="92">
        <v>805.47749999999996</v>
      </c>
      <c r="D1519" s="92">
        <v>131.05160000000001</v>
      </c>
      <c r="E1519" s="92"/>
      <c r="F1519" s="92">
        <v>2.0958329999999998</v>
      </c>
      <c r="G1519" s="92">
        <v>805.04549999999995</v>
      </c>
      <c r="H1519" s="92">
        <v>130.78489999999999</v>
      </c>
      <c r="I1519" s="92"/>
      <c r="J1519" s="93">
        <f t="shared" si="30"/>
        <v>0.43200000000001637</v>
      </c>
    </row>
    <row r="1520" spans="2:10" x14ac:dyDescent="0.2">
      <c r="B1520" s="92">
        <v>2.0972219999999999</v>
      </c>
      <c r="C1520" s="92">
        <v>805.55610000000001</v>
      </c>
      <c r="D1520" s="92">
        <v>131.0532</v>
      </c>
      <c r="E1520" s="92"/>
      <c r="F1520" s="92">
        <v>2.0972219999999999</v>
      </c>
      <c r="G1520" s="92">
        <v>805.05880000000002</v>
      </c>
      <c r="H1520" s="92">
        <v>130.78319999999999</v>
      </c>
      <c r="I1520" s="92"/>
      <c r="J1520" s="93">
        <f t="shared" si="30"/>
        <v>0.49729999999999563</v>
      </c>
    </row>
    <row r="1521" spans="2:10" x14ac:dyDescent="0.2">
      <c r="B1521" s="92">
        <v>2.098611</v>
      </c>
      <c r="C1521" s="92">
        <v>805.48320000000001</v>
      </c>
      <c r="D1521" s="92">
        <v>131.0582</v>
      </c>
      <c r="E1521" s="92"/>
      <c r="F1521" s="92">
        <v>2.098611</v>
      </c>
      <c r="G1521" s="92">
        <v>805.06399999999996</v>
      </c>
      <c r="H1521" s="92">
        <v>130.79490000000001</v>
      </c>
      <c r="I1521" s="92"/>
      <c r="J1521" s="93">
        <f t="shared" si="30"/>
        <v>0.4192000000000462</v>
      </c>
    </row>
    <row r="1522" spans="2:10" x14ac:dyDescent="0.2">
      <c r="B1522" s="92">
        <v>2.1</v>
      </c>
      <c r="C1522" s="92">
        <v>805.56349999999998</v>
      </c>
      <c r="D1522" s="92">
        <v>131.06819999999999</v>
      </c>
      <c r="E1522" s="92"/>
      <c r="F1522" s="92">
        <v>2.1</v>
      </c>
      <c r="G1522" s="92">
        <v>805.03660000000002</v>
      </c>
      <c r="H1522" s="92">
        <v>130.79150000000001</v>
      </c>
      <c r="I1522" s="92"/>
      <c r="J1522" s="93">
        <f t="shared" si="30"/>
        <v>0.52689999999995507</v>
      </c>
    </row>
    <row r="1523" spans="2:10" x14ac:dyDescent="0.2">
      <c r="B1523" s="92">
        <v>2.1013890000000002</v>
      </c>
      <c r="C1523" s="92">
        <v>805.51220000000001</v>
      </c>
      <c r="D1523" s="92">
        <v>131.0599</v>
      </c>
      <c r="E1523" s="92"/>
      <c r="F1523" s="92">
        <v>2.1013890000000002</v>
      </c>
      <c r="G1523" s="92">
        <v>805.01559999999995</v>
      </c>
      <c r="H1523" s="92">
        <v>130.78989999999999</v>
      </c>
      <c r="I1523" s="92"/>
      <c r="J1523" s="93">
        <f t="shared" si="30"/>
        <v>0.49660000000005766</v>
      </c>
    </row>
    <row r="1524" spans="2:10" x14ac:dyDescent="0.2">
      <c r="B1524" s="92">
        <v>2.1027779999999998</v>
      </c>
      <c r="C1524" s="92">
        <v>805.54240000000004</v>
      </c>
      <c r="D1524" s="92">
        <v>131.0566</v>
      </c>
      <c r="E1524" s="92"/>
      <c r="F1524" s="92">
        <v>2.1027779999999998</v>
      </c>
      <c r="G1524" s="92">
        <v>805.03369999999995</v>
      </c>
      <c r="H1524" s="92">
        <v>130.78819999999999</v>
      </c>
      <c r="I1524" s="92"/>
      <c r="J1524" s="93">
        <f t="shared" si="30"/>
        <v>0.50870000000008986</v>
      </c>
    </row>
    <row r="1525" spans="2:10" x14ac:dyDescent="0.2">
      <c r="B1525" s="92">
        <v>2.1041669999999999</v>
      </c>
      <c r="C1525" s="92">
        <v>805.52610000000004</v>
      </c>
      <c r="D1525" s="92">
        <v>131.06319999999999</v>
      </c>
      <c r="E1525" s="92"/>
      <c r="F1525" s="92">
        <v>2.1041669999999999</v>
      </c>
      <c r="G1525" s="92">
        <v>805.02049999999997</v>
      </c>
      <c r="H1525" s="92">
        <v>130.78989999999999</v>
      </c>
      <c r="I1525" s="92"/>
      <c r="J1525" s="93">
        <f t="shared" si="30"/>
        <v>0.50560000000007221</v>
      </c>
    </row>
    <row r="1526" spans="2:10" x14ac:dyDescent="0.2">
      <c r="B1526" s="92">
        <v>2.105556</v>
      </c>
      <c r="C1526" s="92">
        <v>805.48050000000001</v>
      </c>
      <c r="D1526" s="92">
        <v>131.0615</v>
      </c>
      <c r="E1526" s="92"/>
      <c r="F1526" s="92">
        <v>2.105556</v>
      </c>
      <c r="G1526" s="92">
        <v>805.00670000000002</v>
      </c>
      <c r="H1526" s="92">
        <v>130.79650000000001</v>
      </c>
      <c r="I1526" s="92"/>
      <c r="J1526" s="93">
        <f t="shared" si="30"/>
        <v>0.4737999999999829</v>
      </c>
    </row>
    <row r="1527" spans="2:10" x14ac:dyDescent="0.2">
      <c r="B1527" s="92">
        <v>2.1069439999999999</v>
      </c>
      <c r="C1527" s="92">
        <v>805.47789999999998</v>
      </c>
      <c r="D1527" s="92">
        <v>131.06489999999999</v>
      </c>
      <c r="E1527" s="92"/>
      <c r="F1527" s="92">
        <v>2.1069439999999999</v>
      </c>
      <c r="G1527" s="92">
        <v>805.01070000000004</v>
      </c>
      <c r="H1527" s="92">
        <v>130.78989999999999</v>
      </c>
      <c r="I1527" s="92"/>
      <c r="J1527" s="93">
        <f t="shared" si="30"/>
        <v>0.46719999999993433</v>
      </c>
    </row>
    <row r="1528" spans="2:10" x14ac:dyDescent="0.2">
      <c r="B1528" s="92">
        <v>2.108333</v>
      </c>
      <c r="C1528" s="92">
        <v>805.49419999999998</v>
      </c>
      <c r="D1528" s="92">
        <v>131.0582</v>
      </c>
      <c r="E1528" s="92"/>
      <c r="F1528" s="92">
        <v>2.108333</v>
      </c>
      <c r="G1528" s="92">
        <v>805.01409999999998</v>
      </c>
      <c r="H1528" s="92">
        <v>130.78819999999999</v>
      </c>
      <c r="I1528" s="92"/>
      <c r="J1528" s="93">
        <f t="shared" si="30"/>
        <v>0.48009999999999309</v>
      </c>
    </row>
    <row r="1529" spans="2:10" x14ac:dyDescent="0.2">
      <c r="B1529" s="92">
        <v>2.1097220000000001</v>
      </c>
      <c r="C1529" s="92">
        <v>805.49159999999995</v>
      </c>
      <c r="D1529" s="92">
        <v>131.0615</v>
      </c>
      <c r="E1529" s="92"/>
      <c r="F1529" s="92">
        <v>2.1097220000000001</v>
      </c>
      <c r="G1529" s="92">
        <v>805.03629999999998</v>
      </c>
      <c r="H1529" s="92">
        <v>130.7799</v>
      </c>
      <c r="I1529" s="92"/>
      <c r="J1529" s="93">
        <f t="shared" si="30"/>
        <v>0.45529999999996562</v>
      </c>
    </row>
    <row r="1530" spans="2:10" x14ac:dyDescent="0.2">
      <c r="B1530" s="92">
        <v>2.1111110000000002</v>
      </c>
      <c r="C1530" s="92">
        <v>805.54809999999998</v>
      </c>
      <c r="D1530" s="92">
        <v>131.06319999999999</v>
      </c>
      <c r="E1530" s="92"/>
      <c r="F1530" s="92">
        <v>2.1111110000000002</v>
      </c>
      <c r="G1530" s="92">
        <v>805.0308</v>
      </c>
      <c r="H1530" s="92">
        <v>130.78489999999999</v>
      </c>
      <c r="I1530" s="92"/>
      <c r="J1530" s="93">
        <f t="shared" si="30"/>
        <v>0.51729999999997744</v>
      </c>
    </row>
    <row r="1531" spans="2:10" x14ac:dyDescent="0.2">
      <c r="B1531" s="92">
        <v>2.1124999999999998</v>
      </c>
      <c r="C1531" s="92">
        <v>805.52729999999997</v>
      </c>
      <c r="D1531" s="92">
        <v>131.0582</v>
      </c>
      <c r="E1531" s="92"/>
      <c r="F1531" s="92">
        <v>2.1124999999999998</v>
      </c>
      <c r="G1531" s="92">
        <v>805.04790000000003</v>
      </c>
      <c r="H1531" s="92">
        <v>130.79320000000001</v>
      </c>
      <c r="I1531" s="92"/>
      <c r="J1531" s="93">
        <f t="shared" si="30"/>
        <v>0.47939999999994143</v>
      </c>
    </row>
    <row r="1532" spans="2:10" x14ac:dyDescent="0.2">
      <c r="B1532" s="92">
        <v>2.1138889999999999</v>
      </c>
      <c r="C1532" s="92">
        <v>805.49590000000001</v>
      </c>
      <c r="D1532" s="92">
        <v>131.06649999999999</v>
      </c>
      <c r="E1532" s="92"/>
      <c r="F1532" s="92">
        <v>2.1138889999999999</v>
      </c>
      <c r="G1532" s="92">
        <v>805.04010000000005</v>
      </c>
      <c r="H1532" s="92">
        <v>130.78989999999999</v>
      </c>
      <c r="I1532" s="92"/>
      <c r="J1532" s="93">
        <f t="shared" si="30"/>
        <v>0.4557999999999538</v>
      </c>
    </row>
    <row r="1533" spans="2:10" x14ac:dyDescent="0.2">
      <c r="B1533" s="92">
        <v>2.115278</v>
      </c>
      <c r="C1533" s="92">
        <v>805.47929999999997</v>
      </c>
      <c r="D1533" s="92">
        <v>131.06649999999999</v>
      </c>
      <c r="E1533" s="92"/>
      <c r="F1533" s="92">
        <v>2.115278</v>
      </c>
      <c r="G1533" s="92">
        <v>804.99400000000003</v>
      </c>
      <c r="H1533" s="92">
        <v>130.79320000000001</v>
      </c>
      <c r="I1533" s="92"/>
      <c r="J1533" s="93">
        <f t="shared" si="30"/>
        <v>0.48529999999993834</v>
      </c>
    </row>
    <row r="1534" spans="2:10" x14ac:dyDescent="0.2">
      <c r="B1534" s="92">
        <v>2.1166670000000001</v>
      </c>
      <c r="C1534" s="92">
        <v>805.52729999999997</v>
      </c>
      <c r="D1534" s="92">
        <v>131.0582</v>
      </c>
      <c r="E1534" s="92"/>
      <c r="F1534" s="92">
        <v>2.1166670000000001</v>
      </c>
      <c r="G1534" s="92">
        <v>805.01559999999995</v>
      </c>
      <c r="H1534" s="92">
        <v>130.78989999999999</v>
      </c>
      <c r="I1534" s="92"/>
      <c r="J1534" s="93">
        <f t="shared" si="30"/>
        <v>0.51170000000001892</v>
      </c>
    </row>
    <row r="1535" spans="2:10" x14ac:dyDescent="0.2">
      <c r="B1535" s="92">
        <v>2.1180560000000002</v>
      </c>
      <c r="C1535" s="92">
        <v>805.52340000000004</v>
      </c>
      <c r="D1535" s="92">
        <v>131.06649999999999</v>
      </c>
      <c r="E1535" s="92"/>
      <c r="F1535" s="92">
        <v>2.1180560000000002</v>
      </c>
      <c r="G1535" s="92">
        <v>805.00229999999999</v>
      </c>
      <c r="H1535" s="92">
        <v>130.79150000000001</v>
      </c>
      <c r="I1535" s="92"/>
      <c r="J1535" s="93">
        <f t="shared" si="30"/>
        <v>0.52110000000004675</v>
      </c>
    </row>
    <row r="1536" spans="2:10" x14ac:dyDescent="0.2">
      <c r="B1536" s="92">
        <v>2.1194440000000001</v>
      </c>
      <c r="C1536" s="92">
        <v>805.49710000000005</v>
      </c>
      <c r="D1536" s="92">
        <v>131.0615</v>
      </c>
      <c r="E1536" s="92"/>
      <c r="F1536" s="92">
        <v>2.1194440000000001</v>
      </c>
      <c r="G1536" s="92">
        <v>805.03809999999999</v>
      </c>
      <c r="H1536" s="92">
        <v>130.79320000000001</v>
      </c>
      <c r="I1536" s="92"/>
      <c r="J1536" s="93">
        <f t="shared" si="30"/>
        <v>0.45900000000006003</v>
      </c>
    </row>
    <row r="1537" spans="2:10" x14ac:dyDescent="0.2">
      <c r="B1537" s="92">
        <v>2.1208330000000002</v>
      </c>
      <c r="C1537" s="92">
        <v>805.49829999999997</v>
      </c>
      <c r="D1537" s="92">
        <v>131.0566</v>
      </c>
      <c r="E1537" s="92"/>
      <c r="F1537" s="92">
        <v>2.1208330000000002</v>
      </c>
      <c r="G1537" s="92">
        <v>805.01850000000002</v>
      </c>
      <c r="H1537" s="92">
        <v>130.79320000000001</v>
      </c>
      <c r="I1537" s="92"/>
      <c r="J1537" s="93">
        <f t="shared" si="30"/>
        <v>0.47979999999995471</v>
      </c>
    </row>
    <row r="1538" spans="2:10" x14ac:dyDescent="0.2">
      <c r="B1538" s="92">
        <v>2.1222219999999998</v>
      </c>
      <c r="C1538" s="92">
        <v>805.51509999999996</v>
      </c>
      <c r="D1538" s="92">
        <v>131.06319999999999</v>
      </c>
      <c r="E1538" s="92"/>
      <c r="F1538" s="92">
        <v>2.1222219999999998</v>
      </c>
      <c r="G1538" s="92">
        <v>805.04639999999995</v>
      </c>
      <c r="H1538" s="92">
        <v>130.79150000000001</v>
      </c>
      <c r="I1538" s="92"/>
      <c r="J1538" s="93">
        <f t="shared" si="30"/>
        <v>0.46870000000001255</v>
      </c>
    </row>
    <row r="1539" spans="2:10" x14ac:dyDescent="0.2">
      <c r="B1539" s="92">
        <v>2.1236109999999999</v>
      </c>
      <c r="C1539" s="92">
        <v>805.49829999999997</v>
      </c>
      <c r="D1539" s="92">
        <v>131.0566</v>
      </c>
      <c r="E1539" s="92"/>
      <c r="F1539" s="92">
        <v>2.1236109999999999</v>
      </c>
      <c r="G1539" s="92">
        <v>805.08900000000006</v>
      </c>
      <c r="H1539" s="92">
        <v>130.78989999999999</v>
      </c>
      <c r="I1539" s="92"/>
      <c r="J1539" s="93">
        <f t="shared" si="30"/>
        <v>0.40929999999991651</v>
      </c>
    </row>
    <row r="1540" spans="2:10" x14ac:dyDescent="0.2">
      <c r="B1540" s="92">
        <v>2.125</v>
      </c>
      <c r="C1540" s="92">
        <v>805.53570000000002</v>
      </c>
      <c r="D1540" s="92">
        <v>131.0615</v>
      </c>
      <c r="E1540" s="92"/>
      <c r="F1540" s="92">
        <v>2.125</v>
      </c>
      <c r="G1540" s="92">
        <v>804.99749999999995</v>
      </c>
      <c r="H1540" s="92">
        <v>130.79150000000001</v>
      </c>
      <c r="I1540" s="92"/>
      <c r="J1540" s="93">
        <f t="shared" si="30"/>
        <v>0.5382000000000744</v>
      </c>
    </row>
    <row r="1541" spans="2:10" x14ac:dyDescent="0.2">
      <c r="B1541" s="92">
        <v>2.1263890000000001</v>
      </c>
      <c r="C1541" s="92">
        <v>805.45439999999996</v>
      </c>
      <c r="D1541" s="92">
        <v>131.06319999999999</v>
      </c>
      <c r="E1541" s="92"/>
      <c r="F1541" s="92">
        <v>2.1263890000000001</v>
      </c>
      <c r="G1541" s="92">
        <v>805.03459999999995</v>
      </c>
      <c r="H1541" s="92">
        <v>130.79490000000001</v>
      </c>
      <c r="I1541" s="92"/>
      <c r="J1541" s="93">
        <f t="shared" si="30"/>
        <v>0.41980000000000928</v>
      </c>
    </row>
    <row r="1542" spans="2:10" x14ac:dyDescent="0.2">
      <c r="B1542" s="92">
        <v>2.1277780000000002</v>
      </c>
      <c r="C1542" s="92">
        <v>805.52750000000003</v>
      </c>
      <c r="D1542" s="92">
        <v>131.06489999999999</v>
      </c>
      <c r="E1542" s="92"/>
      <c r="F1542" s="92">
        <v>2.1277780000000002</v>
      </c>
      <c r="G1542" s="92">
        <v>805.0675</v>
      </c>
      <c r="H1542" s="92">
        <v>130.79320000000001</v>
      </c>
      <c r="I1542" s="92"/>
      <c r="J1542" s="93">
        <f t="shared" si="30"/>
        <v>0.46000000000003638</v>
      </c>
    </row>
    <row r="1543" spans="2:10" x14ac:dyDescent="0.2">
      <c r="B1543" s="92">
        <v>2.1291669999999998</v>
      </c>
      <c r="C1543" s="92">
        <v>805.50400000000002</v>
      </c>
      <c r="D1543" s="92">
        <v>131.06319999999999</v>
      </c>
      <c r="E1543" s="92"/>
      <c r="F1543" s="92">
        <v>2.1291669999999998</v>
      </c>
      <c r="G1543" s="92">
        <v>805.0444</v>
      </c>
      <c r="H1543" s="92">
        <v>130.79490000000001</v>
      </c>
      <c r="I1543" s="92"/>
      <c r="J1543" s="93">
        <f t="shared" si="30"/>
        <v>0.4596000000000231</v>
      </c>
    </row>
    <row r="1544" spans="2:10" x14ac:dyDescent="0.2">
      <c r="B1544" s="92">
        <v>2.1305559999999999</v>
      </c>
      <c r="C1544" s="92">
        <v>805.49440000000004</v>
      </c>
      <c r="D1544" s="92">
        <v>131.06489999999999</v>
      </c>
      <c r="E1544" s="92"/>
      <c r="F1544" s="92">
        <v>2.1305559999999999</v>
      </c>
      <c r="G1544" s="92">
        <v>805.03809999999999</v>
      </c>
      <c r="H1544" s="92">
        <v>130.79320000000001</v>
      </c>
      <c r="I1544" s="92"/>
      <c r="J1544" s="93">
        <f t="shared" si="30"/>
        <v>0.45630000000005566</v>
      </c>
    </row>
    <row r="1545" spans="2:10" x14ac:dyDescent="0.2">
      <c r="B1545" s="92">
        <v>2.1319439999999998</v>
      </c>
      <c r="C1545" s="92">
        <v>805.50379999999996</v>
      </c>
      <c r="D1545" s="92">
        <v>131.0566</v>
      </c>
      <c r="E1545" s="92"/>
      <c r="F1545" s="92">
        <v>2.1319439999999998</v>
      </c>
      <c r="G1545" s="92">
        <v>805.02340000000004</v>
      </c>
      <c r="H1545" s="92">
        <v>130.79320000000001</v>
      </c>
      <c r="I1545" s="92"/>
      <c r="J1545" s="93">
        <f t="shared" si="30"/>
        <v>0.48039999999991778</v>
      </c>
    </row>
    <row r="1546" spans="2:10" x14ac:dyDescent="0.2">
      <c r="B1546" s="92">
        <v>2.1333329999999999</v>
      </c>
      <c r="C1546" s="92">
        <v>805.51509999999996</v>
      </c>
      <c r="D1546" s="92">
        <v>131.06319999999999</v>
      </c>
      <c r="E1546" s="92"/>
      <c r="F1546" s="92">
        <v>2.1333329999999999</v>
      </c>
      <c r="G1546" s="92">
        <v>805.06200000000001</v>
      </c>
      <c r="H1546" s="92">
        <v>130.79820000000001</v>
      </c>
      <c r="I1546" s="92"/>
      <c r="J1546" s="93">
        <f t="shared" si="30"/>
        <v>0.45309999999994943</v>
      </c>
    </row>
    <row r="1547" spans="2:10" x14ac:dyDescent="0.2">
      <c r="B1547" s="92">
        <v>2.134722</v>
      </c>
      <c r="C1547" s="92">
        <v>805.51509999999996</v>
      </c>
      <c r="D1547" s="92">
        <v>131.06319999999999</v>
      </c>
      <c r="E1547" s="92"/>
      <c r="F1547" s="92">
        <v>2.134722</v>
      </c>
      <c r="G1547" s="92">
        <v>805.03459999999995</v>
      </c>
      <c r="H1547" s="92">
        <v>130.79490000000001</v>
      </c>
      <c r="I1547" s="92"/>
      <c r="J1547" s="93">
        <f t="shared" ref="J1547:J1610" si="31">+ABS(G1547-C1547)</f>
        <v>0.48050000000000637</v>
      </c>
    </row>
    <row r="1548" spans="2:10" x14ac:dyDescent="0.2">
      <c r="B1548" s="92">
        <v>2.1361110000000001</v>
      </c>
      <c r="C1548" s="92">
        <v>805.50120000000004</v>
      </c>
      <c r="D1548" s="92">
        <v>131.0599</v>
      </c>
      <c r="E1548" s="92"/>
      <c r="F1548" s="92">
        <v>2.1361110000000001</v>
      </c>
      <c r="G1548" s="92">
        <v>804.98910000000001</v>
      </c>
      <c r="H1548" s="92">
        <v>130.79320000000001</v>
      </c>
      <c r="I1548" s="92"/>
      <c r="J1548" s="93">
        <f t="shared" si="31"/>
        <v>0.5121000000000322</v>
      </c>
    </row>
    <row r="1549" spans="2:10" x14ac:dyDescent="0.2">
      <c r="B1549" s="92">
        <v>2.1375000000000002</v>
      </c>
      <c r="C1549" s="92">
        <v>805.49829999999997</v>
      </c>
      <c r="D1549" s="92">
        <v>131.0566</v>
      </c>
      <c r="E1549" s="92"/>
      <c r="F1549" s="92">
        <v>2.1375000000000002</v>
      </c>
      <c r="G1549" s="92">
        <v>805.08159999999998</v>
      </c>
      <c r="H1549" s="92">
        <v>130.79820000000001</v>
      </c>
      <c r="I1549" s="92"/>
      <c r="J1549" s="93">
        <f t="shared" si="31"/>
        <v>0.41669999999999163</v>
      </c>
    </row>
    <row r="1550" spans="2:10" x14ac:dyDescent="0.2">
      <c r="B1550" s="92">
        <v>2.1388889999999998</v>
      </c>
      <c r="C1550" s="92">
        <v>805.50980000000004</v>
      </c>
      <c r="D1550" s="92">
        <v>131.06979999999999</v>
      </c>
      <c r="E1550" s="92"/>
      <c r="F1550" s="92">
        <v>2.1388889999999998</v>
      </c>
      <c r="G1550" s="92">
        <v>804.99059999999997</v>
      </c>
      <c r="H1550" s="92">
        <v>130.79490000000001</v>
      </c>
      <c r="I1550" s="92"/>
      <c r="J1550" s="93">
        <f t="shared" si="31"/>
        <v>0.51920000000006894</v>
      </c>
    </row>
    <row r="1551" spans="2:10" x14ac:dyDescent="0.2">
      <c r="B1551" s="92">
        <v>2.1402779999999999</v>
      </c>
      <c r="C1551" s="92">
        <v>805.56349999999998</v>
      </c>
      <c r="D1551" s="92">
        <v>131.06819999999999</v>
      </c>
      <c r="E1551" s="92"/>
      <c r="F1551" s="92">
        <v>2.1402779999999999</v>
      </c>
      <c r="G1551" s="92">
        <v>804.99199999999996</v>
      </c>
      <c r="H1551" s="92">
        <v>130.79650000000001</v>
      </c>
      <c r="I1551" s="92"/>
      <c r="J1551" s="93">
        <f t="shared" si="31"/>
        <v>0.57150000000001455</v>
      </c>
    </row>
    <row r="1552" spans="2:10" x14ac:dyDescent="0.2">
      <c r="B1552" s="92">
        <v>2.141667</v>
      </c>
      <c r="C1552" s="92">
        <v>805.47239999999999</v>
      </c>
      <c r="D1552" s="92">
        <v>131.06489999999999</v>
      </c>
      <c r="E1552" s="92"/>
      <c r="F1552" s="92">
        <v>2.141667</v>
      </c>
      <c r="G1552" s="92">
        <v>805.04300000000001</v>
      </c>
      <c r="H1552" s="92">
        <v>130.79320000000001</v>
      </c>
      <c r="I1552" s="92"/>
      <c r="J1552" s="93">
        <f t="shared" si="31"/>
        <v>0.4293999999999869</v>
      </c>
    </row>
    <row r="1553" spans="2:10" x14ac:dyDescent="0.2">
      <c r="B1553" s="92">
        <v>2.1430560000000001</v>
      </c>
      <c r="C1553" s="92">
        <v>805.51649999999995</v>
      </c>
      <c r="D1553" s="92">
        <v>131.06489999999999</v>
      </c>
      <c r="E1553" s="92"/>
      <c r="F1553" s="92">
        <v>2.1430560000000001</v>
      </c>
      <c r="G1553" s="92">
        <v>805.05619999999999</v>
      </c>
      <c r="H1553" s="92">
        <v>130.79150000000001</v>
      </c>
      <c r="I1553" s="92"/>
      <c r="J1553" s="93">
        <f t="shared" si="31"/>
        <v>0.46029999999996107</v>
      </c>
    </row>
    <row r="1554" spans="2:10" x14ac:dyDescent="0.2">
      <c r="B1554" s="92">
        <v>2.144444</v>
      </c>
      <c r="C1554" s="92">
        <v>805.50139999999999</v>
      </c>
      <c r="D1554" s="92">
        <v>131.06649999999999</v>
      </c>
      <c r="E1554" s="92"/>
      <c r="F1554" s="92">
        <v>2.144444</v>
      </c>
      <c r="G1554" s="92">
        <v>805.01499999999999</v>
      </c>
      <c r="H1554" s="92">
        <v>130.79490000000001</v>
      </c>
      <c r="I1554" s="92"/>
      <c r="J1554" s="93">
        <f t="shared" si="31"/>
        <v>0.48640000000000327</v>
      </c>
    </row>
    <row r="1555" spans="2:10" x14ac:dyDescent="0.2">
      <c r="B1555" s="92">
        <v>2.1458330000000001</v>
      </c>
      <c r="C1555" s="92">
        <v>805.50980000000004</v>
      </c>
      <c r="D1555" s="92">
        <v>131.06979999999999</v>
      </c>
      <c r="E1555" s="92"/>
      <c r="F1555" s="92">
        <v>2.1458330000000001</v>
      </c>
      <c r="G1555" s="92">
        <v>805.04150000000004</v>
      </c>
      <c r="H1555" s="92">
        <v>130.79150000000001</v>
      </c>
      <c r="I1555" s="92"/>
      <c r="J1555" s="93">
        <f t="shared" si="31"/>
        <v>0.46829999999999927</v>
      </c>
    </row>
    <row r="1556" spans="2:10" x14ac:dyDescent="0.2">
      <c r="B1556" s="92">
        <v>2.1472220000000002</v>
      </c>
      <c r="C1556" s="92">
        <v>805.52200000000005</v>
      </c>
      <c r="D1556" s="92">
        <v>131.06489999999999</v>
      </c>
      <c r="E1556" s="92"/>
      <c r="F1556" s="92">
        <v>2.1472220000000002</v>
      </c>
      <c r="G1556" s="92">
        <v>805.06200000000001</v>
      </c>
      <c r="H1556" s="92">
        <v>130.79820000000001</v>
      </c>
      <c r="I1556" s="92"/>
      <c r="J1556" s="93">
        <f t="shared" si="31"/>
        <v>0.46000000000003638</v>
      </c>
    </row>
    <row r="1557" spans="2:10" x14ac:dyDescent="0.2">
      <c r="B1557" s="92">
        <v>2.1486109999999998</v>
      </c>
      <c r="C1557" s="92">
        <v>805.53300000000002</v>
      </c>
      <c r="D1557" s="92">
        <v>131.06489999999999</v>
      </c>
      <c r="E1557" s="92"/>
      <c r="F1557" s="92">
        <v>2.1486109999999998</v>
      </c>
      <c r="G1557" s="92">
        <v>805.00670000000002</v>
      </c>
      <c r="H1557" s="92">
        <v>130.79650000000001</v>
      </c>
      <c r="I1557" s="92"/>
      <c r="J1557" s="93">
        <f t="shared" si="31"/>
        <v>0.526299999999992</v>
      </c>
    </row>
    <row r="1558" spans="2:10" x14ac:dyDescent="0.2">
      <c r="B1558" s="92">
        <v>2.15</v>
      </c>
      <c r="C1558" s="92">
        <v>805.47360000000003</v>
      </c>
      <c r="D1558" s="92">
        <v>131.0599</v>
      </c>
      <c r="E1558" s="92"/>
      <c r="F1558" s="92">
        <v>2.15</v>
      </c>
      <c r="G1558" s="92">
        <v>805.07320000000004</v>
      </c>
      <c r="H1558" s="92">
        <v>130.79990000000001</v>
      </c>
      <c r="I1558" s="92"/>
      <c r="J1558" s="93">
        <f t="shared" si="31"/>
        <v>0.40039999999999054</v>
      </c>
    </row>
    <row r="1559" spans="2:10" x14ac:dyDescent="0.2">
      <c r="B1559" s="92">
        <v>2.151389</v>
      </c>
      <c r="C1559" s="92">
        <v>805.46810000000005</v>
      </c>
      <c r="D1559" s="92">
        <v>131.0599</v>
      </c>
      <c r="E1559" s="92"/>
      <c r="F1559" s="92">
        <v>2.151389</v>
      </c>
      <c r="G1559" s="92">
        <v>805.05769999999995</v>
      </c>
      <c r="H1559" s="92">
        <v>130.79320000000001</v>
      </c>
      <c r="I1559" s="92"/>
      <c r="J1559" s="93">
        <f t="shared" si="31"/>
        <v>0.41040000000009513</v>
      </c>
    </row>
    <row r="1560" spans="2:10" x14ac:dyDescent="0.2">
      <c r="B1560" s="92">
        <v>2.1527780000000001</v>
      </c>
      <c r="C1560" s="92">
        <v>805.48199999999997</v>
      </c>
      <c r="D1560" s="92">
        <v>131.06319999999999</v>
      </c>
      <c r="E1560" s="92"/>
      <c r="F1560" s="92">
        <v>2.1527780000000001</v>
      </c>
      <c r="G1560" s="92">
        <v>805.03120000000001</v>
      </c>
      <c r="H1560" s="92">
        <v>130.79650000000001</v>
      </c>
      <c r="I1560" s="92"/>
      <c r="J1560" s="93">
        <f t="shared" si="31"/>
        <v>0.45079999999995835</v>
      </c>
    </row>
    <row r="1561" spans="2:10" x14ac:dyDescent="0.2">
      <c r="B1561" s="92">
        <v>2.1541670000000002</v>
      </c>
      <c r="C1561" s="92">
        <v>805.49440000000004</v>
      </c>
      <c r="D1561" s="92">
        <v>131.06489999999999</v>
      </c>
      <c r="E1561" s="92"/>
      <c r="F1561" s="92">
        <v>2.1541670000000002</v>
      </c>
      <c r="G1561" s="92">
        <v>805.05709999999999</v>
      </c>
      <c r="H1561" s="92">
        <v>130.79820000000001</v>
      </c>
      <c r="I1561" s="92"/>
      <c r="J1561" s="93">
        <f t="shared" si="31"/>
        <v>0.4373000000000502</v>
      </c>
    </row>
    <row r="1562" spans="2:10" x14ac:dyDescent="0.2">
      <c r="B1562" s="92">
        <v>2.1555559999999998</v>
      </c>
      <c r="C1562" s="92">
        <v>805.46810000000005</v>
      </c>
      <c r="D1562" s="92">
        <v>131.0599</v>
      </c>
      <c r="E1562" s="92"/>
      <c r="F1562" s="92">
        <v>2.1555559999999998</v>
      </c>
      <c r="G1562" s="92">
        <v>805.06830000000002</v>
      </c>
      <c r="H1562" s="92">
        <v>130.79990000000001</v>
      </c>
      <c r="I1562" s="92"/>
      <c r="J1562" s="93">
        <f t="shared" si="31"/>
        <v>0.39980000000002747</v>
      </c>
    </row>
    <row r="1563" spans="2:10" x14ac:dyDescent="0.2">
      <c r="B1563" s="92">
        <v>2.1569440000000002</v>
      </c>
      <c r="C1563" s="92">
        <v>805.50549999999998</v>
      </c>
      <c r="D1563" s="92">
        <v>131.06489999999999</v>
      </c>
      <c r="E1563" s="92"/>
      <c r="F1563" s="92">
        <v>2.1569440000000002</v>
      </c>
      <c r="G1563" s="92">
        <v>805.01790000000005</v>
      </c>
      <c r="H1563" s="92">
        <v>130.79820000000001</v>
      </c>
      <c r="I1563" s="92"/>
      <c r="J1563" s="93">
        <f t="shared" si="31"/>
        <v>0.48759999999992942</v>
      </c>
    </row>
    <row r="1564" spans="2:10" x14ac:dyDescent="0.2">
      <c r="B1564" s="92">
        <v>2.1583329999999998</v>
      </c>
      <c r="C1564" s="92">
        <v>805.52300000000002</v>
      </c>
      <c r="D1564" s="92">
        <v>131.0532</v>
      </c>
      <c r="E1564" s="92"/>
      <c r="F1564" s="92">
        <v>2.1583329999999998</v>
      </c>
      <c r="G1564" s="92">
        <v>805.03899999999999</v>
      </c>
      <c r="H1564" s="92">
        <v>130.79990000000001</v>
      </c>
      <c r="I1564" s="92"/>
      <c r="J1564" s="93">
        <f t="shared" si="31"/>
        <v>0.48400000000003729</v>
      </c>
    </row>
    <row r="1565" spans="2:10" x14ac:dyDescent="0.2">
      <c r="B1565" s="92">
        <v>2.1597219999999999</v>
      </c>
      <c r="C1565" s="92">
        <v>805.52919999999995</v>
      </c>
      <c r="D1565" s="92">
        <v>131.07320000000001</v>
      </c>
      <c r="E1565" s="92"/>
      <c r="F1565" s="92">
        <v>2.1597219999999999</v>
      </c>
      <c r="G1565" s="92">
        <v>805.03840000000002</v>
      </c>
      <c r="H1565" s="92">
        <v>130.8049</v>
      </c>
      <c r="I1565" s="92"/>
      <c r="J1565" s="93">
        <f t="shared" si="31"/>
        <v>0.49079999999992197</v>
      </c>
    </row>
    <row r="1566" spans="2:10" x14ac:dyDescent="0.2">
      <c r="B1566" s="92">
        <v>2.161111</v>
      </c>
      <c r="C1566" s="92">
        <v>805.54259999999999</v>
      </c>
      <c r="D1566" s="92">
        <v>131.06319999999999</v>
      </c>
      <c r="E1566" s="92"/>
      <c r="F1566" s="92">
        <v>2.161111</v>
      </c>
      <c r="G1566" s="92">
        <v>805.04100000000005</v>
      </c>
      <c r="H1566" s="92">
        <v>130.79650000000001</v>
      </c>
      <c r="I1566" s="92"/>
      <c r="J1566" s="93">
        <f t="shared" si="31"/>
        <v>0.50159999999993943</v>
      </c>
    </row>
    <row r="1567" spans="2:10" x14ac:dyDescent="0.2">
      <c r="B1567" s="92">
        <v>2.1625000000000001</v>
      </c>
      <c r="C1567" s="92">
        <v>805.49590000000001</v>
      </c>
      <c r="D1567" s="92">
        <v>131.06649999999999</v>
      </c>
      <c r="E1567" s="92"/>
      <c r="F1567" s="92">
        <v>2.1625000000000001</v>
      </c>
      <c r="G1567" s="92">
        <v>805.00810000000001</v>
      </c>
      <c r="H1567" s="92">
        <v>130.79820000000001</v>
      </c>
      <c r="I1567" s="92"/>
      <c r="J1567" s="93">
        <f t="shared" si="31"/>
        <v>0.48779999999999291</v>
      </c>
    </row>
    <row r="1568" spans="2:10" x14ac:dyDescent="0.2">
      <c r="B1568" s="92">
        <v>2.1638890000000002</v>
      </c>
      <c r="C1568" s="92">
        <v>805.47789999999998</v>
      </c>
      <c r="D1568" s="92">
        <v>131.06489999999999</v>
      </c>
      <c r="E1568" s="92"/>
      <c r="F1568" s="92">
        <v>2.1638890000000002</v>
      </c>
      <c r="G1568" s="92">
        <v>805.01990000000001</v>
      </c>
      <c r="H1568" s="92">
        <v>130.79490000000001</v>
      </c>
      <c r="I1568" s="92"/>
      <c r="J1568" s="93">
        <f t="shared" si="31"/>
        <v>0.45799999999996999</v>
      </c>
    </row>
    <row r="1569" spans="2:10" x14ac:dyDescent="0.2">
      <c r="B1569" s="92">
        <v>2.1652779999999998</v>
      </c>
      <c r="C1569" s="92">
        <v>805.53589999999997</v>
      </c>
      <c r="D1569" s="92">
        <v>131.06819999999999</v>
      </c>
      <c r="E1569" s="92"/>
      <c r="F1569" s="92">
        <v>2.1652779999999998</v>
      </c>
      <c r="G1569" s="92">
        <v>805.0335</v>
      </c>
      <c r="H1569" s="92">
        <v>130.8049</v>
      </c>
      <c r="I1569" s="92"/>
      <c r="J1569" s="93">
        <f t="shared" si="31"/>
        <v>0.50239999999996598</v>
      </c>
    </row>
    <row r="1570" spans="2:10" x14ac:dyDescent="0.2">
      <c r="B1570" s="92">
        <v>2.1666669999999999</v>
      </c>
      <c r="C1570" s="92">
        <v>805.48609999999996</v>
      </c>
      <c r="D1570" s="92">
        <v>131.0615</v>
      </c>
      <c r="E1570" s="92"/>
      <c r="F1570" s="92">
        <v>2.1666669999999999</v>
      </c>
      <c r="G1570" s="92">
        <v>805.03319999999997</v>
      </c>
      <c r="H1570" s="92">
        <v>130.79320000000001</v>
      </c>
      <c r="I1570" s="92"/>
      <c r="J1570" s="93">
        <f t="shared" si="31"/>
        <v>0.45289999999999964</v>
      </c>
    </row>
    <row r="1571" spans="2:10" x14ac:dyDescent="0.2">
      <c r="B1571" s="92">
        <v>2.168056</v>
      </c>
      <c r="C1571" s="92">
        <v>805.51790000000005</v>
      </c>
      <c r="D1571" s="92">
        <v>131.06649999999999</v>
      </c>
      <c r="E1571" s="92"/>
      <c r="F1571" s="92">
        <v>2.168056</v>
      </c>
      <c r="G1571" s="92">
        <v>805.03459999999995</v>
      </c>
      <c r="H1571" s="92">
        <v>130.79490000000001</v>
      </c>
      <c r="I1571" s="92"/>
      <c r="J1571" s="93">
        <f t="shared" si="31"/>
        <v>0.48330000000009932</v>
      </c>
    </row>
    <row r="1572" spans="2:10" x14ac:dyDescent="0.2">
      <c r="B1572" s="92">
        <v>2.1694439999999999</v>
      </c>
      <c r="C1572" s="92">
        <v>805.4873</v>
      </c>
      <c r="D1572" s="92">
        <v>131.0566</v>
      </c>
      <c r="E1572" s="92"/>
      <c r="F1572" s="92">
        <v>2.1694439999999999</v>
      </c>
      <c r="G1572" s="92">
        <v>805.04039999999998</v>
      </c>
      <c r="H1572" s="92">
        <v>130.8015</v>
      </c>
      <c r="I1572" s="92"/>
      <c r="J1572" s="93">
        <f t="shared" si="31"/>
        <v>0.44690000000002783</v>
      </c>
    </row>
    <row r="1573" spans="2:10" x14ac:dyDescent="0.2">
      <c r="B1573" s="92">
        <v>2.170833</v>
      </c>
      <c r="C1573" s="92">
        <v>805.50519999999995</v>
      </c>
      <c r="D1573" s="92">
        <v>131.0582</v>
      </c>
      <c r="E1573" s="92"/>
      <c r="F1573" s="92">
        <v>2.170833</v>
      </c>
      <c r="G1573" s="92">
        <v>804.98419999999999</v>
      </c>
      <c r="H1573" s="92">
        <v>130.79320000000001</v>
      </c>
      <c r="I1573" s="92"/>
      <c r="J1573" s="93">
        <f t="shared" si="31"/>
        <v>0.52099999999995816</v>
      </c>
    </row>
    <row r="1574" spans="2:10" x14ac:dyDescent="0.2">
      <c r="B1574" s="92">
        <v>2.1722220000000001</v>
      </c>
      <c r="C1574" s="92">
        <v>805.51930000000004</v>
      </c>
      <c r="D1574" s="92">
        <v>131.06819999999999</v>
      </c>
      <c r="E1574" s="92"/>
      <c r="F1574" s="92">
        <v>2.1722220000000001</v>
      </c>
      <c r="G1574" s="92">
        <v>804.98569999999995</v>
      </c>
      <c r="H1574" s="92">
        <v>130.79490000000001</v>
      </c>
      <c r="I1574" s="92"/>
      <c r="J1574" s="93">
        <f t="shared" si="31"/>
        <v>0.53360000000009222</v>
      </c>
    </row>
    <row r="1575" spans="2:10" x14ac:dyDescent="0.2">
      <c r="B1575" s="92">
        <v>2.1736110000000002</v>
      </c>
      <c r="C1575" s="92">
        <v>805.50019999999995</v>
      </c>
      <c r="D1575" s="92">
        <v>131.07149999999999</v>
      </c>
      <c r="E1575" s="92"/>
      <c r="F1575" s="92">
        <v>2.1736110000000002</v>
      </c>
      <c r="G1575" s="92">
        <v>805.05370000000005</v>
      </c>
      <c r="H1575" s="92">
        <v>130.79990000000001</v>
      </c>
      <c r="I1575" s="92"/>
      <c r="J1575" s="93">
        <f t="shared" si="31"/>
        <v>0.44649999999990087</v>
      </c>
    </row>
    <row r="1576" spans="2:10" x14ac:dyDescent="0.2">
      <c r="B1576" s="92">
        <v>2.1749999999999998</v>
      </c>
      <c r="C1576" s="92">
        <v>805.52769999999998</v>
      </c>
      <c r="D1576" s="92">
        <v>131.07149999999999</v>
      </c>
      <c r="E1576" s="92"/>
      <c r="F1576" s="92">
        <v>2.1749999999999998</v>
      </c>
      <c r="G1576" s="92">
        <v>805.04880000000003</v>
      </c>
      <c r="H1576" s="92">
        <v>130.79990000000001</v>
      </c>
      <c r="I1576" s="92"/>
      <c r="J1576" s="93">
        <f t="shared" si="31"/>
        <v>0.47889999999995325</v>
      </c>
    </row>
    <row r="1577" spans="2:10" x14ac:dyDescent="0.2">
      <c r="B1577" s="92">
        <v>2.1763889999999999</v>
      </c>
      <c r="C1577" s="92">
        <v>805.51790000000005</v>
      </c>
      <c r="D1577" s="92">
        <v>131.06649999999999</v>
      </c>
      <c r="E1577" s="92"/>
      <c r="F1577" s="92">
        <v>2.1763889999999999</v>
      </c>
      <c r="G1577" s="92">
        <v>805.03840000000002</v>
      </c>
      <c r="H1577" s="92">
        <v>130.8049</v>
      </c>
      <c r="I1577" s="92"/>
      <c r="J1577" s="93">
        <f t="shared" si="31"/>
        <v>0.47950000000003001</v>
      </c>
    </row>
    <row r="1578" spans="2:10" x14ac:dyDescent="0.2">
      <c r="B1578" s="92">
        <v>2.177778</v>
      </c>
      <c r="C1578" s="92">
        <v>805.49710000000005</v>
      </c>
      <c r="D1578" s="92">
        <v>131.0615</v>
      </c>
      <c r="E1578" s="92"/>
      <c r="F1578" s="92">
        <v>2.177778</v>
      </c>
      <c r="G1578" s="92">
        <v>805.01990000000001</v>
      </c>
      <c r="H1578" s="92">
        <v>130.79490000000001</v>
      </c>
      <c r="I1578" s="92"/>
      <c r="J1578" s="93">
        <f t="shared" si="31"/>
        <v>0.47720000000003893</v>
      </c>
    </row>
    <row r="1579" spans="2:10" x14ac:dyDescent="0.2">
      <c r="B1579" s="92">
        <v>2.1791670000000001</v>
      </c>
      <c r="C1579" s="92">
        <v>805.50549999999998</v>
      </c>
      <c r="D1579" s="92">
        <v>131.06489999999999</v>
      </c>
      <c r="E1579" s="92"/>
      <c r="F1579" s="92">
        <v>2.1791670000000001</v>
      </c>
      <c r="G1579" s="92">
        <v>805.03899999999999</v>
      </c>
      <c r="H1579" s="92">
        <v>130.79990000000001</v>
      </c>
      <c r="I1579" s="92"/>
      <c r="J1579" s="93">
        <f t="shared" si="31"/>
        <v>0.46649999999999636</v>
      </c>
    </row>
    <row r="1580" spans="2:10" x14ac:dyDescent="0.2">
      <c r="B1580" s="92">
        <v>2.1805560000000002</v>
      </c>
      <c r="C1580" s="92">
        <v>805.48479999999995</v>
      </c>
      <c r="D1580" s="92">
        <v>131.06649999999999</v>
      </c>
      <c r="E1580" s="92"/>
      <c r="F1580" s="92">
        <v>2.1805560000000002</v>
      </c>
      <c r="G1580" s="92">
        <v>805.03989999999999</v>
      </c>
      <c r="H1580" s="92">
        <v>130.8065</v>
      </c>
      <c r="I1580" s="92"/>
      <c r="J1580" s="93">
        <f t="shared" si="31"/>
        <v>0.44489999999996144</v>
      </c>
    </row>
    <row r="1581" spans="2:10" x14ac:dyDescent="0.2">
      <c r="B1581" s="92">
        <v>2.1819440000000001</v>
      </c>
      <c r="C1581" s="92">
        <v>805.51120000000003</v>
      </c>
      <c r="D1581" s="92">
        <v>131.07149999999999</v>
      </c>
      <c r="E1581" s="92"/>
      <c r="F1581" s="92">
        <v>2.1819440000000001</v>
      </c>
      <c r="G1581" s="92">
        <v>805.0145</v>
      </c>
      <c r="H1581" s="92">
        <v>130.79990000000001</v>
      </c>
      <c r="I1581" s="92"/>
      <c r="J1581" s="93">
        <f t="shared" si="31"/>
        <v>0.49670000000003256</v>
      </c>
    </row>
    <row r="1582" spans="2:10" x14ac:dyDescent="0.2">
      <c r="B1582" s="92">
        <v>2.1833330000000002</v>
      </c>
      <c r="C1582" s="92">
        <v>805.46849999999995</v>
      </c>
      <c r="D1582" s="92">
        <v>131.07320000000001</v>
      </c>
      <c r="E1582" s="92"/>
      <c r="F1582" s="92">
        <v>2.1833330000000002</v>
      </c>
      <c r="G1582" s="92">
        <v>805.02769999999998</v>
      </c>
      <c r="H1582" s="92">
        <v>130.79820000000001</v>
      </c>
      <c r="I1582" s="92"/>
      <c r="J1582" s="93">
        <f t="shared" si="31"/>
        <v>0.44079999999996744</v>
      </c>
    </row>
    <row r="1583" spans="2:10" x14ac:dyDescent="0.2">
      <c r="B1583" s="92">
        <v>2.1847219999999998</v>
      </c>
      <c r="C1583" s="92">
        <v>805.46280000000002</v>
      </c>
      <c r="D1583" s="92">
        <v>131.06649999999999</v>
      </c>
      <c r="E1583" s="92"/>
      <c r="F1583" s="92">
        <v>2.1847219999999998</v>
      </c>
      <c r="G1583" s="92">
        <v>805.05169999999998</v>
      </c>
      <c r="H1583" s="92">
        <v>130.8032</v>
      </c>
      <c r="I1583" s="92"/>
      <c r="J1583" s="93">
        <f t="shared" si="31"/>
        <v>0.41110000000003311</v>
      </c>
    </row>
    <row r="1584" spans="2:10" x14ac:dyDescent="0.2">
      <c r="B1584" s="92">
        <v>2.1861109999999999</v>
      </c>
      <c r="C1584" s="92">
        <v>805.44600000000003</v>
      </c>
      <c r="D1584" s="92">
        <v>131.0599</v>
      </c>
      <c r="E1584" s="92"/>
      <c r="F1584" s="92">
        <v>2.1861109999999999</v>
      </c>
      <c r="G1584" s="92">
        <v>805.03610000000003</v>
      </c>
      <c r="H1584" s="92">
        <v>130.79650000000001</v>
      </c>
      <c r="I1584" s="92"/>
      <c r="J1584" s="93">
        <f t="shared" si="31"/>
        <v>0.40989999999999327</v>
      </c>
    </row>
    <row r="1585" spans="2:10" x14ac:dyDescent="0.2">
      <c r="B1585" s="92">
        <v>2.1875</v>
      </c>
      <c r="C1585" s="92">
        <v>805.48199999999997</v>
      </c>
      <c r="D1585" s="92">
        <v>131.06319999999999</v>
      </c>
      <c r="E1585" s="92"/>
      <c r="F1585" s="92">
        <v>2.1875</v>
      </c>
      <c r="G1585" s="92">
        <v>805.05859999999996</v>
      </c>
      <c r="H1585" s="92">
        <v>130.79990000000001</v>
      </c>
      <c r="I1585" s="92"/>
      <c r="J1585" s="93">
        <f t="shared" si="31"/>
        <v>0.4234000000000151</v>
      </c>
    </row>
    <row r="1586" spans="2:10" x14ac:dyDescent="0.2">
      <c r="B1586" s="92">
        <v>2.1888890000000001</v>
      </c>
      <c r="C1586" s="92">
        <v>805.50570000000005</v>
      </c>
      <c r="D1586" s="92">
        <v>131.07149999999999</v>
      </c>
      <c r="E1586" s="92"/>
      <c r="F1586" s="92">
        <v>2.1888890000000001</v>
      </c>
      <c r="G1586" s="92">
        <v>805.02829999999994</v>
      </c>
      <c r="H1586" s="92">
        <v>130.79320000000001</v>
      </c>
      <c r="I1586" s="92"/>
      <c r="J1586" s="93">
        <f t="shared" si="31"/>
        <v>0.47740000000010241</v>
      </c>
    </row>
    <row r="1587" spans="2:10" x14ac:dyDescent="0.2">
      <c r="B1587" s="92">
        <v>2.1902780000000002</v>
      </c>
      <c r="C1587" s="92">
        <v>805.48749999999995</v>
      </c>
      <c r="D1587" s="92">
        <v>131.06319999999999</v>
      </c>
      <c r="E1587" s="92"/>
      <c r="F1587" s="92">
        <v>2.1902780000000002</v>
      </c>
      <c r="G1587" s="92">
        <v>805.06060000000002</v>
      </c>
      <c r="H1587" s="92">
        <v>130.79650000000001</v>
      </c>
      <c r="I1587" s="92"/>
      <c r="J1587" s="93">
        <f t="shared" si="31"/>
        <v>0.42689999999993233</v>
      </c>
    </row>
    <row r="1588" spans="2:10" x14ac:dyDescent="0.2">
      <c r="B1588" s="92">
        <v>2.1916669999999998</v>
      </c>
      <c r="C1588" s="92">
        <v>805.47670000000005</v>
      </c>
      <c r="D1588" s="92">
        <v>131.06979999999999</v>
      </c>
      <c r="E1588" s="92"/>
      <c r="F1588" s="92">
        <v>2.1916669999999998</v>
      </c>
      <c r="G1588" s="92">
        <v>805.02970000000005</v>
      </c>
      <c r="H1588" s="92">
        <v>130.79490000000001</v>
      </c>
      <c r="I1588" s="92"/>
      <c r="J1588" s="93">
        <f t="shared" si="31"/>
        <v>0.44700000000000273</v>
      </c>
    </row>
    <row r="1589" spans="2:10" x14ac:dyDescent="0.2">
      <c r="B1589" s="92">
        <v>2.1930559999999999</v>
      </c>
      <c r="C1589" s="92">
        <v>805.50850000000003</v>
      </c>
      <c r="D1589" s="92">
        <v>131.07480000000001</v>
      </c>
      <c r="E1589" s="92"/>
      <c r="F1589" s="92">
        <v>2.1930559999999999</v>
      </c>
      <c r="G1589" s="92">
        <v>805.0018</v>
      </c>
      <c r="H1589" s="92">
        <v>130.79650000000001</v>
      </c>
      <c r="I1589" s="92"/>
      <c r="J1589" s="93">
        <f t="shared" si="31"/>
        <v>0.50670000000002346</v>
      </c>
    </row>
    <row r="1590" spans="2:10" x14ac:dyDescent="0.2">
      <c r="B1590" s="92">
        <v>2.1944439999999998</v>
      </c>
      <c r="C1590" s="92">
        <v>805.5539</v>
      </c>
      <c r="D1590" s="92">
        <v>131.06979999999999</v>
      </c>
      <c r="E1590" s="92"/>
      <c r="F1590" s="92">
        <v>2.1944439999999998</v>
      </c>
      <c r="G1590" s="92">
        <v>805.02970000000005</v>
      </c>
      <c r="H1590" s="92">
        <v>130.79490000000001</v>
      </c>
      <c r="I1590" s="92"/>
      <c r="J1590" s="93">
        <f t="shared" si="31"/>
        <v>0.52419999999995071</v>
      </c>
    </row>
    <row r="1591" spans="2:10" x14ac:dyDescent="0.2">
      <c r="B1591" s="92">
        <v>2.1958329999999999</v>
      </c>
      <c r="C1591" s="92">
        <v>805.50829999999996</v>
      </c>
      <c r="D1591" s="92">
        <v>131.06819999999999</v>
      </c>
      <c r="E1591" s="92"/>
      <c r="F1591" s="92">
        <v>2.1958329999999999</v>
      </c>
      <c r="G1591" s="92">
        <v>805.03660000000002</v>
      </c>
      <c r="H1591" s="92">
        <v>130.79150000000001</v>
      </c>
      <c r="I1591" s="92"/>
      <c r="J1591" s="93">
        <f t="shared" si="31"/>
        <v>0.47169999999994161</v>
      </c>
    </row>
    <row r="1592" spans="2:10" x14ac:dyDescent="0.2">
      <c r="B1592" s="92">
        <v>2.197222</v>
      </c>
      <c r="C1592" s="92">
        <v>805.471</v>
      </c>
      <c r="D1592" s="92">
        <v>131.06319999999999</v>
      </c>
      <c r="E1592" s="92"/>
      <c r="F1592" s="92">
        <v>2.197222</v>
      </c>
      <c r="G1592" s="92">
        <v>805.06</v>
      </c>
      <c r="H1592" s="92">
        <v>130.8015</v>
      </c>
      <c r="I1592" s="92"/>
      <c r="J1592" s="93">
        <f t="shared" si="31"/>
        <v>0.41100000000005821</v>
      </c>
    </row>
    <row r="1593" spans="2:10" x14ac:dyDescent="0.2">
      <c r="B1593" s="92">
        <v>2.1986110000000001</v>
      </c>
      <c r="C1593" s="92">
        <v>805.53179999999998</v>
      </c>
      <c r="D1593" s="92">
        <v>131.06979999999999</v>
      </c>
      <c r="E1593" s="92"/>
      <c r="F1593" s="92">
        <v>2.1986110000000001</v>
      </c>
      <c r="G1593" s="92">
        <v>805.02919999999995</v>
      </c>
      <c r="H1593" s="92">
        <v>130.79990000000001</v>
      </c>
      <c r="I1593" s="92"/>
      <c r="J1593" s="93">
        <f t="shared" si="31"/>
        <v>0.50260000000002947</v>
      </c>
    </row>
    <row r="1594" spans="2:10" x14ac:dyDescent="0.2">
      <c r="B1594" s="92">
        <v>2.2000000000000002</v>
      </c>
      <c r="C1594" s="92">
        <v>805.49749999999995</v>
      </c>
      <c r="D1594" s="92">
        <v>131.07480000000001</v>
      </c>
      <c r="E1594" s="92"/>
      <c r="F1594" s="92">
        <v>2.2000000000000002</v>
      </c>
      <c r="G1594" s="92">
        <v>805.02340000000004</v>
      </c>
      <c r="H1594" s="92">
        <v>130.79320000000001</v>
      </c>
      <c r="I1594" s="92"/>
      <c r="J1594" s="93">
        <f t="shared" si="31"/>
        <v>0.4740999999999076</v>
      </c>
    </row>
    <row r="1595" spans="2:10" x14ac:dyDescent="0.2">
      <c r="B1595" s="92">
        <v>2.2013889999999998</v>
      </c>
      <c r="C1595" s="92">
        <v>805.48220000000003</v>
      </c>
      <c r="D1595" s="92">
        <v>131.06979999999999</v>
      </c>
      <c r="E1595" s="92"/>
      <c r="F1595" s="92">
        <v>2.2013889999999998</v>
      </c>
      <c r="G1595" s="92">
        <v>805.03459999999995</v>
      </c>
      <c r="H1595" s="92">
        <v>130.79490000000001</v>
      </c>
      <c r="I1595" s="92"/>
      <c r="J1595" s="93">
        <f t="shared" si="31"/>
        <v>0.44760000000007949</v>
      </c>
    </row>
    <row r="1596" spans="2:10" x14ac:dyDescent="0.2">
      <c r="B1596" s="92">
        <v>2.2027779999999999</v>
      </c>
      <c r="C1596" s="92">
        <v>805.4846</v>
      </c>
      <c r="D1596" s="92">
        <v>131.0599</v>
      </c>
      <c r="E1596" s="92"/>
      <c r="F1596" s="92">
        <v>2.2027779999999999</v>
      </c>
      <c r="G1596" s="92">
        <v>805.01589999999999</v>
      </c>
      <c r="H1596" s="92">
        <v>130.8015</v>
      </c>
      <c r="I1596" s="92"/>
      <c r="J1596" s="93">
        <f t="shared" si="31"/>
        <v>0.46870000000001255</v>
      </c>
    </row>
    <row r="1597" spans="2:10" x14ac:dyDescent="0.2">
      <c r="B1597" s="92">
        <v>2.204167</v>
      </c>
      <c r="C1597" s="92">
        <v>805.48050000000001</v>
      </c>
      <c r="D1597" s="92">
        <v>131.0615</v>
      </c>
      <c r="E1597" s="92"/>
      <c r="F1597" s="92">
        <v>2.204167</v>
      </c>
      <c r="G1597" s="92">
        <v>805.07029999999997</v>
      </c>
      <c r="H1597" s="92">
        <v>130.79650000000001</v>
      </c>
      <c r="I1597" s="92"/>
      <c r="J1597" s="93">
        <f t="shared" si="31"/>
        <v>0.41020000000003165</v>
      </c>
    </row>
    <row r="1598" spans="2:10" x14ac:dyDescent="0.2">
      <c r="B1598" s="92">
        <v>2.2055560000000001</v>
      </c>
      <c r="C1598" s="92">
        <v>805.46950000000004</v>
      </c>
      <c r="D1598" s="92">
        <v>131.0615</v>
      </c>
      <c r="E1598" s="92"/>
      <c r="F1598" s="92">
        <v>2.2055560000000001</v>
      </c>
      <c r="G1598" s="92">
        <v>805.02279999999996</v>
      </c>
      <c r="H1598" s="92">
        <v>130.79820000000001</v>
      </c>
      <c r="I1598" s="92"/>
      <c r="J1598" s="93">
        <f t="shared" si="31"/>
        <v>0.44670000000007803</v>
      </c>
    </row>
    <row r="1599" spans="2:10" x14ac:dyDescent="0.2">
      <c r="B1599" s="92">
        <v>2.206944</v>
      </c>
      <c r="C1599" s="92">
        <v>805.46140000000003</v>
      </c>
      <c r="D1599" s="92">
        <v>131.06489999999999</v>
      </c>
      <c r="E1599" s="92"/>
      <c r="F1599" s="92">
        <v>2.206944</v>
      </c>
      <c r="G1599" s="92">
        <v>805.04190000000006</v>
      </c>
      <c r="H1599" s="92">
        <v>130.8032</v>
      </c>
      <c r="I1599" s="92"/>
      <c r="J1599" s="93">
        <f t="shared" si="31"/>
        <v>0.4194999999999709</v>
      </c>
    </row>
    <row r="1600" spans="2:10" x14ac:dyDescent="0.2">
      <c r="B1600" s="92">
        <v>2.2083330000000001</v>
      </c>
      <c r="C1600" s="92">
        <v>805.46690000000001</v>
      </c>
      <c r="D1600" s="92">
        <v>131.06489999999999</v>
      </c>
      <c r="E1600" s="92"/>
      <c r="F1600" s="92">
        <v>2.2083330000000001</v>
      </c>
      <c r="G1600" s="92">
        <v>805.02629999999999</v>
      </c>
      <c r="H1600" s="92">
        <v>130.79650000000001</v>
      </c>
      <c r="I1600" s="92"/>
      <c r="J1600" s="93">
        <f t="shared" si="31"/>
        <v>0.44060000000001764</v>
      </c>
    </row>
    <row r="1601" spans="2:10" x14ac:dyDescent="0.2">
      <c r="B1601" s="92">
        <v>2.2097220000000002</v>
      </c>
      <c r="C1601" s="92">
        <v>805.55240000000003</v>
      </c>
      <c r="D1601" s="92">
        <v>131.06819999999999</v>
      </c>
      <c r="E1601" s="92"/>
      <c r="F1601" s="92">
        <v>2.2097220000000002</v>
      </c>
      <c r="G1601" s="92">
        <v>805.02629999999999</v>
      </c>
      <c r="H1601" s="92">
        <v>130.79650000000001</v>
      </c>
      <c r="I1601" s="92"/>
      <c r="J1601" s="93">
        <f t="shared" si="31"/>
        <v>0.5261000000000422</v>
      </c>
    </row>
    <row r="1602" spans="2:10" x14ac:dyDescent="0.2">
      <c r="B1602" s="92">
        <v>2.2111109999999998</v>
      </c>
      <c r="C1602" s="92">
        <v>805.50300000000004</v>
      </c>
      <c r="D1602" s="92">
        <v>131.07480000000001</v>
      </c>
      <c r="E1602" s="92"/>
      <c r="F1602" s="92">
        <v>2.2111109999999998</v>
      </c>
      <c r="G1602" s="92">
        <v>805.05460000000005</v>
      </c>
      <c r="H1602" s="92">
        <v>130.8065</v>
      </c>
      <c r="I1602" s="92"/>
      <c r="J1602" s="93">
        <f t="shared" si="31"/>
        <v>0.44839999999999236</v>
      </c>
    </row>
    <row r="1603" spans="2:10" x14ac:dyDescent="0.2">
      <c r="B1603" s="92">
        <v>2.2124999999999999</v>
      </c>
      <c r="C1603" s="92">
        <v>805.55359999999996</v>
      </c>
      <c r="D1603" s="92">
        <v>131.06319999999999</v>
      </c>
      <c r="E1603" s="92"/>
      <c r="F1603" s="92">
        <v>2.2124999999999999</v>
      </c>
      <c r="G1603" s="92">
        <v>805.07809999999995</v>
      </c>
      <c r="H1603" s="92">
        <v>130.79990000000001</v>
      </c>
      <c r="I1603" s="92"/>
      <c r="J1603" s="93">
        <f t="shared" si="31"/>
        <v>0.47550000000001091</v>
      </c>
    </row>
    <row r="1604" spans="2:10" x14ac:dyDescent="0.2">
      <c r="B1604" s="92">
        <v>2.213889</v>
      </c>
      <c r="C1604" s="92">
        <v>805.59529999999995</v>
      </c>
      <c r="D1604" s="92">
        <v>131.07320000000001</v>
      </c>
      <c r="E1604" s="92"/>
      <c r="F1604" s="92">
        <v>2.213889</v>
      </c>
      <c r="G1604" s="92">
        <v>805.04039999999998</v>
      </c>
      <c r="H1604" s="92">
        <v>130.8015</v>
      </c>
      <c r="I1604" s="92"/>
      <c r="J1604" s="93">
        <f t="shared" si="31"/>
        <v>0.55489999999997508</v>
      </c>
    </row>
    <row r="1605" spans="2:10" x14ac:dyDescent="0.2">
      <c r="B1605" s="92">
        <v>2.2152780000000001</v>
      </c>
      <c r="C1605" s="92">
        <v>805.47519999999997</v>
      </c>
      <c r="D1605" s="92">
        <v>131.06819999999999</v>
      </c>
      <c r="E1605" s="92"/>
      <c r="F1605" s="92">
        <v>2.2152780000000001</v>
      </c>
      <c r="G1605" s="92">
        <v>805.02139999999997</v>
      </c>
      <c r="H1605" s="92">
        <v>130.79650000000001</v>
      </c>
      <c r="I1605" s="92"/>
      <c r="J1605" s="93">
        <f t="shared" si="31"/>
        <v>0.45380000000000109</v>
      </c>
    </row>
    <row r="1606" spans="2:10" x14ac:dyDescent="0.2">
      <c r="B1606" s="92">
        <v>2.2166670000000002</v>
      </c>
      <c r="C1606" s="92">
        <v>805.54280000000006</v>
      </c>
      <c r="D1606" s="92">
        <v>131.06979999999999</v>
      </c>
      <c r="E1606" s="92"/>
      <c r="F1606" s="92">
        <v>2.2166670000000002</v>
      </c>
      <c r="G1606" s="92">
        <v>805.05309999999997</v>
      </c>
      <c r="H1606" s="92">
        <v>130.8049</v>
      </c>
      <c r="I1606" s="92"/>
      <c r="J1606" s="93">
        <f t="shared" si="31"/>
        <v>0.4897000000000844</v>
      </c>
    </row>
    <row r="1607" spans="2:10" x14ac:dyDescent="0.2">
      <c r="B1607" s="92">
        <v>2.2180559999999998</v>
      </c>
      <c r="C1607" s="92">
        <v>805.54830000000004</v>
      </c>
      <c r="D1607" s="92">
        <v>131.06979999999999</v>
      </c>
      <c r="E1607" s="92"/>
      <c r="F1607" s="92">
        <v>2.2180559999999998</v>
      </c>
      <c r="G1607" s="92">
        <v>805.03210000000001</v>
      </c>
      <c r="H1607" s="92">
        <v>130.8032</v>
      </c>
      <c r="I1607" s="92"/>
      <c r="J1607" s="93">
        <f t="shared" si="31"/>
        <v>0.51620000000002619</v>
      </c>
    </row>
    <row r="1608" spans="2:10" x14ac:dyDescent="0.2">
      <c r="B1608" s="92">
        <v>2.2194440000000002</v>
      </c>
      <c r="C1608" s="92">
        <v>805.47119999999995</v>
      </c>
      <c r="D1608" s="92">
        <v>131.06979999999999</v>
      </c>
      <c r="E1608" s="92"/>
      <c r="F1608" s="92">
        <v>2.2194440000000002</v>
      </c>
      <c r="G1608" s="92">
        <v>805.05169999999998</v>
      </c>
      <c r="H1608" s="92">
        <v>130.8032</v>
      </c>
      <c r="I1608" s="92"/>
      <c r="J1608" s="93">
        <f t="shared" si="31"/>
        <v>0.4194999999999709</v>
      </c>
    </row>
    <row r="1609" spans="2:10" x14ac:dyDescent="0.2">
      <c r="B1609" s="92">
        <v>2.2208329999999998</v>
      </c>
      <c r="C1609" s="92">
        <v>805.46969999999999</v>
      </c>
      <c r="D1609" s="92">
        <v>131.06819999999999</v>
      </c>
      <c r="E1609" s="92"/>
      <c r="F1609" s="92">
        <v>2.2208329999999998</v>
      </c>
      <c r="G1609" s="92">
        <v>805.0453</v>
      </c>
      <c r="H1609" s="92">
        <v>130.8015</v>
      </c>
      <c r="I1609" s="92"/>
      <c r="J1609" s="93">
        <f t="shared" si="31"/>
        <v>0.42439999999999145</v>
      </c>
    </row>
    <row r="1610" spans="2:10" x14ac:dyDescent="0.2">
      <c r="B1610" s="92">
        <v>2.2222219999999999</v>
      </c>
      <c r="C1610" s="92">
        <v>805.50570000000005</v>
      </c>
      <c r="D1610" s="92">
        <v>131.07149999999999</v>
      </c>
      <c r="E1610" s="92"/>
      <c r="F1610" s="92">
        <v>2.2222219999999999</v>
      </c>
      <c r="G1610" s="92">
        <v>805.02919999999995</v>
      </c>
      <c r="H1610" s="92">
        <v>130.79990000000001</v>
      </c>
      <c r="I1610" s="92"/>
      <c r="J1610" s="93">
        <f t="shared" si="31"/>
        <v>0.47650000000010095</v>
      </c>
    </row>
    <row r="1611" spans="2:10" x14ac:dyDescent="0.2">
      <c r="B1611" s="92">
        <v>2.223611</v>
      </c>
      <c r="C1611" s="92">
        <v>805.46140000000003</v>
      </c>
      <c r="D1611" s="92">
        <v>131.06489999999999</v>
      </c>
      <c r="E1611" s="92"/>
      <c r="F1611" s="92">
        <v>2.223611</v>
      </c>
      <c r="G1611" s="92">
        <v>805.02229999999997</v>
      </c>
      <c r="H1611" s="92">
        <v>130.8032</v>
      </c>
      <c r="I1611" s="92"/>
      <c r="J1611" s="93">
        <f t="shared" ref="J1611:J1674" si="32">+ABS(G1611-C1611)</f>
        <v>0.43910000000005311</v>
      </c>
    </row>
    <row r="1612" spans="2:10" x14ac:dyDescent="0.2">
      <c r="B1612" s="92">
        <v>2.2250000000000001</v>
      </c>
      <c r="C1612" s="92">
        <v>805.50160000000005</v>
      </c>
      <c r="D1612" s="92">
        <v>131.07320000000001</v>
      </c>
      <c r="E1612" s="92"/>
      <c r="F1612" s="92">
        <v>2.2250000000000001</v>
      </c>
      <c r="G1612" s="92">
        <v>805.00760000000002</v>
      </c>
      <c r="H1612" s="92">
        <v>130.8032</v>
      </c>
      <c r="I1612" s="92"/>
      <c r="J1612" s="93">
        <f t="shared" si="32"/>
        <v>0.49400000000002819</v>
      </c>
    </row>
    <row r="1613" spans="2:10" x14ac:dyDescent="0.2">
      <c r="B1613" s="92">
        <v>2.2263890000000002</v>
      </c>
      <c r="C1613" s="92">
        <v>805.50710000000004</v>
      </c>
      <c r="D1613" s="92">
        <v>131.07320000000001</v>
      </c>
      <c r="E1613" s="92"/>
      <c r="F1613" s="92">
        <v>2.2263890000000002</v>
      </c>
      <c r="G1613" s="92">
        <v>805.0154</v>
      </c>
      <c r="H1613" s="92">
        <v>130.8065</v>
      </c>
      <c r="I1613" s="92"/>
      <c r="J1613" s="93">
        <f t="shared" si="32"/>
        <v>0.49170000000003711</v>
      </c>
    </row>
    <row r="1614" spans="2:10" x14ac:dyDescent="0.2">
      <c r="B1614" s="92">
        <v>2.2277779999999998</v>
      </c>
      <c r="C1614" s="92">
        <v>805.47379999999998</v>
      </c>
      <c r="D1614" s="92">
        <v>131.06649999999999</v>
      </c>
      <c r="E1614" s="92"/>
      <c r="F1614" s="92">
        <v>2.2277779999999998</v>
      </c>
      <c r="G1614" s="92">
        <v>805.03150000000005</v>
      </c>
      <c r="H1614" s="92">
        <v>130.8082</v>
      </c>
      <c r="I1614" s="92"/>
      <c r="J1614" s="93">
        <f t="shared" si="32"/>
        <v>0.44229999999993197</v>
      </c>
    </row>
    <row r="1615" spans="2:10" x14ac:dyDescent="0.2">
      <c r="B1615" s="92">
        <v>2.2291669999999999</v>
      </c>
      <c r="C1615" s="92">
        <v>805.46420000000001</v>
      </c>
      <c r="D1615" s="92">
        <v>131.06819999999999</v>
      </c>
      <c r="E1615" s="92"/>
      <c r="F1615" s="92">
        <v>2.2291669999999999</v>
      </c>
      <c r="G1615" s="92">
        <v>805.02080000000001</v>
      </c>
      <c r="H1615" s="92">
        <v>130.8015</v>
      </c>
      <c r="I1615" s="92"/>
      <c r="J1615" s="93">
        <f t="shared" si="32"/>
        <v>0.44339999999999691</v>
      </c>
    </row>
    <row r="1616" spans="2:10" x14ac:dyDescent="0.2">
      <c r="B1616" s="92">
        <v>2.230556</v>
      </c>
      <c r="C1616" s="92">
        <v>805.50829999999996</v>
      </c>
      <c r="D1616" s="92">
        <v>131.06819999999999</v>
      </c>
      <c r="E1616" s="92"/>
      <c r="F1616" s="92">
        <v>2.230556</v>
      </c>
      <c r="G1616" s="92">
        <v>805.04020000000003</v>
      </c>
      <c r="H1616" s="92">
        <v>130.81819999999999</v>
      </c>
      <c r="I1616" s="92"/>
      <c r="J1616" s="93">
        <f t="shared" si="32"/>
        <v>0.46809999999993579</v>
      </c>
    </row>
    <row r="1617" spans="2:10" x14ac:dyDescent="0.2">
      <c r="B1617" s="92">
        <v>2.2319439999999999</v>
      </c>
      <c r="C1617" s="92">
        <v>805.52239999999995</v>
      </c>
      <c r="D1617" s="92">
        <v>131.07810000000001</v>
      </c>
      <c r="E1617" s="92"/>
      <c r="F1617" s="92">
        <v>2.2319439999999999</v>
      </c>
      <c r="G1617" s="92">
        <v>805.02170000000001</v>
      </c>
      <c r="H1617" s="92">
        <v>130.8082</v>
      </c>
      <c r="I1617" s="92"/>
      <c r="J1617" s="93">
        <f t="shared" si="32"/>
        <v>0.50069999999993797</v>
      </c>
    </row>
    <row r="1618" spans="2:10" x14ac:dyDescent="0.2">
      <c r="B1618" s="92">
        <v>2.233333</v>
      </c>
      <c r="C1618" s="92">
        <v>805.49609999999996</v>
      </c>
      <c r="D1618" s="92">
        <v>131.07320000000001</v>
      </c>
      <c r="E1618" s="92"/>
      <c r="F1618" s="92">
        <v>2.233333</v>
      </c>
      <c r="G1618" s="92">
        <v>805.00810000000001</v>
      </c>
      <c r="H1618" s="92">
        <v>130.79820000000001</v>
      </c>
      <c r="I1618" s="92"/>
      <c r="J1618" s="93">
        <f t="shared" si="32"/>
        <v>0.4879999999999427</v>
      </c>
    </row>
    <row r="1619" spans="2:10" x14ac:dyDescent="0.2">
      <c r="B1619" s="92">
        <v>2.2347220000000001</v>
      </c>
      <c r="C1619" s="92">
        <v>805.48220000000003</v>
      </c>
      <c r="D1619" s="92">
        <v>131.06979999999999</v>
      </c>
      <c r="E1619" s="92"/>
      <c r="F1619" s="92">
        <v>2.2347220000000001</v>
      </c>
      <c r="G1619" s="92">
        <v>805.01250000000005</v>
      </c>
      <c r="H1619" s="92">
        <v>130.8032</v>
      </c>
      <c r="I1619" s="92"/>
      <c r="J1619" s="93">
        <f t="shared" si="32"/>
        <v>0.4696999999999889</v>
      </c>
    </row>
    <row r="1620" spans="2:10" x14ac:dyDescent="0.2">
      <c r="B1620" s="92">
        <v>2.2361110000000002</v>
      </c>
      <c r="C1620" s="92">
        <v>805.51139999999998</v>
      </c>
      <c r="D1620" s="92">
        <v>131.07810000000001</v>
      </c>
      <c r="E1620" s="92"/>
      <c r="F1620" s="92">
        <v>2.2361110000000002</v>
      </c>
      <c r="G1620" s="92">
        <v>805.01589999999999</v>
      </c>
      <c r="H1620" s="92">
        <v>130.8015</v>
      </c>
      <c r="I1620" s="92"/>
      <c r="J1620" s="93">
        <f t="shared" si="32"/>
        <v>0.49549999999999272</v>
      </c>
    </row>
    <row r="1621" spans="2:10" x14ac:dyDescent="0.2">
      <c r="B1621" s="92">
        <v>2.2374999999999998</v>
      </c>
      <c r="C1621" s="92">
        <v>805.50160000000005</v>
      </c>
      <c r="D1621" s="92">
        <v>131.07320000000001</v>
      </c>
      <c r="E1621" s="92"/>
      <c r="F1621" s="92">
        <v>2.2374999999999998</v>
      </c>
      <c r="G1621" s="92">
        <v>805.02570000000003</v>
      </c>
      <c r="H1621" s="92">
        <v>130.8015</v>
      </c>
      <c r="I1621" s="92"/>
      <c r="J1621" s="93">
        <f t="shared" si="32"/>
        <v>0.47590000000002419</v>
      </c>
    </row>
    <row r="1622" spans="2:10" x14ac:dyDescent="0.2">
      <c r="B1622" s="92">
        <v>2.2388889999999999</v>
      </c>
      <c r="C1622" s="92">
        <v>805.5249</v>
      </c>
      <c r="D1622" s="92">
        <v>131.06819999999999</v>
      </c>
      <c r="E1622" s="92"/>
      <c r="F1622" s="92">
        <v>2.2388889999999999</v>
      </c>
      <c r="G1622" s="92">
        <v>805.0566</v>
      </c>
      <c r="H1622" s="92">
        <v>130.8032</v>
      </c>
      <c r="I1622" s="92"/>
      <c r="J1622" s="93">
        <f t="shared" si="32"/>
        <v>0.46829999999999927</v>
      </c>
    </row>
    <row r="1623" spans="2:10" x14ac:dyDescent="0.2">
      <c r="B1623" s="92">
        <v>2.240278</v>
      </c>
      <c r="C1623" s="92">
        <v>805.50980000000004</v>
      </c>
      <c r="D1623" s="92">
        <v>131.06979999999999</v>
      </c>
      <c r="E1623" s="92"/>
      <c r="F1623" s="92">
        <v>2.240278</v>
      </c>
      <c r="G1623" s="92">
        <v>805.04480000000001</v>
      </c>
      <c r="H1623" s="92">
        <v>130.8065</v>
      </c>
      <c r="I1623" s="92"/>
      <c r="J1623" s="93">
        <f t="shared" si="32"/>
        <v>0.46500000000003183</v>
      </c>
    </row>
    <row r="1624" spans="2:10" x14ac:dyDescent="0.2">
      <c r="B1624" s="92">
        <v>2.2416670000000001</v>
      </c>
      <c r="C1624" s="92">
        <v>805.50829999999996</v>
      </c>
      <c r="D1624" s="92">
        <v>131.06819999999999</v>
      </c>
      <c r="E1624" s="92"/>
      <c r="F1624" s="92">
        <v>2.2416670000000001</v>
      </c>
      <c r="G1624" s="92">
        <v>805.03300000000002</v>
      </c>
      <c r="H1624" s="92">
        <v>130.8099</v>
      </c>
      <c r="I1624" s="92"/>
      <c r="J1624" s="93">
        <f t="shared" si="32"/>
        <v>0.47529999999994743</v>
      </c>
    </row>
    <row r="1625" spans="2:10" x14ac:dyDescent="0.2">
      <c r="B1625" s="92">
        <v>2.2430560000000002</v>
      </c>
      <c r="C1625" s="92">
        <v>805.49300000000005</v>
      </c>
      <c r="D1625" s="92">
        <v>131.06319999999999</v>
      </c>
      <c r="E1625" s="92"/>
      <c r="F1625" s="92">
        <v>2.2430560000000002</v>
      </c>
      <c r="G1625" s="92">
        <v>805.02520000000004</v>
      </c>
      <c r="H1625" s="92">
        <v>130.8065</v>
      </c>
      <c r="I1625" s="92"/>
      <c r="J1625" s="93">
        <f t="shared" si="32"/>
        <v>0.4678000000000111</v>
      </c>
    </row>
    <row r="1626" spans="2:10" x14ac:dyDescent="0.2">
      <c r="B1626" s="92">
        <v>2.2444440000000001</v>
      </c>
      <c r="C1626" s="92">
        <v>805.46010000000001</v>
      </c>
      <c r="D1626" s="92">
        <v>131.06979999999999</v>
      </c>
      <c r="E1626" s="92"/>
      <c r="F1626" s="92">
        <v>2.2444440000000001</v>
      </c>
      <c r="G1626" s="92">
        <v>805.06380000000001</v>
      </c>
      <c r="H1626" s="92">
        <v>130.8115</v>
      </c>
      <c r="I1626" s="92"/>
      <c r="J1626" s="93">
        <f t="shared" si="32"/>
        <v>0.39629999999999654</v>
      </c>
    </row>
    <row r="1627" spans="2:10" x14ac:dyDescent="0.2">
      <c r="B1627" s="92">
        <v>2.2458330000000002</v>
      </c>
      <c r="C1627" s="92">
        <v>805.56489999999997</v>
      </c>
      <c r="D1627" s="92">
        <v>131.06979999999999</v>
      </c>
      <c r="E1627" s="92"/>
      <c r="F1627" s="92">
        <v>2.2458330000000002</v>
      </c>
      <c r="G1627" s="92">
        <v>805.02319999999997</v>
      </c>
      <c r="H1627" s="92">
        <v>130.8099</v>
      </c>
      <c r="I1627" s="92"/>
      <c r="J1627" s="93">
        <f t="shared" si="32"/>
        <v>0.54169999999999163</v>
      </c>
    </row>
    <row r="1628" spans="2:10" x14ac:dyDescent="0.2">
      <c r="B1628" s="92">
        <v>2.2472219999999998</v>
      </c>
      <c r="C1628" s="92">
        <v>805.55240000000003</v>
      </c>
      <c r="D1628" s="92">
        <v>131.06819999999999</v>
      </c>
      <c r="E1628" s="92"/>
      <c r="F1628" s="92">
        <v>2.2472219999999998</v>
      </c>
      <c r="G1628" s="92">
        <v>804.98950000000002</v>
      </c>
      <c r="H1628" s="92">
        <v>130.8049</v>
      </c>
      <c r="I1628" s="92"/>
      <c r="J1628" s="93">
        <f t="shared" si="32"/>
        <v>0.56290000000001328</v>
      </c>
    </row>
    <row r="1629" spans="2:10" x14ac:dyDescent="0.2">
      <c r="B1629" s="92">
        <v>2.2486109999999999</v>
      </c>
      <c r="C1629" s="92">
        <v>805.47519999999997</v>
      </c>
      <c r="D1629" s="92">
        <v>131.06819999999999</v>
      </c>
      <c r="E1629" s="92"/>
      <c r="F1629" s="92">
        <v>2.2486109999999999</v>
      </c>
      <c r="G1629" s="92">
        <v>805.03700000000003</v>
      </c>
      <c r="H1629" s="92">
        <v>130.8032</v>
      </c>
      <c r="I1629" s="92"/>
      <c r="J1629" s="93">
        <f t="shared" si="32"/>
        <v>0.43819999999993797</v>
      </c>
    </row>
    <row r="1630" spans="2:10" x14ac:dyDescent="0.2">
      <c r="B1630" s="92">
        <v>2.25</v>
      </c>
      <c r="C1630" s="92">
        <v>805.54020000000003</v>
      </c>
      <c r="D1630" s="92">
        <v>131.07320000000001</v>
      </c>
      <c r="E1630" s="92"/>
      <c r="F1630" s="92">
        <v>2.25</v>
      </c>
      <c r="G1630" s="92">
        <v>805.05309999999997</v>
      </c>
      <c r="H1630" s="92">
        <v>130.8049</v>
      </c>
      <c r="I1630" s="92"/>
      <c r="J1630" s="93">
        <f t="shared" si="32"/>
        <v>0.48710000000005493</v>
      </c>
    </row>
    <row r="1631" spans="2:10" x14ac:dyDescent="0.2">
      <c r="B1631" s="92">
        <v>2.2513890000000001</v>
      </c>
      <c r="C1631" s="92">
        <v>805.51260000000002</v>
      </c>
      <c r="D1631" s="92">
        <v>131.07320000000001</v>
      </c>
      <c r="E1631" s="92"/>
      <c r="F1631" s="92">
        <v>2.2513890000000001</v>
      </c>
      <c r="G1631" s="92">
        <v>805.06629999999996</v>
      </c>
      <c r="H1631" s="92">
        <v>130.8032</v>
      </c>
      <c r="I1631" s="92"/>
      <c r="J1631" s="93">
        <f t="shared" si="32"/>
        <v>0.44630000000006476</v>
      </c>
    </row>
    <row r="1632" spans="2:10" x14ac:dyDescent="0.2">
      <c r="B1632" s="92">
        <v>2.2527780000000002</v>
      </c>
      <c r="C1632" s="92">
        <v>805.45320000000004</v>
      </c>
      <c r="D1632" s="92">
        <v>131.06819999999999</v>
      </c>
      <c r="E1632" s="92"/>
      <c r="F1632" s="92">
        <v>2.2527780000000002</v>
      </c>
      <c r="G1632" s="92">
        <v>805.02170000000001</v>
      </c>
      <c r="H1632" s="92">
        <v>130.8082</v>
      </c>
      <c r="I1632" s="92"/>
      <c r="J1632" s="93">
        <f t="shared" si="32"/>
        <v>0.43150000000002819</v>
      </c>
    </row>
    <row r="1633" spans="2:10" x14ac:dyDescent="0.2">
      <c r="B1633" s="92">
        <v>2.2541669999999998</v>
      </c>
      <c r="C1633" s="92">
        <v>805.47119999999995</v>
      </c>
      <c r="D1633" s="92">
        <v>131.06979999999999</v>
      </c>
      <c r="E1633" s="92"/>
      <c r="F1633" s="92">
        <v>2.2541669999999998</v>
      </c>
      <c r="G1633" s="92">
        <v>805.04330000000004</v>
      </c>
      <c r="H1633" s="92">
        <v>130.8049</v>
      </c>
      <c r="I1633" s="92"/>
      <c r="J1633" s="93">
        <f t="shared" si="32"/>
        <v>0.42789999999990869</v>
      </c>
    </row>
    <row r="1634" spans="2:10" x14ac:dyDescent="0.2">
      <c r="B1634" s="92">
        <v>2.2555559999999999</v>
      </c>
      <c r="C1634" s="92">
        <v>805.52530000000002</v>
      </c>
      <c r="D1634" s="92">
        <v>131.08150000000001</v>
      </c>
      <c r="E1634" s="92"/>
      <c r="F1634" s="92">
        <v>2.2555559999999999</v>
      </c>
      <c r="G1634" s="92">
        <v>805.05020000000002</v>
      </c>
      <c r="H1634" s="92">
        <v>130.8015</v>
      </c>
      <c r="I1634" s="92"/>
      <c r="J1634" s="93">
        <f t="shared" si="32"/>
        <v>0.47509999999999764</v>
      </c>
    </row>
    <row r="1635" spans="2:10" x14ac:dyDescent="0.2">
      <c r="B1635" s="92">
        <v>2.2569439999999998</v>
      </c>
      <c r="C1635" s="92">
        <v>805.4973</v>
      </c>
      <c r="D1635" s="92">
        <v>131.06819999999999</v>
      </c>
      <c r="E1635" s="92"/>
      <c r="F1635" s="92">
        <v>2.2569439999999998</v>
      </c>
      <c r="G1635" s="92">
        <v>805.05889999999999</v>
      </c>
      <c r="H1635" s="92">
        <v>130.8115</v>
      </c>
      <c r="I1635" s="92"/>
      <c r="J1635" s="93">
        <f t="shared" si="32"/>
        <v>0.43840000000000146</v>
      </c>
    </row>
    <row r="1636" spans="2:10" x14ac:dyDescent="0.2">
      <c r="B1636" s="92">
        <v>2.2583329999999999</v>
      </c>
      <c r="C1636" s="92">
        <v>805.49869999999999</v>
      </c>
      <c r="D1636" s="92">
        <v>131.06979999999999</v>
      </c>
      <c r="E1636" s="92"/>
      <c r="F1636" s="92">
        <v>2.2583329999999999</v>
      </c>
      <c r="G1636" s="92">
        <v>805.00699999999995</v>
      </c>
      <c r="H1636" s="92">
        <v>130.8082</v>
      </c>
      <c r="I1636" s="92"/>
      <c r="J1636" s="93">
        <f t="shared" si="32"/>
        <v>0.49170000000003711</v>
      </c>
    </row>
    <row r="1637" spans="2:10" x14ac:dyDescent="0.2">
      <c r="B1637" s="92">
        <v>2.259722</v>
      </c>
      <c r="C1637" s="92">
        <v>805.47929999999997</v>
      </c>
      <c r="D1637" s="92">
        <v>131.06649999999999</v>
      </c>
      <c r="E1637" s="92"/>
      <c r="F1637" s="92">
        <v>2.259722</v>
      </c>
      <c r="G1637" s="92">
        <v>805.02719999999999</v>
      </c>
      <c r="H1637" s="92">
        <v>130.8032</v>
      </c>
      <c r="I1637" s="92"/>
      <c r="J1637" s="93">
        <f t="shared" si="32"/>
        <v>0.45209999999997308</v>
      </c>
    </row>
    <row r="1638" spans="2:10" x14ac:dyDescent="0.2">
      <c r="B1638" s="92">
        <v>2.2611110000000001</v>
      </c>
      <c r="C1638" s="92">
        <v>805.51670000000001</v>
      </c>
      <c r="D1638" s="92">
        <v>131.07149999999999</v>
      </c>
      <c r="E1638" s="92"/>
      <c r="F1638" s="92">
        <v>2.2611110000000001</v>
      </c>
      <c r="G1638" s="92">
        <v>805.03549999999996</v>
      </c>
      <c r="H1638" s="92">
        <v>130.8015</v>
      </c>
      <c r="I1638" s="92"/>
      <c r="J1638" s="93">
        <f t="shared" si="32"/>
        <v>0.48120000000005803</v>
      </c>
    </row>
    <row r="1639" spans="2:10" x14ac:dyDescent="0.2">
      <c r="B1639" s="92">
        <v>2.2625000000000002</v>
      </c>
      <c r="C1639" s="92">
        <v>805.53200000000004</v>
      </c>
      <c r="D1639" s="92">
        <v>131.07650000000001</v>
      </c>
      <c r="E1639" s="92"/>
      <c r="F1639" s="92">
        <v>2.2625000000000002</v>
      </c>
      <c r="G1639" s="92">
        <v>805.01390000000004</v>
      </c>
      <c r="H1639" s="92">
        <v>130.8049</v>
      </c>
      <c r="I1639" s="92"/>
      <c r="J1639" s="93">
        <f t="shared" si="32"/>
        <v>0.518100000000004</v>
      </c>
    </row>
    <row r="1640" spans="2:10" x14ac:dyDescent="0.2">
      <c r="B1640" s="92">
        <v>2.2638889999999998</v>
      </c>
      <c r="C1640" s="92">
        <v>805.52650000000006</v>
      </c>
      <c r="D1640" s="92">
        <v>131.07650000000001</v>
      </c>
      <c r="E1640" s="92"/>
      <c r="F1640" s="92">
        <v>2.2638889999999998</v>
      </c>
      <c r="G1640" s="92">
        <v>805.02660000000003</v>
      </c>
      <c r="H1640" s="92">
        <v>130.8082</v>
      </c>
      <c r="I1640" s="92"/>
      <c r="J1640" s="93">
        <f t="shared" si="32"/>
        <v>0.4999000000000251</v>
      </c>
    </row>
    <row r="1641" spans="2:10" x14ac:dyDescent="0.2">
      <c r="B1641" s="92">
        <v>2.2652779999999999</v>
      </c>
      <c r="C1641" s="92">
        <v>805.55100000000004</v>
      </c>
      <c r="D1641" s="92">
        <v>131.06649999999999</v>
      </c>
      <c r="E1641" s="92"/>
      <c r="F1641" s="92">
        <v>2.2652779999999999</v>
      </c>
      <c r="G1641" s="92">
        <v>805.0471</v>
      </c>
      <c r="H1641" s="92">
        <v>130.81479999999999</v>
      </c>
      <c r="I1641" s="92"/>
      <c r="J1641" s="93">
        <f t="shared" si="32"/>
        <v>0.5039000000000442</v>
      </c>
    </row>
    <row r="1642" spans="2:10" x14ac:dyDescent="0.2">
      <c r="B1642" s="92">
        <v>2.266667</v>
      </c>
      <c r="C1642" s="92">
        <v>805.53200000000004</v>
      </c>
      <c r="D1642" s="92">
        <v>131.07650000000001</v>
      </c>
      <c r="E1642" s="92"/>
      <c r="F1642" s="92">
        <v>2.266667</v>
      </c>
      <c r="G1642" s="92">
        <v>805.07069999999999</v>
      </c>
      <c r="H1642" s="92">
        <v>130.8082</v>
      </c>
      <c r="I1642" s="92"/>
      <c r="J1642" s="93">
        <f t="shared" si="32"/>
        <v>0.46130000000005111</v>
      </c>
    </row>
    <row r="1643" spans="2:10" x14ac:dyDescent="0.2">
      <c r="B1643" s="92">
        <v>2.2680560000000001</v>
      </c>
      <c r="C1643" s="92">
        <v>805.47929999999997</v>
      </c>
      <c r="D1643" s="92">
        <v>131.06649999999999</v>
      </c>
      <c r="E1643" s="92"/>
      <c r="F1643" s="92">
        <v>2.2680560000000001</v>
      </c>
      <c r="G1643" s="92">
        <v>804.99980000000005</v>
      </c>
      <c r="H1643" s="92">
        <v>130.79990000000001</v>
      </c>
      <c r="I1643" s="92"/>
      <c r="J1643" s="93">
        <f t="shared" si="32"/>
        <v>0.47949999999991633</v>
      </c>
    </row>
    <row r="1644" spans="2:10" x14ac:dyDescent="0.2">
      <c r="B1644" s="92">
        <v>2.269444</v>
      </c>
      <c r="C1644" s="92">
        <v>805.48509999999999</v>
      </c>
      <c r="D1644" s="92">
        <v>131.07320000000001</v>
      </c>
      <c r="E1644" s="92"/>
      <c r="F1644" s="92">
        <v>2.269444</v>
      </c>
      <c r="G1644" s="92">
        <v>805.02030000000002</v>
      </c>
      <c r="H1644" s="92">
        <v>130.8065</v>
      </c>
      <c r="I1644" s="92"/>
      <c r="J1644" s="93">
        <f t="shared" si="32"/>
        <v>0.46479999999996835</v>
      </c>
    </row>
    <row r="1645" spans="2:10" x14ac:dyDescent="0.2">
      <c r="B1645" s="92">
        <v>2.2708330000000001</v>
      </c>
      <c r="C1645" s="92">
        <v>805.51260000000002</v>
      </c>
      <c r="D1645" s="92">
        <v>131.07320000000001</v>
      </c>
      <c r="E1645" s="92"/>
      <c r="F1645" s="92">
        <v>2.2708330000000001</v>
      </c>
      <c r="G1645" s="92">
        <v>805.02570000000003</v>
      </c>
      <c r="H1645" s="92">
        <v>130.8015</v>
      </c>
      <c r="I1645" s="92"/>
      <c r="J1645" s="93">
        <f t="shared" si="32"/>
        <v>0.48689999999999145</v>
      </c>
    </row>
    <row r="1646" spans="2:10" x14ac:dyDescent="0.2">
      <c r="B1646" s="92">
        <v>2.2722220000000002</v>
      </c>
      <c r="C1646" s="92">
        <v>805.47550000000001</v>
      </c>
      <c r="D1646" s="92">
        <v>131.07480000000001</v>
      </c>
      <c r="E1646" s="92"/>
      <c r="F1646" s="92">
        <v>2.2722220000000002</v>
      </c>
      <c r="G1646" s="92">
        <v>805.03009999999995</v>
      </c>
      <c r="H1646" s="92">
        <v>130.8065</v>
      </c>
      <c r="I1646" s="92"/>
      <c r="J1646" s="93">
        <f t="shared" si="32"/>
        <v>0.4454000000000633</v>
      </c>
    </row>
    <row r="1647" spans="2:10" x14ac:dyDescent="0.2">
      <c r="B1647" s="92">
        <v>2.2736109999999998</v>
      </c>
      <c r="C1647" s="92">
        <v>805.50570000000005</v>
      </c>
      <c r="D1647" s="92">
        <v>131.07149999999999</v>
      </c>
      <c r="E1647" s="92"/>
      <c r="F1647" s="92">
        <v>2.2736109999999998</v>
      </c>
      <c r="G1647" s="92">
        <v>805.05309999999997</v>
      </c>
      <c r="H1647" s="92">
        <v>130.8049</v>
      </c>
      <c r="I1647" s="92"/>
      <c r="J1647" s="93">
        <f t="shared" si="32"/>
        <v>0.45260000000007494</v>
      </c>
    </row>
    <row r="1648" spans="2:10" x14ac:dyDescent="0.2">
      <c r="B1648" s="92">
        <v>2.2749999999999999</v>
      </c>
      <c r="C1648" s="92">
        <v>805.49490000000003</v>
      </c>
      <c r="D1648" s="92">
        <v>131.07810000000001</v>
      </c>
      <c r="E1648" s="92"/>
      <c r="F1648" s="92">
        <v>2.2749999999999999</v>
      </c>
      <c r="G1648" s="92">
        <v>805.00760000000002</v>
      </c>
      <c r="H1648" s="92">
        <v>130.8032</v>
      </c>
      <c r="I1648" s="92"/>
      <c r="J1648" s="93">
        <f t="shared" si="32"/>
        <v>0.48730000000000473</v>
      </c>
    </row>
    <row r="1649" spans="2:10" x14ac:dyDescent="0.2">
      <c r="B1649" s="92">
        <v>2.276389</v>
      </c>
      <c r="C1649" s="92">
        <v>805.49059999999997</v>
      </c>
      <c r="D1649" s="92">
        <v>131.07320000000001</v>
      </c>
      <c r="E1649" s="92"/>
      <c r="F1649" s="92">
        <v>2.276389</v>
      </c>
      <c r="G1649" s="92">
        <v>805.05510000000004</v>
      </c>
      <c r="H1649" s="92">
        <v>130.8015</v>
      </c>
      <c r="I1649" s="92"/>
      <c r="J1649" s="93">
        <f t="shared" si="32"/>
        <v>0.43549999999993361</v>
      </c>
    </row>
    <row r="1650" spans="2:10" x14ac:dyDescent="0.2">
      <c r="B1650" s="92">
        <v>2.2777780000000001</v>
      </c>
      <c r="C1650" s="92">
        <v>805.50040000000001</v>
      </c>
      <c r="D1650" s="92">
        <v>131.07810000000001</v>
      </c>
      <c r="E1650" s="92"/>
      <c r="F1650" s="92">
        <v>2.2777780000000001</v>
      </c>
      <c r="G1650" s="92">
        <v>804.9846</v>
      </c>
      <c r="H1650" s="92">
        <v>130.8049</v>
      </c>
      <c r="I1650" s="92"/>
      <c r="J1650" s="93">
        <f t="shared" si="32"/>
        <v>0.51580000000001291</v>
      </c>
    </row>
    <row r="1651" spans="2:10" x14ac:dyDescent="0.2">
      <c r="B1651" s="92">
        <v>2.2791670000000002</v>
      </c>
      <c r="C1651" s="92">
        <v>805.54859999999996</v>
      </c>
      <c r="D1651" s="92">
        <v>131.07650000000001</v>
      </c>
      <c r="E1651" s="92"/>
      <c r="F1651" s="92">
        <v>2.2791670000000002</v>
      </c>
      <c r="G1651" s="92">
        <v>805.03549999999996</v>
      </c>
      <c r="H1651" s="92">
        <v>130.8015</v>
      </c>
      <c r="I1651" s="92"/>
      <c r="J1651" s="93">
        <f t="shared" si="32"/>
        <v>0.51310000000000855</v>
      </c>
    </row>
    <row r="1652" spans="2:10" x14ac:dyDescent="0.2">
      <c r="B1652" s="92">
        <v>2.2805559999999998</v>
      </c>
      <c r="C1652" s="92">
        <v>805.53060000000005</v>
      </c>
      <c r="D1652" s="92">
        <v>131.07480000000001</v>
      </c>
      <c r="E1652" s="92"/>
      <c r="F1652" s="92">
        <v>2.2805559999999998</v>
      </c>
      <c r="G1652" s="92">
        <v>805.04190000000006</v>
      </c>
      <c r="H1652" s="92">
        <v>130.8032</v>
      </c>
      <c r="I1652" s="92"/>
      <c r="J1652" s="93">
        <f t="shared" si="32"/>
        <v>0.48869999999999436</v>
      </c>
    </row>
    <row r="1653" spans="2:10" x14ac:dyDescent="0.2">
      <c r="B1653" s="92">
        <v>2.2819440000000002</v>
      </c>
      <c r="C1653" s="92">
        <v>805.48530000000005</v>
      </c>
      <c r="D1653" s="92">
        <v>131.07980000000001</v>
      </c>
      <c r="E1653" s="92"/>
      <c r="F1653" s="92">
        <v>2.2819440000000002</v>
      </c>
      <c r="G1653" s="92">
        <v>805.05799999999999</v>
      </c>
      <c r="H1653" s="92">
        <v>130.8049</v>
      </c>
      <c r="I1653" s="92"/>
      <c r="J1653" s="93">
        <f t="shared" si="32"/>
        <v>0.4273000000000593</v>
      </c>
    </row>
    <row r="1654" spans="2:10" x14ac:dyDescent="0.2">
      <c r="B1654" s="92">
        <v>2.2833329999999998</v>
      </c>
      <c r="C1654" s="92">
        <v>805.45889999999997</v>
      </c>
      <c r="D1654" s="92">
        <v>131.07480000000001</v>
      </c>
      <c r="E1654" s="92"/>
      <c r="F1654" s="92">
        <v>2.2833329999999998</v>
      </c>
      <c r="G1654" s="92">
        <v>805.04390000000001</v>
      </c>
      <c r="H1654" s="92">
        <v>130.79990000000001</v>
      </c>
      <c r="I1654" s="92"/>
      <c r="J1654" s="93">
        <f t="shared" si="32"/>
        <v>0.41499999999996362</v>
      </c>
    </row>
    <row r="1655" spans="2:10" x14ac:dyDescent="0.2">
      <c r="B1655" s="92">
        <v>2.2847219999999999</v>
      </c>
      <c r="C1655" s="92">
        <v>805.49749999999995</v>
      </c>
      <c r="D1655" s="92">
        <v>131.07480000000001</v>
      </c>
      <c r="E1655" s="92"/>
      <c r="F1655" s="92">
        <v>2.2847219999999999</v>
      </c>
      <c r="G1655" s="92">
        <v>804.99429999999995</v>
      </c>
      <c r="H1655" s="92">
        <v>130.8049</v>
      </c>
      <c r="I1655" s="92"/>
      <c r="J1655" s="93">
        <f t="shared" si="32"/>
        <v>0.50319999999999254</v>
      </c>
    </row>
    <row r="1656" spans="2:10" x14ac:dyDescent="0.2">
      <c r="B1656" s="92">
        <v>2.286111</v>
      </c>
      <c r="C1656" s="92">
        <v>805.4973</v>
      </c>
      <c r="D1656" s="92">
        <v>131.06819999999999</v>
      </c>
      <c r="E1656" s="92"/>
      <c r="F1656" s="92">
        <v>2.286111</v>
      </c>
      <c r="G1656" s="92">
        <v>805.06780000000003</v>
      </c>
      <c r="H1656" s="92">
        <v>130.8049</v>
      </c>
      <c r="I1656" s="92"/>
      <c r="J1656" s="93">
        <f t="shared" si="32"/>
        <v>0.4294999999999618</v>
      </c>
    </row>
    <row r="1657" spans="2:10" x14ac:dyDescent="0.2">
      <c r="B1657" s="92">
        <v>2.2875000000000001</v>
      </c>
      <c r="C1657" s="92">
        <v>805.53899999999999</v>
      </c>
      <c r="D1657" s="92">
        <v>131.07810000000001</v>
      </c>
      <c r="E1657" s="92"/>
      <c r="F1657" s="92">
        <v>2.2875000000000001</v>
      </c>
      <c r="G1657" s="92">
        <v>805.01250000000005</v>
      </c>
      <c r="H1657" s="92">
        <v>130.8032</v>
      </c>
      <c r="I1657" s="92"/>
      <c r="J1657" s="93">
        <f t="shared" si="32"/>
        <v>0.52649999999994179</v>
      </c>
    </row>
    <row r="1658" spans="2:10" x14ac:dyDescent="0.2">
      <c r="B1658" s="92">
        <v>2.2888890000000002</v>
      </c>
      <c r="C1658" s="92">
        <v>805.48239999999998</v>
      </c>
      <c r="D1658" s="92">
        <v>131.07650000000001</v>
      </c>
      <c r="E1658" s="92"/>
      <c r="F1658" s="92">
        <v>2.2888890000000002</v>
      </c>
      <c r="G1658" s="92">
        <v>805.01880000000006</v>
      </c>
      <c r="H1658" s="92">
        <v>130.8049</v>
      </c>
      <c r="I1658" s="92"/>
      <c r="J1658" s="93">
        <f t="shared" si="32"/>
        <v>0.46359999999992851</v>
      </c>
    </row>
    <row r="1659" spans="2:10" x14ac:dyDescent="0.2">
      <c r="B1659" s="92">
        <v>2.2902779999999998</v>
      </c>
      <c r="C1659" s="92">
        <v>805.48099999999999</v>
      </c>
      <c r="D1659" s="92">
        <v>131.07480000000001</v>
      </c>
      <c r="E1659" s="92"/>
      <c r="F1659" s="92">
        <v>2.2902779999999998</v>
      </c>
      <c r="G1659" s="92">
        <v>805.0462</v>
      </c>
      <c r="H1659" s="92">
        <v>130.8082</v>
      </c>
      <c r="I1659" s="92"/>
      <c r="J1659" s="93">
        <f t="shared" si="32"/>
        <v>0.43479999999999563</v>
      </c>
    </row>
    <row r="1660" spans="2:10" x14ac:dyDescent="0.2">
      <c r="B1660" s="92">
        <v>2.2916669999999999</v>
      </c>
      <c r="C1660" s="92">
        <v>805.50419999999997</v>
      </c>
      <c r="D1660" s="92">
        <v>131.06979999999999</v>
      </c>
      <c r="E1660" s="92"/>
      <c r="F1660" s="92">
        <v>2.2916669999999999</v>
      </c>
      <c r="G1660" s="92">
        <v>805.0566</v>
      </c>
      <c r="H1660" s="92">
        <v>130.8032</v>
      </c>
      <c r="I1660" s="92"/>
      <c r="J1660" s="93">
        <f t="shared" si="32"/>
        <v>0.4475999999999658</v>
      </c>
    </row>
    <row r="1661" spans="2:10" x14ac:dyDescent="0.2">
      <c r="B1661" s="92">
        <v>2.293056</v>
      </c>
      <c r="C1661" s="92">
        <v>805.53750000000002</v>
      </c>
      <c r="D1661" s="92">
        <v>131.07650000000001</v>
      </c>
      <c r="E1661" s="92"/>
      <c r="F1661" s="92">
        <v>2.293056</v>
      </c>
      <c r="G1661" s="92">
        <v>805.0335</v>
      </c>
      <c r="H1661" s="92">
        <v>130.8049</v>
      </c>
      <c r="I1661" s="92"/>
      <c r="J1661" s="93">
        <f t="shared" si="32"/>
        <v>0.5040000000000191</v>
      </c>
    </row>
    <row r="1662" spans="2:10" x14ac:dyDescent="0.2">
      <c r="B1662" s="92">
        <v>2.2944439999999999</v>
      </c>
      <c r="C1662" s="92">
        <v>805.55529999999999</v>
      </c>
      <c r="D1662" s="92">
        <v>131.07149999999999</v>
      </c>
      <c r="E1662" s="92"/>
      <c r="F1662" s="92">
        <v>2.2944439999999999</v>
      </c>
      <c r="G1662" s="92">
        <v>805.08879999999999</v>
      </c>
      <c r="H1662" s="92">
        <v>130.8065</v>
      </c>
      <c r="I1662" s="92"/>
      <c r="J1662" s="93">
        <f t="shared" si="32"/>
        <v>0.46649999999999636</v>
      </c>
    </row>
    <row r="1663" spans="2:10" x14ac:dyDescent="0.2">
      <c r="B1663" s="92">
        <v>2.295833</v>
      </c>
      <c r="C1663" s="92">
        <v>805.50450000000001</v>
      </c>
      <c r="D1663" s="92">
        <v>131.07650000000001</v>
      </c>
      <c r="E1663" s="92"/>
      <c r="F1663" s="92">
        <v>2.295833</v>
      </c>
      <c r="G1663" s="92">
        <v>804.99779999999998</v>
      </c>
      <c r="H1663" s="92">
        <v>130.8032</v>
      </c>
      <c r="I1663" s="92"/>
      <c r="J1663" s="93">
        <f t="shared" si="32"/>
        <v>0.50670000000002346</v>
      </c>
    </row>
    <row r="1664" spans="2:10" x14ac:dyDescent="0.2">
      <c r="B1664" s="92">
        <v>2.2972220000000001</v>
      </c>
      <c r="C1664" s="92">
        <v>805.50419999999997</v>
      </c>
      <c r="D1664" s="92">
        <v>131.06979999999999</v>
      </c>
      <c r="E1664" s="92"/>
      <c r="F1664" s="92">
        <v>2.2972220000000001</v>
      </c>
      <c r="G1664" s="92">
        <v>805.04129999999998</v>
      </c>
      <c r="H1664" s="92">
        <v>130.8082</v>
      </c>
      <c r="I1664" s="92"/>
      <c r="J1664" s="93">
        <f t="shared" si="32"/>
        <v>0.46289999999999054</v>
      </c>
    </row>
    <row r="1665" spans="2:10" x14ac:dyDescent="0.2">
      <c r="B1665" s="92">
        <v>2.2986110000000002</v>
      </c>
      <c r="C1665" s="92">
        <v>805.50019999999995</v>
      </c>
      <c r="D1665" s="92">
        <v>131.07149999999999</v>
      </c>
      <c r="E1665" s="92"/>
      <c r="F1665" s="92">
        <v>2.2986110000000002</v>
      </c>
      <c r="G1665" s="92">
        <v>805.05110000000002</v>
      </c>
      <c r="H1665" s="92">
        <v>130.8082</v>
      </c>
      <c r="I1665" s="92"/>
      <c r="J1665" s="93">
        <f t="shared" si="32"/>
        <v>0.44909999999993033</v>
      </c>
    </row>
    <row r="1666" spans="2:10" x14ac:dyDescent="0.2">
      <c r="B1666" s="92">
        <v>2.2999999999999998</v>
      </c>
      <c r="C1666" s="92">
        <v>805.49339999999995</v>
      </c>
      <c r="D1666" s="92">
        <v>131.07650000000001</v>
      </c>
      <c r="E1666" s="92"/>
      <c r="F1666" s="92">
        <v>2.2999999999999998</v>
      </c>
      <c r="G1666" s="92">
        <v>805.02229999999997</v>
      </c>
      <c r="H1666" s="92">
        <v>130.8032</v>
      </c>
      <c r="I1666" s="92"/>
      <c r="J1666" s="93">
        <f t="shared" si="32"/>
        <v>0.47109999999997854</v>
      </c>
    </row>
    <row r="1667" spans="2:10" x14ac:dyDescent="0.2">
      <c r="B1667" s="92">
        <v>2.3013889999999999</v>
      </c>
      <c r="C1667" s="92">
        <v>805.5222</v>
      </c>
      <c r="D1667" s="92">
        <v>131.07149999999999</v>
      </c>
      <c r="E1667" s="92"/>
      <c r="F1667" s="92">
        <v>2.3013889999999999</v>
      </c>
      <c r="G1667" s="92">
        <v>805.04390000000001</v>
      </c>
      <c r="H1667" s="92">
        <v>130.79990000000001</v>
      </c>
      <c r="I1667" s="92"/>
      <c r="J1667" s="93">
        <f t="shared" si="32"/>
        <v>0.47829999999999018</v>
      </c>
    </row>
    <row r="1668" spans="2:10" x14ac:dyDescent="0.2">
      <c r="B1668" s="92">
        <v>2.302778</v>
      </c>
      <c r="C1668" s="92">
        <v>805.5222</v>
      </c>
      <c r="D1668" s="92">
        <v>131.07149999999999</v>
      </c>
      <c r="E1668" s="92"/>
      <c r="F1668" s="92">
        <v>2.302778</v>
      </c>
      <c r="G1668" s="92">
        <v>805.00210000000004</v>
      </c>
      <c r="H1668" s="92">
        <v>130.8082</v>
      </c>
      <c r="I1668" s="92"/>
      <c r="J1668" s="93">
        <f t="shared" si="32"/>
        <v>0.52009999999995671</v>
      </c>
    </row>
    <row r="1669" spans="2:10" x14ac:dyDescent="0.2">
      <c r="B1669" s="92">
        <v>2.3041670000000001</v>
      </c>
      <c r="C1669" s="92">
        <v>805.50710000000004</v>
      </c>
      <c r="D1669" s="92">
        <v>131.07320000000001</v>
      </c>
      <c r="E1669" s="92"/>
      <c r="F1669" s="92">
        <v>2.3041670000000001</v>
      </c>
      <c r="G1669" s="92">
        <v>804.99670000000003</v>
      </c>
      <c r="H1669" s="92">
        <v>130.81319999999999</v>
      </c>
      <c r="I1669" s="92"/>
      <c r="J1669" s="93">
        <f t="shared" si="32"/>
        <v>0.51040000000000418</v>
      </c>
    </row>
    <row r="1670" spans="2:10" x14ac:dyDescent="0.2">
      <c r="B1670" s="92">
        <v>2.3055560000000002</v>
      </c>
      <c r="C1670" s="92">
        <v>805.52769999999998</v>
      </c>
      <c r="D1670" s="92">
        <v>131.07149999999999</v>
      </c>
      <c r="E1670" s="92"/>
      <c r="F1670" s="92">
        <v>2.3055560000000002</v>
      </c>
      <c r="G1670" s="92">
        <v>805.08879999999999</v>
      </c>
      <c r="H1670" s="92">
        <v>130.8065</v>
      </c>
      <c r="I1670" s="92"/>
      <c r="J1670" s="93">
        <f t="shared" si="32"/>
        <v>0.43889999999998963</v>
      </c>
    </row>
    <row r="1671" spans="2:10" x14ac:dyDescent="0.2">
      <c r="B1671" s="92">
        <v>2.3069440000000001</v>
      </c>
      <c r="C1671" s="92">
        <v>805.55</v>
      </c>
      <c r="D1671" s="92">
        <v>131.07810000000001</v>
      </c>
      <c r="E1671" s="92"/>
      <c r="F1671" s="92">
        <v>2.3069440000000001</v>
      </c>
      <c r="G1671" s="92">
        <v>805.0462</v>
      </c>
      <c r="H1671" s="92">
        <v>130.8082</v>
      </c>
      <c r="I1671" s="92"/>
      <c r="J1671" s="93">
        <f t="shared" si="32"/>
        <v>0.50379999999995562</v>
      </c>
    </row>
    <row r="1672" spans="2:10" x14ac:dyDescent="0.2">
      <c r="B1672" s="92">
        <v>2.3083330000000002</v>
      </c>
      <c r="C1672" s="92">
        <v>805.5385</v>
      </c>
      <c r="D1672" s="92">
        <v>131.06489999999999</v>
      </c>
      <c r="E1672" s="92"/>
      <c r="F1672" s="92">
        <v>2.3083330000000002</v>
      </c>
      <c r="G1672" s="92">
        <v>805.01340000000005</v>
      </c>
      <c r="H1672" s="92">
        <v>130.8099</v>
      </c>
      <c r="I1672" s="92"/>
      <c r="J1672" s="93">
        <f t="shared" si="32"/>
        <v>0.52509999999995216</v>
      </c>
    </row>
    <row r="1673" spans="2:10" x14ac:dyDescent="0.2">
      <c r="B1673" s="92">
        <v>2.3097219999999998</v>
      </c>
      <c r="C1673" s="92">
        <v>805.52509999999995</v>
      </c>
      <c r="D1673" s="92">
        <v>131.07480000000001</v>
      </c>
      <c r="E1673" s="92"/>
      <c r="F1673" s="92">
        <v>2.3097219999999998</v>
      </c>
      <c r="G1673" s="92">
        <v>805.03899999999999</v>
      </c>
      <c r="H1673" s="92">
        <v>130.79990000000001</v>
      </c>
      <c r="I1673" s="92"/>
      <c r="J1673" s="93">
        <f t="shared" si="32"/>
        <v>0.48609999999996489</v>
      </c>
    </row>
    <row r="1674" spans="2:10" x14ac:dyDescent="0.2">
      <c r="B1674" s="92">
        <v>2.3111109999999999</v>
      </c>
      <c r="C1674" s="92">
        <v>805.51980000000003</v>
      </c>
      <c r="D1674" s="92">
        <v>131.08150000000001</v>
      </c>
      <c r="E1674" s="92"/>
      <c r="F1674" s="92">
        <v>2.3111109999999999</v>
      </c>
      <c r="G1674" s="92">
        <v>805.01340000000005</v>
      </c>
      <c r="H1674" s="92">
        <v>130.8099</v>
      </c>
      <c r="I1674" s="92"/>
      <c r="J1674" s="93">
        <f t="shared" si="32"/>
        <v>0.50639999999998508</v>
      </c>
    </row>
    <row r="1675" spans="2:10" x14ac:dyDescent="0.2">
      <c r="B1675" s="92">
        <v>2.3125</v>
      </c>
      <c r="C1675" s="92">
        <v>805.5181</v>
      </c>
      <c r="D1675" s="92">
        <v>131.07320000000001</v>
      </c>
      <c r="E1675" s="92"/>
      <c r="F1675" s="92">
        <v>2.3125</v>
      </c>
      <c r="G1675" s="92">
        <v>805.05510000000004</v>
      </c>
      <c r="H1675" s="92">
        <v>130.8015</v>
      </c>
      <c r="I1675" s="92"/>
      <c r="J1675" s="93">
        <f t="shared" ref="J1675:J1738" si="33">+ABS(G1675-C1675)</f>
        <v>0.46299999999996544</v>
      </c>
    </row>
    <row r="1676" spans="2:10" x14ac:dyDescent="0.2">
      <c r="B1676" s="92">
        <v>2.3138890000000001</v>
      </c>
      <c r="C1676" s="92">
        <v>805.51959999999997</v>
      </c>
      <c r="D1676" s="92">
        <v>131.07480000000001</v>
      </c>
      <c r="E1676" s="92"/>
      <c r="F1676" s="92">
        <v>2.3138890000000001</v>
      </c>
      <c r="G1676" s="92">
        <v>805.05939999999998</v>
      </c>
      <c r="H1676" s="92">
        <v>130.8065</v>
      </c>
      <c r="I1676" s="92"/>
      <c r="J1676" s="93">
        <f t="shared" si="33"/>
        <v>0.46019999999998618</v>
      </c>
    </row>
    <row r="1677" spans="2:10" x14ac:dyDescent="0.2">
      <c r="B1677" s="92">
        <v>2.3152780000000002</v>
      </c>
      <c r="C1677" s="92">
        <v>805.47670000000005</v>
      </c>
      <c r="D1677" s="92">
        <v>131.06979999999999</v>
      </c>
      <c r="E1677" s="92"/>
      <c r="F1677" s="92">
        <v>2.3152780000000002</v>
      </c>
      <c r="G1677" s="92">
        <v>805.02859999999998</v>
      </c>
      <c r="H1677" s="92">
        <v>130.8049</v>
      </c>
      <c r="I1677" s="92"/>
      <c r="J1677" s="93">
        <f t="shared" si="33"/>
        <v>0.44810000000006767</v>
      </c>
    </row>
    <row r="1678" spans="2:10" x14ac:dyDescent="0.2">
      <c r="B1678" s="92">
        <v>2.3166669999999998</v>
      </c>
      <c r="C1678" s="92">
        <v>805.48509999999999</v>
      </c>
      <c r="D1678" s="92">
        <v>131.07320000000001</v>
      </c>
      <c r="E1678" s="92"/>
      <c r="F1678" s="92">
        <v>2.3166669999999998</v>
      </c>
      <c r="G1678" s="92">
        <v>805.04129999999998</v>
      </c>
      <c r="H1678" s="92">
        <v>130.8082</v>
      </c>
      <c r="I1678" s="92"/>
      <c r="J1678" s="93">
        <f t="shared" si="33"/>
        <v>0.44380000000001019</v>
      </c>
    </row>
    <row r="1679" spans="2:10" x14ac:dyDescent="0.2">
      <c r="B1679" s="92">
        <v>2.3180559999999999</v>
      </c>
      <c r="C1679" s="92">
        <v>805.51689999999996</v>
      </c>
      <c r="D1679" s="92">
        <v>131.07810000000001</v>
      </c>
      <c r="E1679" s="92"/>
      <c r="F1679" s="92">
        <v>2.3180559999999999</v>
      </c>
      <c r="G1679" s="92">
        <v>805.02120000000002</v>
      </c>
      <c r="H1679" s="92">
        <v>130.81319999999999</v>
      </c>
      <c r="I1679" s="92"/>
      <c r="J1679" s="93">
        <f t="shared" si="33"/>
        <v>0.49569999999994252</v>
      </c>
    </row>
    <row r="1680" spans="2:10" x14ac:dyDescent="0.2">
      <c r="B1680" s="92">
        <v>2.3194439999999998</v>
      </c>
      <c r="C1680" s="92">
        <v>805.572</v>
      </c>
      <c r="D1680" s="92">
        <v>131.07810000000001</v>
      </c>
      <c r="E1680" s="92"/>
      <c r="F1680" s="92">
        <v>2.3194439999999998</v>
      </c>
      <c r="G1680" s="92">
        <v>805.00360000000001</v>
      </c>
      <c r="H1680" s="92">
        <v>130.8099</v>
      </c>
      <c r="I1680" s="92"/>
      <c r="J1680" s="93">
        <f t="shared" si="33"/>
        <v>0.56839999999999691</v>
      </c>
    </row>
    <row r="1681" spans="2:10" x14ac:dyDescent="0.2">
      <c r="B1681" s="92">
        <v>2.3208329999999999</v>
      </c>
      <c r="C1681" s="92">
        <v>805.43970000000002</v>
      </c>
      <c r="D1681" s="92">
        <v>131.07810000000001</v>
      </c>
      <c r="E1681" s="92"/>
      <c r="F1681" s="92">
        <v>2.3208329999999999</v>
      </c>
      <c r="G1681" s="92">
        <v>805.05939999999998</v>
      </c>
      <c r="H1681" s="92">
        <v>130.8065</v>
      </c>
      <c r="I1681" s="92"/>
      <c r="J1681" s="93">
        <f t="shared" si="33"/>
        <v>0.38030000000003383</v>
      </c>
    </row>
    <row r="1682" spans="2:10" x14ac:dyDescent="0.2">
      <c r="B1682" s="92">
        <v>2.322222</v>
      </c>
      <c r="C1682" s="92">
        <v>805.52790000000005</v>
      </c>
      <c r="D1682" s="92">
        <v>131.07810000000001</v>
      </c>
      <c r="E1682" s="92"/>
      <c r="F1682" s="92">
        <v>2.322222</v>
      </c>
      <c r="G1682" s="92">
        <v>805.04480000000001</v>
      </c>
      <c r="H1682" s="92">
        <v>130.8065</v>
      </c>
      <c r="I1682" s="92"/>
      <c r="J1682" s="93">
        <f t="shared" si="33"/>
        <v>0.48310000000003583</v>
      </c>
    </row>
    <row r="1683" spans="2:10" x14ac:dyDescent="0.2">
      <c r="B1683" s="92">
        <v>2.3236110000000001</v>
      </c>
      <c r="C1683" s="92">
        <v>805.48929999999996</v>
      </c>
      <c r="D1683" s="92">
        <v>131.07810000000001</v>
      </c>
      <c r="E1683" s="92"/>
      <c r="F1683" s="92">
        <v>2.3236110000000001</v>
      </c>
      <c r="G1683" s="92">
        <v>805.03009999999995</v>
      </c>
      <c r="H1683" s="92">
        <v>130.8065</v>
      </c>
      <c r="I1683" s="92"/>
      <c r="J1683" s="93">
        <f t="shared" si="33"/>
        <v>0.45920000000000982</v>
      </c>
    </row>
    <row r="1684" spans="2:10" x14ac:dyDescent="0.2">
      <c r="B1684" s="92">
        <v>2.3250000000000002</v>
      </c>
      <c r="C1684" s="92">
        <v>805.48379999999997</v>
      </c>
      <c r="D1684" s="92">
        <v>131.07810000000001</v>
      </c>
      <c r="E1684" s="92"/>
      <c r="F1684" s="92">
        <v>2.3250000000000002</v>
      </c>
      <c r="G1684" s="92">
        <v>805.0462</v>
      </c>
      <c r="H1684" s="92">
        <v>130.8082</v>
      </c>
      <c r="I1684" s="92"/>
      <c r="J1684" s="93">
        <f t="shared" si="33"/>
        <v>0.4375999999999749</v>
      </c>
    </row>
    <row r="1685" spans="2:10" x14ac:dyDescent="0.2">
      <c r="B1685" s="92">
        <v>2.3263889999999998</v>
      </c>
      <c r="C1685" s="92">
        <v>805.50419999999997</v>
      </c>
      <c r="D1685" s="92">
        <v>131.06979999999999</v>
      </c>
      <c r="E1685" s="92"/>
      <c r="F1685" s="92">
        <v>2.3263889999999998</v>
      </c>
      <c r="G1685" s="92">
        <v>805.0335</v>
      </c>
      <c r="H1685" s="92">
        <v>130.8049</v>
      </c>
      <c r="I1685" s="92"/>
      <c r="J1685" s="93">
        <f t="shared" si="33"/>
        <v>0.47069999999996526</v>
      </c>
    </row>
    <row r="1686" spans="2:10" x14ac:dyDescent="0.2">
      <c r="B1686" s="92">
        <v>2.3277779999999999</v>
      </c>
      <c r="C1686" s="92">
        <v>805.49609999999996</v>
      </c>
      <c r="D1686" s="92">
        <v>131.07320000000001</v>
      </c>
      <c r="E1686" s="92"/>
      <c r="F1686" s="92">
        <v>2.3277779999999999</v>
      </c>
      <c r="G1686" s="92">
        <v>805.02030000000002</v>
      </c>
      <c r="H1686" s="92">
        <v>130.8065</v>
      </c>
      <c r="I1686" s="92"/>
      <c r="J1686" s="93">
        <f t="shared" si="33"/>
        <v>0.47579999999993561</v>
      </c>
    </row>
    <row r="1687" spans="2:10" x14ac:dyDescent="0.2">
      <c r="B1687" s="92">
        <v>2.329167</v>
      </c>
      <c r="C1687" s="92">
        <v>805.46990000000005</v>
      </c>
      <c r="D1687" s="92">
        <v>131.07480000000001</v>
      </c>
      <c r="E1687" s="92"/>
      <c r="F1687" s="92">
        <v>2.329167</v>
      </c>
      <c r="G1687" s="92">
        <v>805.03989999999999</v>
      </c>
      <c r="H1687" s="92">
        <v>130.8065</v>
      </c>
      <c r="I1687" s="92"/>
      <c r="J1687" s="93">
        <f t="shared" si="33"/>
        <v>0.43000000000006366</v>
      </c>
    </row>
    <row r="1688" spans="2:10" x14ac:dyDescent="0.2">
      <c r="B1688" s="92">
        <v>2.3305560000000001</v>
      </c>
      <c r="C1688" s="92">
        <v>805.51549999999997</v>
      </c>
      <c r="D1688" s="92">
        <v>131.07650000000001</v>
      </c>
      <c r="E1688" s="92"/>
      <c r="F1688" s="92">
        <v>2.3305560000000001</v>
      </c>
      <c r="G1688" s="92">
        <v>804.99760000000003</v>
      </c>
      <c r="H1688" s="92">
        <v>130.81979999999999</v>
      </c>
      <c r="I1688" s="92"/>
      <c r="J1688" s="93">
        <f t="shared" si="33"/>
        <v>0.51789999999994052</v>
      </c>
    </row>
    <row r="1689" spans="2:10" x14ac:dyDescent="0.2">
      <c r="B1689" s="92">
        <v>2.331944</v>
      </c>
      <c r="C1689" s="92">
        <v>805.47140000000002</v>
      </c>
      <c r="D1689" s="92">
        <v>131.07650000000001</v>
      </c>
      <c r="E1689" s="92"/>
      <c r="F1689" s="92">
        <v>2.331944</v>
      </c>
      <c r="G1689" s="92">
        <v>805.01049999999998</v>
      </c>
      <c r="H1689" s="92">
        <v>130.8065</v>
      </c>
      <c r="I1689" s="92"/>
      <c r="J1689" s="93">
        <f t="shared" si="33"/>
        <v>0.46090000000003783</v>
      </c>
    </row>
    <row r="1690" spans="2:10" x14ac:dyDescent="0.2">
      <c r="B1690" s="92">
        <v>2.3333330000000001</v>
      </c>
      <c r="C1690" s="92">
        <v>805.48910000000001</v>
      </c>
      <c r="D1690" s="92">
        <v>131.07149999999999</v>
      </c>
      <c r="E1690" s="92"/>
      <c r="F1690" s="92">
        <v>2.3333330000000001</v>
      </c>
      <c r="G1690" s="92">
        <v>805.04039999999998</v>
      </c>
      <c r="H1690" s="92">
        <v>130.8015</v>
      </c>
      <c r="I1690" s="92"/>
      <c r="J1690" s="93">
        <f t="shared" si="33"/>
        <v>0.44870000000003074</v>
      </c>
    </row>
    <row r="1691" spans="2:10" x14ac:dyDescent="0.2">
      <c r="B1691" s="92">
        <v>2.3347220000000002</v>
      </c>
      <c r="C1691" s="92">
        <v>805.51279999999997</v>
      </c>
      <c r="D1691" s="92">
        <v>131.07980000000001</v>
      </c>
      <c r="E1691" s="92"/>
      <c r="F1691" s="92">
        <v>2.3347220000000002</v>
      </c>
      <c r="G1691" s="92">
        <v>805.02719999999999</v>
      </c>
      <c r="H1691" s="92">
        <v>130.8032</v>
      </c>
      <c r="I1691" s="92"/>
      <c r="J1691" s="93">
        <f t="shared" si="33"/>
        <v>0.48559999999997672</v>
      </c>
    </row>
    <row r="1692" spans="2:10" x14ac:dyDescent="0.2">
      <c r="B1692" s="92">
        <v>2.3361109999999998</v>
      </c>
      <c r="C1692" s="92">
        <v>805.50570000000005</v>
      </c>
      <c r="D1692" s="92">
        <v>131.07149999999999</v>
      </c>
      <c r="E1692" s="92"/>
      <c r="F1692" s="92">
        <v>2.3361109999999998</v>
      </c>
      <c r="G1692" s="92">
        <v>805.01880000000006</v>
      </c>
      <c r="H1692" s="92">
        <v>130.8049</v>
      </c>
      <c r="I1692" s="92"/>
      <c r="J1692" s="93">
        <f t="shared" si="33"/>
        <v>0.48689999999999145</v>
      </c>
    </row>
    <row r="1693" spans="2:10" x14ac:dyDescent="0.2">
      <c r="B1693" s="92">
        <v>2.3374999999999999</v>
      </c>
      <c r="C1693" s="92">
        <v>805.49059999999997</v>
      </c>
      <c r="D1693" s="92">
        <v>131.07320000000001</v>
      </c>
      <c r="E1693" s="92"/>
      <c r="F1693" s="92">
        <v>2.3374999999999999</v>
      </c>
      <c r="G1693" s="92">
        <v>805.07759999999996</v>
      </c>
      <c r="H1693" s="92">
        <v>130.8049</v>
      </c>
      <c r="I1693" s="92"/>
      <c r="J1693" s="93">
        <f t="shared" si="33"/>
        <v>0.41300000000001091</v>
      </c>
    </row>
    <row r="1694" spans="2:10" x14ac:dyDescent="0.2">
      <c r="B1694" s="92">
        <v>2.338889</v>
      </c>
      <c r="C1694" s="92">
        <v>805.49059999999997</v>
      </c>
      <c r="D1694" s="92">
        <v>131.07320000000001</v>
      </c>
      <c r="E1694" s="92"/>
      <c r="F1694" s="92">
        <v>2.338889</v>
      </c>
      <c r="G1694" s="92">
        <v>805.06029999999998</v>
      </c>
      <c r="H1694" s="92">
        <v>130.81319999999999</v>
      </c>
      <c r="I1694" s="92"/>
      <c r="J1694" s="93">
        <f t="shared" si="33"/>
        <v>0.43029999999998836</v>
      </c>
    </row>
    <row r="1695" spans="2:10" x14ac:dyDescent="0.2">
      <c r="B1695" s="92">
        <v>2.3402780000000001</v>
      </c>
      <c r="C1695" s="92">
        <v>805.49080000000004</v>
      </c>
      <c r="D1695" s="92">
        <v>131.07980000000001</v>
      </c>
      <c r="E1695" s="92"/>
      <c r="F1695" s="92">
        <v>2.3402780000000001</v>
      </c>
      <c r="G1695" s="92">
        <v>805.04819999999995</v>
      </c>
      <c r="H1695" s="92">
        <v>130.8049</v>
      </c>
      <c r="I1695" s="92"/>
      <c r="J1695" s="93">
        <f t="shared" si="33"/>
        <v>0.44260000000008404</v>
      </c>
    </row>
    <row r="1696" spans="2:10" x14ac:dyDescent="0.2">
      <c r="B1696" s="92">
        <v>2.3416670000000002</v>
      </c>
      <c r="C1696" s="92">
        <v>805.52239999999995</v>
      </c>
      <c r="D1696" s="92">
        <v>131.07810000000001</v>
      </c>
      <c r="E1696" s="92"/>
      <c r="F1696" s="92">
        <v>2.3416670000000002</v>
      </c>
      <c r="G1696" s="92">
        <v>805.00360000000001</v>
      </c>
      <c r="H1696" s="92">
        <v>130.8099</v>
      </c>
      <c r="I1696" s="92"/>
      <c r="J1696" s="93">
        <f t="shared" si="33"/>
        <v>0.51879999999994197</v>
      </c>
    </row>
    <row r="1697" spans="2:10" x14ac:dyDescent="0.2">
      <c r="B1697" s="92">
        <v>2.3430559999999998</v>
      </c>
      <c r="C1697" s="92">
        <v>805.5059</v>
      </c>
      <c r="D1697" s="92">
        <v>131.07810000000001</v>
      </c>
      <c r="E1697" s="92"/>
      <c r="F1697" s="92">
        <v>2.3430559999999998</v>
      </c>
      <c r="G1697" s="92">
        <v>805.05830000000003</v>
      </c>
      <c r="H1697" s="92">
        <v>130.81649999999999</v>
      </c>
      <c r="I1697" s="92"/>
      <c r="J1697" s="93">
        <f t="shared" si="33"/>
        <v>0.4475999999999658</v>
      </c>
    </row>
    <row r="1698" spans="2:10" x14ac:dyDescent="0.2">
      <c r="B1698" s="92">
        <v>2.3444440000000002</v>
      </c>
      <c r="C1698" s="92">
        <v>805.5059</v>
      </c>
      <c r="D1698" s="92">
        <v>131.07810000000001</v>
      </c>
      <c r="E1698" s="92"/>
      <c r="F1698" s="92">
        <v>2.3444440000000002</v>
      </c>
      <c r="G1698" s="92">
        <v>805.08299999999997</v>
      </c>
      <c r="H1698" s="92">
        <v>130.79990000000001</v>
      </c>
      <c r="I1698" s="92"/>
      <c r="J1698" s="93">
        <f t="shared" si="33"/>
        <v>0.42290000000002692</v>
      </c>
    </row>
    <row r="1699" spans="2:10" x14ac:dyDescent="0.2">
      <c r="B1699" s="92">
        <v>2.3458329999999998</v>
      </c>
      <c r="C1699" s="92">
        <v>805.50869999999998</v>
      </c>
      <c r="D1699" s="92">
        <v>131.08150000000001</v>
      </c>
      <c r="E1699" s="92"/>
      <c r="F1699" s="92">
        <v>2.3458329999999998</v>
      </c>
      <c r="G1699" s="92">
        <v>805.01099999999997</v>
      </c>
      <c r="H1699" s="92">
        <v>130.8015</v>
      </c>
      <c r="I1699" s="92"/>
      <c r="J1699" s="93">
        <f t="shared" si="33"/>
        <v>0.49770000000000891</v>
      </c>
    </row>
    <row r="1700" spans="2:10" x14ac:dyDescent="0.2">
      <c r="B1700" s="92">
        <v>2.3472219999999999</v>
      </c>
      <c r="C1700" s="92">
        <v>805.51549999999997</v>
      </c>
      <c r="D1700" s="92">
        <v>131.07650000000001</v>
      </c>
      <c r="E1700" s="92"/>
      <c r="F1700" s="92">
        <v>2.3472219999999999</v>
      </c>
      <c r="G1700" s="92">
        <v>805.03499999999997</v>
      </c>
      <c r="H1700" s="92">
        <v>130.8065</v>
      </c>
      <c r="I1700" s="92"/>
      <c r="J1700" s="93">
        <f t="shared" si="33"/>
        <v>0.48050000000000637</v>
      </c>
    </row>
    <row r="1701" spans="2:10" x14ac:dyDescent="0.2">
      <c r="B1701" s="92">
        <v>2.348611</v>
      </c>
      <c r="C1701" s="92">
        <v>805.51980000000003</v>
      </c>
      <c r="D1701" s="92">
        <v>131.08150000000001</v>
      </c>
      <c r="E1701" s="92"/>
      <c r="F1701" s="92">
        <v>2.348611</v>
      </c>
      <c r="G1701" s="92">
        <v>805.05799999999999</v>
      </c>
      <c r="H1701" s="92">
        <v>130.8049</v>
      </c>
      <c r="I1701" s="92"/>
      <c r="J1701" s="93">
        <f t="shared" si="33"/>
        <v>0.46180000000003929</v>
      </c>
    </row>
    <row r="1702" spans="2:10" x14ac:dyDescent="0.2">
      <c r="B1702" s="92">
        <v>2.35</v>
      </c>
      <c r="C1702" s="92">
        <v>805.52080000000001</v>
      </c>
      <c r="D1702" s="92">
        <v>131.06979999999999</v>
      </c>
      <c r="E1702" s="92"/>
      <c r="F1702" s="92">
        <v>2.35</v>
      </c>
      <c r="G1702" s="92">
        <v>805.03300000000002</v>
      </c>
      <c r="H1702" s="92">
        <v>130.8099</v>
      </c>
      <c r="I1702" s="92"/>
      <c r="J1702" s="93">
        <f t="shared" si="33"/>
        <v>0.48779999999999291</v>
      </c>
    </row>
    <row r="1703" spans="2:10" x14ac:dyDescent="0.2">
      <c r="B1703" s="92">
        <v>2.3513890000000002</v>
      </c>
      <c r="C1703" s="92">
        <v>805.48220000000003</v>
      </c>
      <c r="D1703" s="92">
        <v>131.06979999999999</v>
      </c>
      <c r="E1703" s="92"/>
      <c r="F1703" s="92">
        <v>2.3513890000000002</v>
      </c>
      <c r="G1703" s="92">
        <v>805.04190000000006</v>
      </c>
      <c r="H1703" s="92">
        <v>130.8032</v>
      </c>
      <c r="I1703" s="92"/>
      <c r="J1703" s="93">
        <f t="shared" si="33"/>
        <v>0.44029999999997926</v>
      </c>
    </row>
    <row r="1704" spans="2:10" x14ac:dyDescent="0.2">
      <c r="B1704" s="92">
        <v>2.3527779999999998</v>
      </c>
      <c r="C1704" s="92">
        <v>805.51239999999996</v>
      </c>
      <c r="D1704" s="92">
        <v>131.06649999999999</v>
      </c>
      <c r="E1704" s="92"/>
      <c r="F1704" s="92">
        <v>2.3527779999999998</v>
      </c>
      <c r="G1704" s="92">
        <v>805.06029999999998</v>
      </c>
      <c r="H1704" s="92">
        <v>130.81319999999999</v>
      </c>
      <c r="I1704" s="92"/>
      <c r="J1704" s="93">
        <f t="shared" si="33"/>
        <v>0.45209999999997308</v>
      </c>
    </row>
    <row r="1705" spans="2:10" x14ac:dyDescent="0.2">
      <c r="B1705" s="92">
        <v>2.3541669999999999</v>
      </c>
      <c r="C1705" s="92">
        <v>805.53920000000005</v>
      </c>
      <c r="D1705" s="92">
        <v>131.0848</v>
      </c>
      <c r="E1705" s="92"/>
      <c r="F1705" s="92">
        <v>2.3541669999999999</v>
      </c>
      <c r="G1705" s="92">
        <v>805.01340000000005</v>
      </c>
      <c r="H1705" s="92">
        <v>130.8099</v>
      </c>
      <c r="I1705" s="92"/>
      <c r="J1705" s="93">
        <f t="shared" si="33"/>
        <v>0.52580000000000382</v>
      </c>
    </row>
    <row r="1706" spans="2:10" x14ac:dyDescent="0.2">
      <c r="B1706" s="92">
        <v>2.355556</v>
      </c>
      <c r="C1706" s="92">
        <v>805.48910000000001</v>
      </c>
      <c r="D1706" s="92">
        <v>131.07149999999999</v>
      </c>
      <c r="E1706" s="92"/>
      <c r="F1706" s="92">
        <v>2.355556</v>
      </c>
      <c r="G1706" s="92">
        <v>805.01340000000005</v>
      </c>
      <c r="H1706" s="92">
        <v>130.8099</v>
      </c>
      <c r="I1706" s="92"/>
      <c r="J1706" s="93">
        <f t="shared" si="33"/>
        <v>0.47569999999996071</v>
      </c>
    </row>
    <row r="1707" spans="2:10" x14ac:dyDescent="0.2">
      <c r="B1707" s="92">
        <v>2.3569439999999999</v>
      </c>
      <c r="C1707" s="92">
        <v>805.49080000000004</v>
      </c>
      <c r="D1707" s="92">
        <v>131.07980000000001</v>
      </c>
      <c r="E1707" s="92"/>
      <c r="F1707" s="92">
        <v>2.3569439999999999</v>
      </c>
      <c r="G1707" s="92">
        <v>805.06719999999996</v>
      </c>
      <c r="H1707" s="92">
        <v>130.8099</v>
      </c>
      <c r="I1707" s="92"/>
      <c r="J1707" s="93">
        <f t="shared" si="33"/>
        <v>0.42360000000007858</v>
      </c>
    </row>
    <row r="1708" spans="2:10" x14ac:dyDescent="0.2">
      <c r="B1708" s="92">
        <v>2.358333</v>
      </c>
      <c r="C1708" s="92">
        <v>805.49609999999996</v>
      </c>
      <c r="D1708" s="92">
        <v>131.07320000000001</v>
      </c>
      <c r="E1708" s="92"/>
      <c r="F1708" s="92">
        <v>2.358333</v>
      </c>
      <c r="G1708" s="92">
        <v>805.01679999999999</v>
      </c>
      <c r="H1708" s="92">
        <v>130.8082</v>
      </c>
      <c r="I1708" s="92"/>
      <c r="J1708" s="93">
        <f t="shared" si="33"/>
        <v>0.47929999999996653</v>
      </c>
    </row>
    <row r="1709" spans="2:10" x14ac:dyDescent="0.2">
      <c r="B1709" s="92">
        <v>2.3597220000000001</v>
      </c>
      <c r="C1709" s="92">
        <v>805.57489999999996</v>
      </c>
      <c r="D1709" s="92">
        <v>131.08150000000001</v>
      </c>
      <c r="E1709" s="92"/>
      <c r="F1709" s="92">
        <v>2.3597220000000001</v>
      </c>
      <c r="G1709" s="92">
        <v>805.02319999999997</v>
      </c>
      <c r="H1709" s="92">
        <v>130.8099</v>
      </c>
      <c r="I1709" s="92"/>
      <c r="J1709" s="93">
        <f t="shared" si="33"/>
        <v>0.55169999999998254</v>
      </c>
    </row>
    <row r="1710" spans="2:10" x14ac:dyDescent="0.2">
      <c r="B1710" s="92">
        <v>2.3611110000000002</v>
      </c>
      <c r="C1710" s="92">
        <v>805.50160000000005</v>
      </c>
      <c r="D1710" s="92">
        <v>131.07320000000001</v>
      </c>
      <c r="E1710" s="92"/>
      <c r="F1710" s="92">
        <v>2.3611110000000002</v>
      </c>
      <c r="G1710" s="92">
        <v>805.05460000000005</v>
      </c>
      <c r="H1710" s="92">
        <v>130.8065</v>
      </c>
      <c r="I1710" s="92"/>
      <c r="J1710" s="93">
        <f t="shared" si="33"/>
        <v>0.44700000000000273</v>
      </c>
    </row>
    <row r="1711" spans="2:10" x14ac:dyDescent="0.2">
      <c r="B1711" s="92">
        <v>2.3624999999999998</v>
      </c>
      <c r="C1711" s="92">
        <v>805.51279999999997</v>
      </c>
      <c r="D1711" s="92">
        <v>131.07980000000001</v>
      </c>
      <c r="E1711" s="92"/>
      <c r="F1711" s="92">
        <v>2.3624999999999998</v>
      </c>
      <c r="G1711" s="92">
        <v>805.02660000000003</v>
      </c>
      <c r="H1711" s="92">
        <v>130.8082</v>
      </c>
      <c r="I1711" s="92"/>
      <c r="J1711" s="93">
        <f t="shared" si="33"/>
        <v>0.48619999999993979</v>
      </c>
    </row>
    <row r="1712" spans="2:10" x14ac:dyDescent="0.2">
      <c r="B1712" s="92">
        <v>2.3638889999999999</v>
      </c>
      <c r="C1712" s="92">
        <v>805.51260000000002</v>
      </c>
      <c r="D1712" s="92">
        <v>131.07320000000001</v>
      </c>
      <c r="E1712" s="92"/>
      <c r="F1712" s="92">
        <v>2.3638889999999999</v>
      </c>
      <c r="G1712" s="92">
        <v>805.04480000000001</v>
      </c>
      <c r="H1712" s="92">
        <v>130.8065</v>
      </c>
      <c r="I1712" s="92"/>
      <c r="J1712" s="93">
        <f t="shared" si="33"/>
        <v>0.4678000000000111</v>
      </c>
    </row>
    <row r="1713" spans="2:10" x14ac:dyDescent="0.2">
      <c r="B1713" s="92">
        <v>2.365278</v>
      </c>
      <c r="C1713" s="92">
        <v>805.4479</v>
      </c>
      <c r="D1713" s="92">
        <v>131.07480000000001</v>
      </c>
      <c r="E1713" s="92"/>
      <c r="F1713" s="92">
        <v>2.365278</v>
      </c>
      <c r="G1713" s="92">
        <v>804.99580000000003</v>
      </c>
      <c r="H1713" s="92">
        <v>130.8065</v>
      </c>
      <c r="I1713" s="92"/>
      <c r="J1713" s="93">
        <f t="shared" si="33"/>
        <v>0.45209999999997308</v>
      </c>
    </row>
    <row r="1714" spans="2:10" x14ac:dyDescent="0.2">
      <c r="B1714" s="92">
        <v>2.3666670000000001</v>
      </c>
      <c r="C1714" s="92">
        <v>805.51430000000005</v>
      </c>
      <c r="D1714" s="92">
        <v>131.08150000000001</v>
      </c>
      <c r="E1714" s="92"/>
      <c r="F1714" s="92">
        <v>2.3666670000000001</v>
      </c>
      <c r="G1714" s="92">
        <v>805.05600000000004</v>
      </c>
      <c r="H1714" s="92">
        <v>130.8082</v>
      </c>
      <c r="I1714" s="92"/>
      <c r="J1714" s="93">
        <f t="shared" si="33"/>
        <v>0.45830000000000837</v>
      </c>
    </row>
    <row r="1715" spans="2:10" x14ac:dyDescent="0.2">
      <c r="B1715" s="92">
        <v>2.3680560000000002</v>
      </c>
      <c r="C1715" s="92">
        <v>805.49490000000003</v>
      </c>
      <c r="D1715" s="92">
        <v>131.07810000000001</v>
      </c>
      <c r="E1715" s="92"/>
      <c r="F1715" s="92">
        <v>2.3680560000000002</v>
      </c>
      <c r="G1715" s="92">
        <v>805.02409999999998</v>
      </c>
      <c r="H1715" s="92">
        <v>130.81649999999999</v>
      </c>
      <c r="I1715" s="92"/>
      <c r="J1715" s="93">
        <f t="shared" si="33"/>
        <v>0.47080000000005384</v>
      </c>
    </row>
    <row r="1716" spans="2:10" x14ac:dyDescent="0.2">
      <c r="B1716" s="92">
        <v>2.3694440000000001</v>
      </c>
      <c r="C1716" s="92">
        <v>805.47550000000001</v>
      </c>
      <c r="D1716" s="92">
        <v>131.07480000000001</v>
      </c>
      <c r="E1716" s="92"/>
      <c r="F1716" s="92">
        <v>2.3694440000000001</v>
      </c>
      <c r="G1716" s="92">
        <v>805.06380000000001</v>
      </c>
      <c r="H1716" s="92">
        <v>130.8115</v>
      </c>
      <c r="I1716" s="92"/>
      <c r="J1716" s="93">
        <f t="shared" si="33"/>
        <v>0.41169999999999618</v>
      </c>
    </row>
    <row r="1717" spans="2:10" x14ac:dyDescent="0.2">
      <c r="B1717" s="92">
        <v>2.3708330000000002</v>
      </c>
      <c r="C1717" s="92">
        <v>805.49080000000004</v>
      </c>
      <c r="D1717" s="92">
        <v>131.07980000000001</v>
      </c>
      <c r="E1717" s="92"/>
      <c r="F1717" s="92">
        <v>2.3708330000000002</v>
      </c>
      <c r="G1717" s="92">
        <v>805.05169999999998</v>
      </c>
      <c r="H1717" s="92">
        <v>130.8032</v>
      </c>
      <c r="I1717" s="92"/>
      <c r="J1717" s="93">
        <f t="shared" si="33"/>
        <v>0.43910000000005311</v>
      </c>
    </row>
    <row r="1718" spans="2:10" x14ac:dyDescent="0.2">
      <c r="B1718" s="92">
        <v>2.3722219999999998</v>
      </c>
      <c r="C1718" s="92">
        <v>805.50040000000001</v>
      </c>
      <c r="D1718" s="92">
        <v>131.07810000000001</v>
      </c>
      <c r="E1718" s="92"/>
      <c r="F1718" s="92">
        <v>2.3722219999999998</v>
      </c>
      <c r="G1718" s="92">
        <v>805.02660000000003</v>
      </c>
      <c r="H1718" s="92">
        <v>130.8082</v>
      </c>
      <c r="I1718" s="92"/>
      <c r="J1718" s="93">
        <f t="shared" si="33"/>
        <v>0.4737999999999829</v>
      </c>
    </row>
    <row r="1719" spans="2:10" x14ac:dyDescent="0.2">
      <c r="B1719" s="92">
        <v>2.3736109999999999</v>
      </c>
      <c r="C1719" s="92">
        <v>805.49059999999997</v>
      </c>
      <c r="D1719" s="92">
        <v>131.07320000000001</v>
      </c>
      <c r="E1719" s="92"/>
      <c r="F1719" s="92">
        <v>2.3736109999999999</v>
      </c>
      <c r="G1719" s="92">
        <v>805.06089999999995</v>
      </c>
      <c r="H1719" s="92">
        <v>130.8082</v>
      </c>
      <c r="I1719" s="92"/>
      <c r="J1719" s="93">
        <f t="shared" si="33"/>
        <v>0.42970000000002528</v>
      </c>
    </row>
    <row r="1720" spans="2:10" x14ac:dyDescent="0.2">
      <c r="B1720" s="92">
        <v>2.375</v>
      </c>
      <c r="C1720" s="92">
        <v>805.52509999999995</v>
      </c>
      <c r="D1720" s="92">
        <v>131.07480000000001</v>
      </c>
      <c r="E1720" s="92"/>
      <c r="F1720" s="92">
        <v>2.375</v>
      </c>
      <c r="G1720" s="92">
        <v>805.01679999999999</v>
      </c>
      <c r="H1720" s="92">
        <v>130.8082</v>
      </c>
      <c r="I1720" s="92"/>
      <c r="J1720" s="93">
        <f t="shared" si="33"/>
        <v>0.50829999999996289</v>
      </c>
    </row>
    <row r="1721" spans="2:10" x14ac:dyDescent="0.2">
      <c r="B1721" s="92">
        <v>2.3763890000000001</v>
      </c>
      <c r="C1721" s="92">
        <v>805.50450000000001</v>
      </c>
      <c r="D1721" s="92">
        <v>131.07650000000001</v>
      </c>
      <c r="E1721" s="92"/>
      <c r="F1721" s="92">
        <v>2.3763890000000001</v>
      </c>
      <c r="G1721" s="92">
        <v>805.04190000000006</v>
      </c>
      <c r="H1721" s="92">
        <v>130.8032</v>
      </c>
      <c r="I1721" s="92"/>
      <c r="J1721" s="93">
        <f t="shared" si="33"/>
        <v>0.46259999999995216</v>
      </c>
    </row>
    <row r="1722" spans="2:10" x14ac:dyDescent="0.2">
      <c r="B1722" s="92">
        <v>2.3777780000000002</v>
      </c>
      <c r="C1722" s="92">
        <v>805.51430000000005</v>
      </c>
      <c r="D1722" s="92">
        <v>131.08150000000001</v>
      </c>
      <c r="E1722" s="92"/>
      <c r="F1722" s="92">
        <v>2.3777780000000002</v>
      </c>
      <c r="G1722" s="92">
        <v>805.04769999999996</v>
      </c>
      <c r="H1722" s="92">
        <v>130.8099</v>
      </c>
      <c r="I1722" s="92"/>
      <c r="J1722" s="93">
        <f t="shared" si="33"/>
        <v>0.46660000000008495</v>
      </c>
    </row>
    <row r="1723" spans="2:10" x14ac:dyDescent="0.2">
      <c r="B1723" s="92">
        <v>2.3791669999999998</v>
      </c>
      <c r="C1723" s="92">
        <v>805.48910000000001</v>
      </c>
      <c r="D1723" s="92">
        <v>131.07149999999999</v>
      </c>
      <c r="E1723" s="92"/>
      <c r="F1723" s="92">
        <v>2.3791669999999998</v>
      </c>
      <c r="G1723" s="92">
        <v>805.01390000000004</v>
      </c>
      <c r="H1723" s="92">
        <v>130.8049</v>
      </c>
      <c r="I1723" s="92"/>
      <c r="J1723" s="93">
        <f t="shared" si="33"/>
        <v>0.47519999999997253</v>
      </c>
    </row>
    <row r="1724" spans="2:10" x14ac:dyDescent="0.2">
      <c r="B1724" s="92">
        <v>2.3805559999999999</v>
      </c>
      <c r="C1724" s="92">
        <v>805.53319999999997</v>
      </c>
      <c r="D1724" s="92">
        <v>131.07149999999999</v>
      </c>
      <c r="E1724" s="92"/>
      <c r="F1724" s="92">
        <v>2.3805559999999999</v>
      </c>
      <c r="G1724" s="92">
        <v>805.02520000000004</v>
      </c>
      <c r="H1724" s="92">
        <v>130.8065</v>
      </c>
      <c r="I1724" s="92"/>
      <c r="J1724" s="93">
        <f t="shared" si="33"/>
        <v>0.50799999999992451</v>
      </c>
    </row>
    <row r="1725" spans="2:10" x14ac:dyDescent="0.2">
      <c r="B1725" s="92">
        <v>2.3819439999999998</v>
      </c>
      <c r="C1725" s="92">
        <v>805.4769</v>
      </c>
      <c r="D1725" s="92">
        <v>131.07650000000001</v>
      </c>
      <c r="E1725" s="92"/>
      <c r="F1725" s="92">
        <v>2.3819439999999998</v>
      </c>
      <c r="G1725" s="92">
        <v>805.02750000000003</v>
      </c>
      <c r="H1725" s="92">
        <v>130.81479999999999</v>
      </c>
      <c r="I1725" s="92"/>
      <c r="J1725" s="93">
        <f t="shared" si="33"/>
        <v>0.44939999999996871</v>
      </c>
    </row>
    <row r="1726" spans="2:10" x14ac:dyDescent="0.2">
      <c r="B1726" s="92">
        <v>2.3833329999999999</v>
      </c>
      <c r="C1726" s="92">
        <v>805.52390000000003</v>
      </c>
      <c r="D1726" s="92">
        <v>131.07980000000001</v>
      </c>
      <c r="E1726" s="92"/>
      <c r="F1726" s="92">
        <v>2.3833329999999999</v>
      </c>
      <c r="G1726" s="92">
        <v>805.04570000000001</v>
      </c>
      <c r="H1726" s="92">
        <v>130.81319999999999</v>
      </c>
      <c r="I1726" s="92"/>
      <c r="J1726" s="93">
        <f t="shared" si="33"/>
        <v>0.47820000000001528</v>
      </c>
    </row>
    <row r="1727" spans="2:10" x14ac:dyDescent="0.2">
      <c r="B1727" s="92">
        <v>2.384722</v>
      </c>
      <c r="C1727" s="92">
        <v>805.48119999999994</v>
      </c>
      <c r="D1727" s="92">
        <v>131.08150000000001</v>
      </c>
      <c r="E1727" s="92"/>
      <c r="F1727" s="92">
        <v>2.384722</v>
      </c>
      <c r="G1727" s="92">
        <v>804.99379999999996</v>
      </c>
      <c r="H1727" s="92">
        <v>130.8099</v>
      </c>
      <c r="I1727" s="92"/>
      <c r="J1727" s="93">
        <f t="shared" si="33"/>
        <v>0.48739999999997963</v>
      </c>
    </row>
    <row r="1728" spans="2:10" x14ac:dyDescent="0.2">
      <c r="B1728" s="92">
        <v>2.3861110000000001</v>
      </c>
      <c r="C1728" s="92">
        <v>805.48360000000002</v>
      </c>
      <c r="D1728" s="92">
        <v>131.07149999999999</v>
      </c>
      <c r="E1728" s="92"/>
      <c r="F1728" s="92">
        <v>2.3861110000000001</v>
      </c>
      <c r="G1728" s="92">
        <v>805.0652</v>
      </c>
      <c r="H1728" s="92">
        <v>130.81319999999999</v>
      </c>
      <c r="I1728" s="92"/>
      <c r="J1728" s="93">
        <f t="shared" si="33"/>
        <v>0.41840000000001965</v>
      </c>
    </row>
    <row r="1729" spans="2:10" x14ac:dyDescent="0.2">
      <c r="B1729" s="92">
        <v>2.3875000000000002</v>
      </c>
      <c r="C1729" s="92">
        <v>805.48220000000003</v>
      </c>
      <c r="D1729" s="92">
        <v>131.06979999999999</v>
      </c>
      <c r="E1729" s="92"/>
      <c r="F1729" s="92">
        <v>2.3875000000000002</v>
      </c>
      <c r="G1729" s="92">
        <v>805.03790000000004</v>
      </c>
      <c r="H1729" s="92">
        <v>130.8099</v>
      </c>
      <c r="I1729" s="92"/>
      <c r="J1729" s="93">
        <f t="shared" si="33"/>
        <v>0.44429999999999836</v>
      </c>
    </row>
    <row r="1730" spans="2:10" x14ac:dyDescent="0.2">
      <c r="B1730" s="92">
        <v>2.3888889999999998</v>
      </c>
      <c r="C1730" s="92">
        <v>805.51549999999997</v>
      </c>
      <c r="D1730" s="92">
        <v>131.07650000000001</v>
      </c>
      <c r="E1730" s="92"/>
      <c r="F1730" s="92">
        <v>2.3888889999999998</v>
      </c>
      <c r="G1730" s="92">
        <v>805.04769999999996</v>
      </c>
      <c r="H1730" s="92">
        <v>130.8099</v>
      </c>
      <c r="I1730" s="92"/>
      <c r="J1730" s="93">
        <f t="shared" si="33"/>
        <v>0.4678000000000111</v>
      </c>
    </row>
    <row r="1731" spans="2:10" x14ac:dyDescent="0.2">
      <c r="B1731" s="92">
        <v>2.3902779999999999</v>
      </c>
      <c r="C1731" s="92">
        <v>805.51689999999996</v>
      </c>
      <c r="D1731" s="92">
        <v>131.07810000000001</v>
      </c>
      <c r="E1731" s="92"/>
      <c r="F1731" s="92">
        <v>2.3902779999999999</v>
      </c>
      <c r="G1731" s="92">
        <v>805.077</v>
      </c>
      <c r="H1731" s="92">
        <v>130.8099</v>
      </c>
      <c r="I1731" s="92"/>
      <c r="J1731" s="93">
        <f t="shared" si="33"/>
        <v>0.43989999999996598</v>
      </c>
    </row>
    <row r="1732" spans="2:10" x14ac:dyDescent="0.2">
      <c r="B1732" s="92">
        <v>2.391667</v>
      </c>
      <c r="C1732" s="92">
        <v>805.49339999999995</v>
      </c>
      <c r="D1732" s="92">
        <v>131.07650000000001</v>
      </c>
      <c r="E1732" s="92"/>
      <c r="F1732" s="92">
        <v>2.391667</v>
      </c>
      <c r="G1732" s="92">
        <v>805.03300000000002</v>
      </c>
      <c r="H1732" s="92">
        <v>130.8099</v>
      </c>
      <c r="I1732" s="92"/>
      <c r="J1732" s="93">
        <f t="shared" si="33"/>
        <v>0.46039999999993597</v>
      </c>
    </row>
    <row r="1733" spans="2:10" x14ac:dyDescent="0.2">
      <c r="B1733" s="92">
        <v>2.3930560000000001</v>
      </c>
      <c r="C1733" s="92">
        <v>805.49770000000001</v>
      </c>
      <c r="D1733" s="92">
        <v>131.08150000000001</v>
      </c>
      <c r="E1733" s="92"/>
      <c r="F1733" s="92">
        <v>2.3930560000000001</v>
      </c>
      <c r="G1733" s="92">
        <v>805.03099999999995</v>
      </c>
      <c r="H1733" s="92">
        <v>130.81319999999999</v>
      </c>
      <c r="I1733" s="92"/>
      <c r="J1733" s="93">
        <f t="shared" si="33"/>
        <v>0.46670000000005984</v>
      </c>
    </row>
    <row r="1734" spans="2:10" x14ac:dyDescent="0.2">
      <c r="B1734" s="92">
        <v>2.394444</v>
      </c>
      <c r="C1734" s="92">
        <v>805.52099999999996</v>
      </c>
      <c r="D1734" s="92">
        <v>131.07650000000001</v>
      </c>
      <c r="E1734" s="92"/>
      <c r="F1734" s="92">
        <v>2.394444</v>
      </c>
      <c r="G1734" s="92">
        <v>805.01480000000004</v>
      </c>
      <c r="H1734" s="92">
        <v>130.8115</v>
      </c>
      <c r="I1734" s="92"/>
      <c r="J1734" s="93">
        <f t="shared" si="33"/>
        <v>0.5061999999999216</v>
      </c>
    </row>
    <row r="1735" spans="2:10" x14ac:dyDescent="0.2">
      <c r="B1735" s="92">
        <v>2.3958330000000001</v>
      </c>
      <c r="C1735" s="92">
        <v>805.50450000000001</v>
      </c>
      <c r="D1735" s="92">
        <v>131.07650000000001</v>
      </c>
      <c r="E1735" s="92"/>
      <c r="F1735" s="92">
        <v>2.3958330000000001</v>
      </c>
      <c r="G1735" s="92">
        <v>805.03189999999995</v>
      </c>
      <c r="H1735" s="92">
        <v>130.81979999999999</v>
      </c>
      <c r="I1735" s="92"/>
      <c r="J1735" s="93">
        <f t="shared" si="33"/>
        <v>0.47260000000005675</v>
      </c>
    </row>
    <row r="1736" spans="2:10" x14ac:dyDescent="0.2">
      <c r="B1736" s="92">
        <v>2.3972220000000002</v>
      </c>
      <c r="C1736" s="92">
        <v>805.50450000000001</v>
      </c>
      <c r="D1736" s="92">
        <v>131.07650000000001</v>
      </c>
      <c r="E1736" s="92"/>
      <c r="F1736" s="92">
        <v>2.3972220000000002</v>
      </c>
      <c r="G1736" s="92">
        <v>805.0154</v>
      </c>
      <c r="H1736" s="92">
        <v>130.8065</v>
      </c>
      <c r="I1736" s="92"/>
      <c r="J1736" s="93">
        <f t="shared" si="33"/>
        <v>0.48910000000000764</v>
      </c>
    </row>
    <row r="1737" spans="2:10" x14ac:dyDescent="0.2">
      <c r="B1737" s="92">
        <v>2.3986109999999998</v>
      </c>
      <c r="C1737" s="92">
        <v>805.48509999999999</v>
      </c>
      <c r="D1737" s="92">
        <v>131.07320000000001</v>
      </c>
      <c r="E1737" s="92"/>
      <c r="F1737" s="92">
        <v>2.3986109999999998</v>
      </c>
      <c r="G1737" s="92">
        <v>805.04480000000001</v>
      </c>
      <c r="H1737" s="92">
        <v>130.8065</v>
      </c>
      <c r="I1737" s="92"/>
      <c r="J1737" s="93">
        <f t="shared" si="33"/>
        <v>0.44029999999997926</v>
      </c>
    </row>
    <row r="1738" spans="2:10" x14ac:dyDescent="0.2">
      <c r="B1738" s="92">
        <v>2.4</v>
      </c>
      <c r="C1738" s="92">
        <v>805.46439999999996</v>
      </c>
      <c r="D1738" s="92">
        <v>131.07480000000001</v>
      </c>
      <c r="E1738" s="92"/>
      <c r="F1738" s="92">
        <v>2.4</v>
      </c>
      <c r="G1738" s="92">
        <v>805.02260000000001</v>
      </c>
      <c r="H1738" s="92">
        <v>130.81479999999999</v>
      </c>
      <c r="I1738" s="92"/>
      <c r="J1738" s="93">
        <f t="shared" si="33"/>
        <v>0.44179999999994379</v>
      </c>
    </row>
    <row r="1739" spans="2:10" x14ac:dyDescent="0.2">
      <c r="B1739" s="92">
        <v>2.401389</v>
      </c>
      <c r="C1739" s="92">
        <v>805.48929999999996</v>
      </c>
      <c r="D1739" s="92">
        <v>131.07810000000001</v>
      </c>
      <c r="E1739" s="92"/>
      <c r="F1739" s="92">
        <v>2.401389</v>
      </c>
      <c r="G1739" s="92">
        <v>805.04570000000001</v>
      </c>
      <c r="H1739" s="92">
        <v>130.81319999999999</v>
      </c>
      <c r="I1739" s="92"/>
      <c r="J1739" s="93">
        <f t="shared" ref="J1739:J1802" si="34">+ABS(G1739-C1739)</f>
        <v>0.4435999999999467</v>
      </c>
    </row>
    <row r="1740" spans="2:10" x14ac:dyDescent="0.2">
      <c r="B1740" s="92">
        <v>2.4027780000000001</v>
      </c>
      <c r="C1740" s="92">
        <v>805.51530000000002</v>
      </c>
      <c r="D1740" s="92">
        <v>131.06979999999999</v>
      </c>
      <c r="E1740" s="92"/>
      <c r="F1740" s="92">
        <v>2.4027780000000001</v>
      </c>
      <c r="G1740" s="92">
        <v>804.99580000000003</v>
      </c>
      <c r="H1740" s="92">
        <v>130.8065</v>
      </c>
      <c r="I1740" s="92"/>
      <c r="J1740" s="93">
        <f t="shared" si="34"/>
        <v>0.51949999999999363</v>
      </c>
    </row>
    <row r="1741" spans="2:10" x14ac:dyDescent="0.2">
      <c r="B1741" s="92">
        <v>2.4041670000000002</v>
      </c>
      <c r="C1741" s="92">
        <v>805.46749999999997</v>
      </c>
      <c r="D1741" s="92">
        <v>131.0848</v>
      </c>
      <c r="E1741" s="92"/>
      <c r="F1741" s="92">
        <v>2.4041670000000002</v>
      </c>
      <c r="G1741" s="92">
        <v>805.05510000000004</v>
      </c>
      <c r="H1741" s="92">
        <v>130.8015</v>
      </c>
      <c r="I1741" s="92"/>
      <c r="J1741" s="93">
        <f t="shared" si="34"/>
        <v>0.41239999999993415</v>
      </c>
    </row>
    <row r="1742" spans="2:10" x14ac:dyDescent="0.2">
      <c r="B1742" s="92">
        <v>2.4055559999999998</v>
      </c>
      <c r="C1742" s="92">
        <v>805.50300000000004</v>
      </c>
      <c r="D1742" s="92">
        <v>131.07480000000001</v>
      </c>
      <c r="E1742" s="92"/>
      <c r="F1742" s="92">
        <v>2.4055559999999998</v>
      </c>
      <c r="G1742" s="92">
        <v>805.06669999999997</v>
      </c>
      <c r="H1742" s="92">
        <v>130.81479999999999</v>
      </c>
      <c r="I1742" s="92"/>
      <c r="J1742" s="93">
        <f t="shared" si="34"/>
        <v>0.43630000000007385</v>
      </c>
    </row>
    <row r="1743" spans="2:10" x14ac:dyDescent="0.2">
      <c r="B1743" s="92">
        <v>2.4069440000000002</v>
      </c>
      <c r="C1743" s="92">
        <v>805.49890000000005</v>
      </c>
      <c r="D1743" s="92">
        <v>131.07650000000001</v>
      </c>
      <c r="E1743" s="92"/>
      <c r="F1743" s="92">
        <v>2.4069440000000002</v>
      </c>
      <c r="G1743" s="92">
        <v>805.02859999999998</v>
      </c>
      <c r="H1743" s="92">
        <v>130.8049</v>
      </c>
      <c r="I1743" s="92"/>
      <c r="J1743" s="93">
        <f t="shared" si="34"/>
        <v>0.47030000000006567</v>
      </c>
    </row>
    <row r="1744" spans="2:10" x14ac:dyDescent="0.2">
      <c r="B1744" s="92">
        <v>2.4083329999999998</v>
      </c>
      <c r="C1744" s="92">
        <v>805.49360000000001</v>
      </c>
      <c r="D1744" s="92">
        <v>131.0831</v>
      </c>
      <c r="E1744" s="92"/>
      <c r="F1744" s="92">
        <v>2.4083329999999998</v>
      </c>
      <c r="G1744" s="92">
        <v>804.98889999999994</v>
      </c>
      <c r="H1744" s="92">
        <v>130.8099</v>
      </c>
      <c r="I1744" s="92"/>
      <c r="J1744" s="93">
        <f t="shared" si="34"/>
        <v>0.50470000000007076</v>
      </c>
    </row>
    <row r="1745" spans="2:10" x14ac:dyDescent="0.2">
      <c r="B1745" s="92">
        <v>2.4097219999999999</v>
      </c>
      <c r="C1745" s="92">
        <v>805.48789999999997</v>
      </c>
      <c r="D1745" s="92">
        <v>131.07650000000001</v>
      </c>
      <c r="E1745" s="92"/>
      <c r="F1745" s="92">
        <v>2.4097219999999999</v>
      </c>
      <c r="G1745" s="92">
        <v>805.02170000000001</v>
      </c>
      <c r="H1745" s="92">
        <v>130.8082</v>
      </c>
      <c r="I1745" s="92"/>
      <c r="J1745" s="93">
        <f t="shared" si="34"/>
        <v>0.46619999999995798</v>
      </c>
    </row>
    <row r="1746" spans="2:10" x14ac:dyDescent="0.2">
      <c r="B1746" s="92">
        <v>2.411111</v>
      </c>
      <c r="C1746" s="92">
        <v>805.51430000000005</v>
      </c>
      <c r="D1746" s="92">
        <v>131.08150000000001</v>
      </c>
      <c r="E1746" s="92"/>
      <c r="F1746" s="92">
        <v>2.411111</v>
      </c>
      <c r="G1746" s="92">
        <v>805.03790000000004</v>
      </c>
      <c r="H1746" s="92">
        <v>130.8099</v>
      </c>
      <c r="I1746" s="92"/>
      <c r="J1746" s="93">
        <f t="shared" si="34"/>
        <v>0.47640000000001237</v>
      </c>
    </row>
    <row r="1747" spans="2:10" x14ac:dyDescent="0.2">
      <c r="B1747" s="92">
        <v>2.4125000000000001</v>
      </c>
      <c r="C1747" s="92">
        <v>805.49630000000002</v>
      </c>
      <c r="D1747" s="92">
        <v>131.07980000000001</v>
      </c>
      <c r="E1747" s="92"/>
      <c r="F1747" s="92">
        <v>2.4125000000000001</v>
      </c>
      <c r="G1747" s="92">
        <v>805.0027</v>
      </c>
      <c r="H1747" s="92">
        <v>130.8032</v>
      </c>
      <c r="I1747" s="92"/>
      <c r="J1747" s="93">
        <f t="shared" si="34"/>
        <v>0.49360000000001492</v>
      </c>
    </row>
    <row r="1748" spans="2:10" x14ac:dyDescent="0.2">
      <c r="B1748" s="92">
        <v>2.4138890000000002</v>
      </c>
      <c r="C1748" s="92">
        <v>805.53920000000005</v>
      </c>
      <c r="D1748" s="92">
        <v>131.0848</v>
      </c>
      <c r="E1748" s="92"/>
      <c r="F1748" s="92">
        <v>2.4138890000000002</v>
      </c>
      <c r="G1748" s="92">
        <v>802.76250000000005</v>
      </c>
      <c r="H1748" s="92">
        <v>130.8115</v>
      </c>
      <c r="I1748" s="92"/>
      <c r="J1748" s="93">
        <f t="shared" si="34"/>
        <v>2.7767000000000053</v>
      </c>
    </row>
    <row r="1749" spans="2:10" x14ac:dyDescent="0.2">
      <c r="B1749" s="92">
        <v>2.4152779999999998</v>
      </c>
      <c r="C1749" s="92">
        <v>798.4393</v>
      </c>
      <c r="D1749" s="92">
        <v>131.07320000000001</v>
      </c>
      <c r="E1749" s="92"/>
      <c r="F1749" s="92">
        <v>2.4152779999999998</v>
      </c>
      <c r="G1749" s="92">
        <v>796.31989999999996</v>
      </c>
      <c r="H1749" s="92">
        <v>130.8015</v>
      </c>
      <c r="I1749" s="92"/>
      <c r="J1749" s="93">
        <f t="shared" si="34"/>
        <v>2.1194000000000415</v>
      </c>
    </row>
    <row r="1750" spans="2:10" x14ac:dyDescent="0.2">
      <c r="B1750" s="92">
        <v>2.4166669999999999</v>
      </c>
      <c r="C1750" s="92">
        <v>795.7405</v>
      </c>
      <c r="D1750" s="92">
        <v>131.06979999999999</v>
      </c>
      <c r="E1750" s="92"/>
      <c r="F1750" s="92">
        <v>2.4166669999999999</v>
      </c>
      <c r="G1750" s="92">
        <v>792.44600000000003</v>
      </c>
      <c r="H1750" s="92">
        <v>130.79490000000001</v>
      </c>
      <c r="I1750" s="92"/>
      <c r="J1750" s="93">
        <f t="shared" si="34"/>
        <v>3.2944999999999709</v>
      </c>
    </row>
    <row r="1751" spans="2:10" x14ac:dyDescent="0.2">
      <c r="B1751" s="92">
        <v>2.418056</v>
      </c>
      <c r="C1751" s="92">
        <v>791.36540000000002</v>
      </c>
      <c r="D1751" s="92">
        <v>131.04660000000001</v>
      </c>
      <c r="E1751" s="92"/>
      <c r="F1751" s="92">
        <v>2.418056</v>
      </c>
      <c r="G1751" s="92">
        <v>787.96540000000005</v>
      </c>
      <c r="H1751" s="92">
        <v>130.75989999999999</v>
      </c>
      <c r="I1751" s="92"/>
      <c r="J1751" s="93">
        <f t="shared" si="34"/>
        <v>3.3999999999999773</v>
      </c>
    </row>
    <row r="1752" spans="2:10" x14ac:dyDescent="0.2">
      <c r="B1752" s="92">
        <v>2.4194439999999999</v>
      </c>
      <c r="C1752" s="92">
        <v>786.37990000000002</v>
      </c>
      <c r="D1752" s="92">
        <v>131.01840000000001</v>
      </c>
      <c r="E1752" s="92"/>
      <c r="F1752" s="92">
        <v>2.4194439999999999</v>
      </c>
      <c r="G1752" s="92">
        <v>783.06889999999999</v>
      </c>
      <c r="H1752" s="92">
        <v>130.7132</v>
      </c>
      <c r="I1752" s="92"/>
      <c r="J1752" s="93">
        <f t="shared" si="34"/>
        <v>3.3110000000000355</v>
      </c>
    </row>
    <row r="1753" spans="2:10" x14ac:dyDescent="0.2">
      <c r="B1753" s="92">
        <v>2.420833</v>
      </c>
      <c r="C1753" s="92">
        <v>782.4778</v>
      </c>
      <c r="D1753" s="92">
        <v>130.96690000000001</v>
      </c>
      <c r="E1753" s="92"/>
      <c r="F1753" s="92">
        <v>2.420833</v>
      </c>
      <c r="G1753" s="92">
        <v>779.81299999999999</v>
      </c>
      <c r="H1753" s="92">
        <v>130.6549</v>
      </c>
      <c r="I1753" s="92"/>
      <c r="J1753" s="93">
        <f t="shared" si="34"/>
        <v>2.6648000000000138</v>
      </c>
    </row>
    <row r="1754" spans="2:10" x14ac:dyDescent="0.2">
      <c r="B1754" s="92">
        <v>2.4222220000000001</v>
      </c>
      <c r="C1754" s="92">
        <v>778.73739999999998</v>
      </c>
      <c r="D1754" s="92">
        <v>130.90379999999999</v>
      </c>
      <c r="E1754" s="92"/>
      <c r="F1754" s="92">
        <v>2.4222220000000001</v>
      </c>
      <c r="G1754" s="92">
        <v>774.97080000000005</v>
      </c>
      <c r="H1754" s="92">
        <v>130.56649999999999</v>
      </c>
      <c r="I1754" s="92"/>
      <c r="J1754" s="93">
        <f t="shared" si="34"/>
        <v>3.7665999999999258</v>
      </c>
    </row>
    <row r="1755" spans="2:10" x14ac:dyDescent="0.2">
      <c r="B1755" s="92">
        <v>2.4236110000000002</v>
      </c>
      <c r="C1755" s="92">
        <v>773.80970000000002</v>
      </c>
      <c r="D1755" s="92">
        <v>130.81739999999999</v>
      </c>
      <c r="E1755" s="92"/>
      <c r="F1755" s="92">
        <v>2.4236110000000002</v>
      </c>
      <c r="G1755" s="92">
        <v>770.5675</v>
      </c>
      <c r="H1755" s="92">
        <v>130.4632</v>
      </c>
      <c r="I1755" s="92"/>
      <c r="J1755" s="93">
        <f t="shared" si="34"/>
        <v>3.2422000000000253</v>
      </c>
    </row>
    <row r="1756" spans="2:10" x14ac:dyDescent="0.2">
      <c r="B1756" s="92">
        <v>2.4249999999999998</v>
      </c>
      <c r="C1756" s="92">
        <v>769.34889999999996</v>
      </c>
      <c r="D1756" s="92">
        <v>130.7012</v>
      </c>
      <c r="E1756" s="92"/>
      <c r="F1756" s="92">
        <v>2.4249999999999998</v>
      </c>
      <c r="G1756" s="92">
        <v>766.27930000000003</v>
      </c>
      <c r="H1756" s="92">
        <v>130.34989999999999</v>
      </c>
      <c r="I1756" s="92"/>
      <c r="J1756" s="93">
        <f t="shared" si="34"/>
        <v>3.0695999999999231</v>
      </c>
    </row>
    <row r="1757" spans="2:10" x14ac:dyDescent="0.2">
      <c r="B1757" s="92">
        <v>2.4263889999999999</v>
      </c>
      <c r="C1757" s="92">
        <v>765.23509999999999</v>
      </c>
      <c r="D1757" s="92">
        <v>130.58330000000001</v>
      </c>
      <c r="E1757" s="92"/>
      <c r="F1757" s="92">
        <v>2.4263889999999999</v>
      </c>
      <c r="G1757" s="92">
        <v>762.05780000000004</v>
      </c>
      <c r="H1757" s="92">
        <v>130.20330000000001</v>
      </c>
      <c r="I1757" s="92"/>
      <c r="J1757" s="93">
        <f t="shared" si="34"/>
        <v>3.1772999999999456</v>
      </c>
    </row>
    <row r="1758" spans="2:10" x14ac:dyDescent="0.2">
      <c r="B1758" s="92">
        <v>2.427778</v>
      </c>
      <c r="C1758" s="92">
        <v>760.75490000000002</v>
      </c>
      <c r="D1758" s="92">
        <v>130.44710000000001</v>
      </c>
      <c r="E1758" s="92"/>
      <c r="F1758" s="92">
        <v>2.427778</v>
      </c>
      <c r="G1758" s="92">
        <v>757.37249999999995</v>
      </c>
      <c r="H1758" s="92">
        <v>130.05000000000001</v>
      </c>
      <c r="I1758" s="92"/>
      <c r="J1758" s="93">
        <f t="shared" si="34"/>
        <v>3.3824000000000751</v>
      </c>
    </row>
    <row r="1759" spans="2:10" x14ac:dyDescent="0.2">
      <c r="B1759" s="92">
        <v>2.4291670000000001</v>
      </c>
      <c r="C1759" s="92">
        <v>756.21460000000002</v>
      </c>
      <c r="D1759" s="92">
        <v>130.2894</v>
      </c>
      <c r="E1759" s="92"/>
      <c r="F1759" s="92">
        <v>2.4291670000000001</v>
      </c>
      <c r="G1759" s="92">
        <v>751.39409999999998</v>
      </c>
      <c r="H1759" s="92">
        <v>129.88669999999999</v>
      </c>
      <c r="I1759" s="92"/>
      <c r="J1759" s="93">
        <f t="shared" si="34"/>
        <v>4.8205000000000382</v>
      </c>
    </row>
    <row r="1760" spans="2:10" x14ac:dyDescent="0.2">
      <c r="B1760" s="92">
        <v>2.4305560000000002</v>
      </c>
      <c r="C1760" s="92">
        <v>750.07989999999995</v>
      </c>
      <c r="D1760" s="92">
        <v>130.13329999999999</v>
      </c>
      <c r="E1760" s="92"/>
      <c r="F1760" s="92">
        <v>2.4305560000000002</v>
      </c>
      <c r="G1760" s="92">
        <v>750.08150000000001</v>
      </c>
      <c r="H1760" s="92">
        <v>129.7268</v>
      </c>
      <c r="I1760" s="92"/>
      <c r="J1760" s="93">
        <f t="shared" si="34"/>
        <v>1.6000000000531145E-3</v>
      </c>
    </row>
    <row r="1761" spans="2:10" x14ac:dyDescent="0.2">
      <c r="B1761" s="92">
        <v>2.4319440000000001</v>
      </c>
      <c r="C1761" s="92">
        <v>749.94849999999997</v>
      </c>
      <c r="D1761" s="92">
        <v>129.97559999999999</v>
      </c>
      <c r="E1761" s="92"/>
      <c r="F1761" s="92">
        <v>2.4319440000000001</v>
      </c>
      <c r="G1761" s="92">
        <v>749.87360000000001</v>
      </c>
      <c r="H1761" s="92">
        <v>129.5718</v>
      </c>
      <c r="I1761" s="92"/>
      <c r="J1761" s="93">
        <f t="shared" si="34"/>
        <v>7.489999999995689E-2</v>
      </c>
    </row>
    <row r="1762" spans="2:10" x14ac:dyDescent="0.2">
      <c r="B1762" s="92">
        <v>2.4333330000000002</v>
      </c>
      <c r="C1762" s="92">
        <v>749.79089999999997</v>
      </c>
      <c r="D1762" s="92">
        <v>129.81960000000001</v>
      </c>
      <c r="E1762" s="92"/>
      <c r="F1762" s="92">
        <v>2.4333330000000002</v>
      </c>
      <c r="G1762" s="92">
        <v>749.73350000000005</v>
      </c>
      <c r="H1762" s="92">
        <v>129.4402</v>
      </c>
      <c r="I1762" s="92"/>
      <c r="J1762" s="93">
        <f t="shared" si="34"/>
        <v>5.7399999999915963E-2</v>
      </c>
    </row>
    <row r="1763" spans="2:10" x14ac:dyDescent="0.2">
      <c r="B1763" s="92">
        <v>2.4347219999999998</v>
      </c>
      <c r="C1763" s="92">
        <v>749.66809999999998</v>
      </c>
      <c r="D1763" s="92">
        <v>129.6934</v>
      </c>
      <c r="E1763" s="92"/>
      <c r="F1763" s="92">
        <v>2.4347219999999998</v>
      </c>
      <c r="G1763" s="92">
        <v>749.6028</v>
      </c>
      <c r="H1763" s="92">
        <v>129.33860000000001</v>
      </c>
      <c r="I1763" s="92"/>
      <c r="J1763" s="93">
        <f t="shared" si="34"/>
        <v>6.5299999999979264E-2</v>
      </c>
    </row>
    <row r="1764" spans="2:10" x14ac:dyDescent="0.2">
      <c r="B1764" s="92">
        <v>2.4361109999999999</v>
      </c>
      <c r="C1764" s="92">
        <v>749.47040000000004</v>
      </c>
      <c r="D1764" s="92">
        <v>129.59049999999999</v>
      </c>
      <c r="E1764" s="92"/>
      <c r="F1764" s="92">
        <v>2.4361109999999999</v>
      </c>
      <c r="G1764" s="92">
        <v>749.44240000000002</v>
      </c>
      <c r="H1764" s="92">
        <v>129.24870000000001</v>
      </c>
      <c r="I1764" s="92"/>
      <c r="J1764" s="93">
        <f t="shared" si="34"/>
        <v>2.8000000000020009E-2</v>
      </c>
    </row>
    <row r="1765" spans="2:10" x14ac:dyDescent="0.2">
      <c r="B1765" s="92">
        <v>2.4375</v>
      </c>
      <c r="C1765" s="92">
        <v>749.35310000000004</v>
      </c>
      <c r="D1765" s="92">
        <v>129.51249999999999</v>
      </c>
      <c r="E1765" s="92"/>
      <c r="F1765" s="92">
        <v>2.4375</v>
      </c>
      <c r="G1765" s="92">
        <v>749.34749999999997</v>
      </c>
      <c r="H1765" s="92">
        <v>129.18539999999999</v>
      </c>
      <c r="I1765" s="92"/>
      <c r="J1765" s="93">
        <f t="shared" si="34"/>
        <v>5.6000000000722139E-3</v>
      </c>
    </row>
    <row r="1766" spans="2:10" x14ac:dyDescent="0.2">
      <c r="B1766" s="92">
        <v>2.4388890000000001</v>
      </c>
      <c r="C1766" s="92">
        <v>749.18060000000003</v>
      </c>
      <c r="D1766" s="92">
        <v>129.44110000000001</v>
      </c>
      <c r="E1766" s="92"/>
      <c r="F1766" s="92">
        <v>2.4388890000000001</v>
      </c>
      <c r="G1766" s="92">
        <v>749.18060000000003</v>
      </c>
      <c r="H1766" s="92">
        <v>129.12370000000001</v>
      </c>
      <c r="I1766" s="92"/>
      <c r="J1766" s="93">
        <f t="shared" si="34"/>
        <v>0</v>
      </c>
    </row>
    <row r="1767" spans="2:10" x14ac:dyDescent="0.2">
      <c r="B1767" s="92">
        <v>2.4402780000000002</v>
      </c>
      <c r="C1767" s="92">
        <v>749.03920000000005</v>
      </c>
      <c r="D1767" s="92">
        <v>129.38800000000001</v>
      </c>
      <c r="E1767" s="92"/>
      <c r="F1767" s="92">
        <v>2.4402780000000002</v>
      </c>
      <c r="G1767" s="92">
        <v>749.00009999999997</v>
      </c>
      <c r="H1767" s="92">
        <v>129.0754</v>
      </c>
      <c r="I1767" s="92"/>
      <c r="J1767" s="93">
        <f t="shared" si="34"/>
        <v>3.9100000000075852E-2</v>
      </c>
    </row>
    <row r="1768" spans="2:10" x14ac:dyDescent="0.2">
      <c r="B1768" s="92">
        <v>2.4416669999999998</v>
      </c>
      <c r="C1768" s="92">
        <v>748.88149999999996</v>
      </c>
      <c r="D1768" s="92">
        <v>129.32830000000001</v>
      </c>
      <c r="E1768" s="92"/>
      <c r="F1768" s="92">
        <v>2.4416669999999998</v>
      </c>
      <c r="G1768" s="92">
        <v>748.90480000000002</v>
      </c>
      <c r="H1768" s="92">
        <v>129.02379999999999</v>
      </c>
      <c r="I1768" s="92"/>
      <c r="J1768" s="93">
        <f t="shared" si="34"/>
        <v>2.3300000000062937E-2</v>
      </c>
    </row>
    <row r="1769" spans="2:10" x14ac:dyDescent="0.2">
      <c r="B1769" s="92">
        <v>2.4430559999999999</v>
      </c>
      <c r="C1769" s="92">
        <v>748.71550000000002</v>
      </c>
      <c r="D1769" s="92">
        <v>129.27180000000001</v>
      </c>
      <c r="E1769" s="92"/>
      <c r="F1769" s="92">
        <v>2.4430559999999999</v>
      </c>
      <c r="G1769" s="92">
        <v>748.68560000000002</v>
      </c>
      <c r="H1769" s="92">
        <v>128.98220000000001</v>
      </c>
      <c r="I1769" s="92"/>
      <c r="J1769" s="93">
        <f t="shared" si="34"/>
        <v>2.9899999999997817E-2</v>
      </c>
    </row>
    <row r="1770" spans="2:10" x14ac:dyDescent="0.2">
      <c r="B1770" s="92">
        <v>2.4444439999999998</v>
      </c>
      <c r="C1770" s="92">
        <v>748.54769999999996</v>
      </c>
      <c r="D1770" s="92">
        <v>129.227</v>
      </c>
      <c r="E1770" s="92"/>
      <c r="F1770" s="92">
        <v>2.4444439999999998</v>
      </c>
      <c r="G1770" s="92">
        <v>748.54290000000003</v>
      </c>
      <c r="H1770" s="92">
        <v>128.93219999999999</v>
      </c>
      <c r="I1770" s="92"/>
      <c r="J1770" s="93">
        <f t="shared" si="34"/>
        <v>4.7999999999319698E-3</v>
      </c>
    </row>
    <row r="1771" spans="2:10" x14ac:dyDescent="0.2">
      <c r="B1771" s="92">
        <v>2.4458329999999999</v>
      </c>
      <c r="C1771" s="92">
        <v>748.44510000000002</v>
      </c>
      <c r="D1771" s="92">
        <v>129.16730000000001</v>
      </c>
      <c r="E1771" s="92"/>
      <c r="F1771" s="92">
        <v>2.4458329999999999</v>
      </c>
      <c r="G1771" s="92">
        <v>748.39750000000004</v>
      </c>
      <c r="H1771" s="92">
        <v>128.87889999999999</v>
      </c>
      <c r="I1771" s="92"/>
      <c r="J1771" s="93">
        <f t="shared" si="34"/>
        <v>4.759999999998854E-2</v>
      </c>
    </row>
    <row r="1772" spans="2:10" x14ac:dyDescent="0.2">
      <c r="B1772" s="92">
        <v>2.447222</v>
      </c>
      <c r="C1772" s="92">
        <v>748.2654</v>
      </c>
      <c r="D1772" s="92">
        <v>129.10749999999999</v>
      </c>
      <c r="E1772" s="92"/>
      <c r="F1772" s="92">
        <v>2.447222</v>
      </c>
      <c r="G1772" s="92">
        <v>748.21699999999998</v>
      </c>
      <c r="H1772" s="92">
        <v>128.8306</v>
      </c>
      <c r="I1772" s="92"/>
      <c r="J1772" s="93">
        <f t="shared" si="34"/>
        <v>4.8400000000015098E-2</v>
      </c>
    </row>
    <row r="1773" spans="2:10" x14ac:dyDescent="0.2">
      <c r="B1773" s="92">
        <v>2.4486110000000001</v>
      </c>
      <c r="C1773" s="92">
        <v>748.06489999999997</v>
      </c>
      <c r="D1773" s="92">
        <v>129.05609999999999</v>
      </c>
      <c r="E1773" s="92"/>
      <c r="F1773" s="92">
        <v>2.4486110000000001</v>
      </c>
      <c r="G1773" s="92">
        <v>748.05110000000002</v>
      </c>
      <c r="H1773" s="92">
        <v>128.76400000000001</v>
      </c>
      <c r="I1773" s="92"/>
      <c r="J1773" s="93">
        <f t="shared" si="34"/>
        <v>1.3799999999946522E-2</v>
      </c>
    </row>
    <row r="1774" spans="2:10" x14ac:dyDescent="0.2">
      <c r="B1774" s="92">
        <v>2.4500000000000002</v>
      </c>
      <c r="C1774" s="92">
        <v>747.93510000000003</v>
      </c>
      <c r="D1774" s="92">
        <v>128.9897</v>
      </c>
      <c r="E1774" s="92"/>
      <c r="F1774" s="92">
        <v>2.4500000000000002</v>
      </c>
      <c r="G1774" s="92">
        <v>747.88890000000004</v>
      </c>
      <c r="H1774" s="92">
        <v>128.714</v>
      </c>
      <c r="I1774" s="92"/>
      <c r="J1774" s="93">
        <f t="shared" si="34"/>
        <v>4.6199999999998909E-2</v>
      </c>
    </row>
    <row r="1775" spans="2:10" x14ac:dyDescent="0.2">
      <c r="B1775" s="92">
        <v>2.4513889999999998</v>
      </c>
      <c r="C1775" s="92">
        <v>747.76649999999995</v>
      </c>
      <c r="D1775" s="92">
        <v>128.93</v>
      </c>
      <c r="E1775" s="92"/>
      <c r="F1775" s="92">
        <v>2.4513889999999998</v>
      </c>
      <c r="G1775" s="92">
        <v>747.75109999999995</v>
      </c>
      <c r="H1775" s="92">
        <v>128.64570000000001</v>
      </c>
      <c r="I1775" s="92"/>
      <c r="J1775" s="93">
        <f t="shared" si="34"/>
        <v>1.5399999999999636E-2</v>
      </c>
    </row>
    <row r="1776" spans="2:10" x14ac:dyDescent="0.2">
      <c r="B1776" s="92">
        <v>2.4527779999999999</v>
      </c>
      <c r="C1776" s="92">
        <v>747.57899999999995</v>
      </c>
      <c r="D1776" s="92">
        <v>128.8603</v>
      </c>
      <c r="E1776" s="92"/>
      <c r="F1776" s="92">
        <v>2.4527779999999999</v>
      </c>
      <c r="G1776" s="92">
        <v>747.59109999999998</v>
      </c>
      <c r="H1776" s="92">
        <v>128.5925</v>
      </c>
      <c r="I1776" s="92"/>
      <c r="J1776" s="93">
        <f t="shared" si="34"/>
        <v>1.2100000000032196E-2</v>
      </c>
    </row>
    <row r="1777" spans="2:10" x14ac:dyDescent="0.2">
      <c r="B1777" s="92">
        <v>2.454167</v>
      </c>
      <c r="C1777" s="92">
        <v>747.47080000000005</v>
      </c>
      <c r="D1777" s="92">
        <v>128.80719999999999</v>
      </c>
      <c r="E1777" s="92"/>
      <c r="F1777" s="92">
        <v>2.454167</v>
      </c>
      <c r="G1777" s="92">
        <v>747.42129999999997</v>
      </c>
      <c r="H1777" s="92">
        <v>128.53919999999999</v>
      </c>
      <c r="I1777" s="92"/>
      <c r="J1777" s="93">
        <f t="shared" si="34"/>
        <v>4.9500000000080036E-2</v>
      </c>
    </row>
    <row r="1778" spans="2:10" x14ac:dyDescent="0.2">
      <c r="B1778" s="92">
        <v>2.4555560000000001</v>
      </c>
      <c r="C1778" s="92">
        <v>747.26930000000004</v>
      </c>
      <c r="D1778" s="92">
        <v>128.7475</v>
      </c>
      <c r="E1778" s="92"/>
      <c r="F1778" s="92">
        <v>2.4555560000000001</v>
      </c>
      <c r="G1778" s="92">
        <v>747.27430000000004</v>
      </c>
      <c r="H1778" s="92">
        <v>128.4776</v>
      </c>
      <c r="I1778" s="92"/>
      <c r="J1778" s="93">
        <f t="shared" si="34"/>
        <v>4.9999999999954525E-3</v>
      </c>
    </row>
    <row r="1779" spans="2:10" x14ac:dyDescent="0.2">
      <c r="B1779" s="92">
        <v>2.456944</v>
      </c>
      <c r="C1779" s="92">
        <v>747.09839999999997</v>
      </c>
      <c r="D1779" s="92">
        <v>128.67779999999999</v>
      </c>
      <c r="E1779" s="92"/>
      <c r="F1779" s="92">
        <v>2.456944</v>
      </c>
      <c r="G1779" s="92">
        <v>747.12450000000001</v>
      </c>
      <c r="H1779" s="92">
        <v>128.4126</v>
      </c>
      <c r="I1779" s="92"/>
      <c r="J1779" s="93">
        <f t="shared" si="34"/>
        <v>2.6100000000042201E-2</v>
      </c>
    </row>
    <row r="1780" spans="2:10" x14ac:dyDescent="0.2">
      <c r="B1780" s="92">
        <v>2.4583330000000001</v>
      </c>
      <c r="C1780" s="92">
        <v>746.95590000000004</v>
      </c>
      <c r="D1780" s="92">
        <v>128.62299999999999</v>
      </c>
      <c r="E1780" s="92"/>
      <c r="F1780" s="92">
        <v>2.4583330000000001</v>
      </c>
      <c r="G1780" s="92">
        <v>746.96680000000003</v>
      </c>
      <c r="H1780" s="92">
        <v>128.35599999999999</v>
      </c>
      <c r="I1780" s="92"/>
      <c r="J1780" s="93">
        <f t="shared" si="34"/>
        <v>1.089999999999236E-2</v>
      </c>
    </row>
    <row r="1781" spans="2:10" x14ac:dyDescent="0.2">
      <c r="B1781" s="92">
        <v>2.4597220000000002</v>
      </c>
      <c r="C1781" s="92">
        <v>746.80550000000005</v>
      </c>
      <c r="D1781" s="92">
        <v>128.5583</v>
      </c>
      <c r="E1781" s="92"/>
      <c r="F1781" s="92">
        <v>2.4597220000000002</v>
      </c>
      <c r="G1781" s="92">
        <v>746.79539999999997</v>
      </c>
      <c r="H1781" s="92">
        <v>128.2944</v>
      </c>
      <c r="I1781" s="92"/>
      <c r="J1781" s="93">
        <f t="shared" si="34"/>
        <v>1.010000000007949E-2</v>
      </c>
    </row>
    <row r="1782" spans="2:10" x14ac:dyDescent="0.2">
      <c r="B1782" s="92">
        <v>2.4611109999999998</v>
      </c>
      <c r="C1782" s="92">
        <v>746.67049999999995</v>
      </c>
      <c r="D1782" s="92">
        <v>128.4853</v>
      </c>
      <c r="E1782" s="92"/>
      <c r="F1782" s="92">
        <v>2.4611109999999998</v>
      </c>
      <c r="G1782" s="92">
        <v>746.6377</v>
      </c>
      <c r="H1782" s="92">
        <v>128.23779999999999</v>
      </c>
      <c r="I1782" s="92"/>
      <c r="J1782" s="93">
        <f t="shared" si="34"/>
        <v>3.2799999999951979E-2</v>
      </c>
    </row>
    <row r="1783" spans="2:10" x14ac:dyDescent="0.2">
      <c r="B1783" s="92">
        <v>2.4624999999999999</v>
      </c>
      <c r="C1783" s="92">
        <v>746.4828</v>
      </c>
      <c r="D1783" s="92">
        <v>128.4289</v>
      </c>
      <c r="E1783" s="92"/>
      <c r="F1783" s="92">
        <v>2.4624999999999999</v>
      </c>
      <c r="G1783" s="92">
        <v>746.49030000000005</v>
      </c>
      <c r="H1783" s="92">
        <v>128.1695</v>
      </c>
      <c r="I1783" s="92"/>
      <c r="J1783" s="93">
        <f t="shared" si="34"/>
        <v>7.5000000000500222E-3</v>
      </c>
    </row>
    <row r="1784" spans="2:10" x14ac:dyDescent="0.2">
      <c r="B1784" s="92">
        <v>2.463889</v>
      </c>
      <c r="C1784" s="92">
        <v>746.32579999999996</v>
      </c>
      <c r="D1784" s="92">
        <v>128.35589999999999</v>
      </c>
      <c r="E1784" s="92"/>
      <c r="F1784" s="92">
        <v>2.463889</v>
      </c>
      <c r="G1784" s="92">
        <v>746.31399999999996</v>
      </c>
      <c r="H1784" s="92">
        <v>128.1079</v>
      </c>
      <c r="I1784" s="92"/>
      <c r="J1784" s="93">
        <f t="shared" si="34"/>
        <v>1.1799999999993815E-2</v>
      </c>
    </row>
    <row r="1785" spans="2:10" x14ac:dyDescent="0.2">
      <c r="B1785" s="92">
        <v>2.4652780000000001</v>
      </c>
      <c r="C1785" s="92">
        <v>746.14940000000001</v>
      </c>
      <c r="D1785" s="92">
        <v>128.2929</v>
      </c>
      <c r="E1785" s="92"/>
      <c r="F1785" s="92">
        <v>2.4652780000000001</v>
      </c>
      <c r="G1785" s="92">
        <v>746.14930000000004</v>
      </c>
      <c r="H1785" s="92">
        <v>128.03630000000001</v>
      </c>
      <c r="I1785" s="92"/>
      <c r="J1785" s="93">
        <f t="shared" si="34"/>
        <v>9.9999999974897946E-5</v>
      </c>
    </row>
    <row r="1786" spans="2:10" x14ac:dyDescent="0.2">
      <c r="B1786" s="92">
        <v>2.4666670000000002</v>
      </c>
      <c r="C1786" s="92">
        <v>745.99639999999999</v>
      </c>
      <c r="D1786" s="92">
        <v>128.22489999999999</v>
      </c>
      <c r="E1786" s="92"/>
      <c r="F1786" s="92">
        <v>2.4666670000000002</v>
      </c>
      <c r="G1786" s="92">
        <v>745.98069999999996</v>
      </c>
      <c r="H1786" s="92">
        <v>127.97799999999999</v>
      </c>
      <c r="I1786" s="92"/>
      <c r="J1786" s="93">
        <f t="shared" si="34"/>
        <v>1.5700000000038017E-2</v>
      </c>
    </row>
    <row r="1787" spans="2:10" x14ac:dyDescent="0.2">
      <c r="B1787" s="92">
        <v>2.4680559999999998</v>
      </c>
      <c r="C1787" s="92">
        <v>745.80370000000005</v>
      </c>
      <c r="D1787" s="92">
        <v>128.15520000000001</v>
      </c>
      <c r="E1787" s="92"/>
      <c r="F1787" s="92">
        <v>2.4680559999999998</v>
      </c>
      <c r="G1787" s="92">
        <v>745.82219999999995</v>
      </c>
      <c r="H1787" s="92">
        <v>127.9081</v>
      </c>
      <c r="I1787" s="92"/>
      <c r="J1787" s="93">
        <f t="shared" si="34"/>
        <v>1.8499999999903594E-2</v>
      </c>
    </row>
    <row r="1788" spans="2:10" x14ac:dyDescent="0.2">
      <c r="B1788" s="92">
        <v>2.4694440000000002</v>
      </c>
      <c r="C1788" s="92">
        <v>745.68780000000004</v>
      </c>
      <c r="D1788" s="92">
        <v>128.09219999999999</v>
      </c>
      <c r="E1788" s="92"/>
      <c r="F1788" s="92">
        <v>2.4694440000000002</v>
      </c>
      <c r="G1788" s="92">
        <v>745.66290000000004</v>
      </c>
      <c r="H1788" s="92">
        <v>127.8432</v>
      </c>
      <c r="I1788" s="92"/>
      <c r="J1788" s="93">
        <f t="shared" si="34"/>
        <v>2.4900000000002365E-2</v>
      </c>
    </row>
    <row r="1789" spans="2:10" x14ac:dyDescent="0.2">
      <c r="B1789" s="92">
        <v>2.4708329999999998</v>
      </c>
      <c r="C1789" s="92">
        <v>745.53229999999996</v>
      </c>
      <c r="D1789" s="92">
        <v>128.02080000000001</v>
      </c>
      <c r="E1789" s="92"/>
      <c r="F1789" s="92">
        <v>2.4708329999999998</v>
      </c>
      <c r="G1789" s="92">
        <v>745.49699999999996</v>
      </c>
      <c r="H1789" s="92">
        <v>127.76990000000001</v>
      </c>
      <c r="I1789" s="92"/>
      <c r="J1789" s="93">
        <f t="shared" si="34"/>
        <v>3.5300000000006548E-2</v>
      </c>
    </row>
    <row r="1790" spans="2:10" x14ac:dyDescent="0.2">
      <c r="B1790" s="92">
        <v>2.4722219999999999</v>
      </c>
      <c r="C1790" s="92">
        <v>745.36689999999999</v>
      </c>
      <c r="D1790" s="92">
        <v>127.95780000000001</v>
      </c>
      <c r="E1790" s="92"/>
      <c r="F1790" s="92">
        <v>2.4722219999999999</v>
      </c>
      <c r="G1790" s="92">
        <v>745.31290000000001</v>
      </c>
      <c r="H1790" s="92">
        <v>127.6983</v>
      </c>
      <c r="I1790" s="92"/>
      <c r="J1790" s="93">
        <f t="shared" si="34"/>
        <v>5.3999999999973625E-2</v>
      </c>
    </row>
    <row r="1791" spans="2:10" x14ac:dyDescent="0.2">
      <c r="B1791" s="92">
        <v>2.473611</v>
      </c>
      <c r="C1791" s="92">
        <v>745.19259999999997</v>
      </c>
      <c r="D1791" s="92">
        <v>127.87649999999999</v>
      </c>
      <c r="E1791" s="92"/>
      <c r="F1791" s="92">
        <v>2.473611</v>
      </c>
      <c r="G1791" s="92">
        <v>745.2242</v>
      </c>
      <c r="H1791" s="92">
        <v>127.6301</v>
      </c>
      <c r="I1791" s="92"/>
      <c r="J1791" s="93">
        <f t="shared" si="34"/>
        <v>3.160000000002583E-2</v>
      </c>
    </row>
    <row r="1792" spans="2:10" x14ac:dyDescent="0.2">
      <c r="B1792" s="92">
        <v>2.4750000000000001</v>
      </c>
      <c r="C1792" s="92">
        <v>745.04390000000001</v>
      </c>
      <c r="D1792" s="92">
        <v>127.8069</v>
      </c>
      <c r="E1792" s="92"/>
      <c r="F1792" s="92">
        <v>2.4750000000000001</v>
      </c>
      <c r="G1792" s="92">
        <v>745.00689999999997</v>
      </c>
      <c r="H1792" s="92">
        <v>127.5535</v>
      </c>
      <c r="I1792" s="92"/>
      <c r="J1792" s="93">
        <f t="shared" si="34"/>
        <v>3.7000000000034561E-2</v>
      </c>
    </row>
    <row r="1793" spans="2:10" x14ac:dyDescent="0.2">
      <c r="B1793" s="92">
        <v>2.4763890000000002</v>
      </c>
      <c r="C1793" s="92">
        <v>744.89580000000001</v>
      </c>
      <c r="D1793" s="92">
        <v>127.724</v>
      </c>
      <c r="E1793" s="92"/>
      <c r="F1793" s="92">
        <v>2.4763890000000002</v>
      </c>
      <c r="G1793" s="92">
        <v>744.85919999999999</v>
      </c>
      <c r="H1793" s="92">
        <v>127.4786</v>
      </c>
      <c r="I1793" s="92"/>
      <c r="J1793" s="93">
        <f t="shared" si="34"/>
        <v>3.6600000000021282E-2</v>
      </c>
    </row>
    <row r="1794" spans="2:10" x14ac:dyDescent="0.2">
      <c r="B1794" s="92">
        <v>2.4777779999999998</v>
      </c>
      <c r="C1794" s="92">
        <v>744.71759999999995</v>
      </c>
      <c r="D1794" s="92">
        <v>127.6377</v>
      </c>
      <c r="E1794" s="92"/>
      <c r="F1794" s="92">
        <v>2.4777779999999998</v>
      </c>
      <c r="G1794" s="92">
        <v>744.71159999999998</v>
      </c>
      <c r="H1794" s="92">
        <v>127.4036</v>
      </c>
      <c r="I1794" s="92"/>
      <c r="J1794" s="93">
        <f t="shared" si="34"/>
        <v>5.9999999999718057E-3</v>
      </c>
    </row>
    <row r="1795" spans="2:10" x14ac:dyDescent="0.2">
      <c r="B1795" s="92">
        <v>2.4791669999999999</v>
      </c>
      <c r="C1795" s="92">
        <v>744.5625</v>
      </c>
      <c r="D1795" s="92">
        <v>127.5598</v>
      </c>
      <c r="E1795" s="92"/>
      <c r="F1795" s="92">
        <v>2.4791669999999999</v>
      </c>
      <c r="G1795" s="92">
        <v>744.57420000000002</v>
      </c>
      <c r="H1795" s="92">
        <v>127.3171</v>
      </c>
      <c r="I1795" s="92"/>
      <c r="J1795" s="93">
        <f t="shared" si="34"/>
        <v>1.1700000000018917E-2</v>
      </c>
    </row>
    <row r="1796" spans="2:10" x14ac:dyDescent="0.2">
      <c r="B1796" s="92">
        <v>2.480556</v>
      </c>
      <c r="C1796" s="92">
        <v>744.43330000000003</v>
      </c>
      <c r="D1796" s="92">
        <v>127.4868</v>
      </c>
      <c r="E1796" s="92"/>
      <c r="F1796" s="92">
        <v>2.480556</v>
      </c>
      <c r="G1796" s="92">
        <v>744.38049999999998</v>
      </c>
      <c r="H1796" s="92">
        <v>127.24550000000001</v>
      </c>
      <c r="I1796" s="92"/>
      <c r="J1796" s="93">
        <f t="shared" si="34"/>
        <v>5.2800000000047476E-2</v>
      </c>
    </row>
    <row r="1797" spans="2:10" x14ac:dyDescent="0.2">
      <c r="B1797" s="92">
        <v>2.4819439999999999</v>
      </c>
      <c r="C1797" s="92">
        <v>744.26859999999999</v>
      </c>
      <c r="D1797" s="92">
        <v>127.4105</v>
      </c>
      <c r="E1797" s="92"/>
      <c r="F1797" s="92">
        <v>2.4819439999999999</v>
      </c>
      <c r="G1797" s="92">
        <v>744.21079999999995</v>
      </c>
      <c r="H1797" s="92">
        <v>127.1673</v>
      </c>
      <c r="I1797" s="92"/>
      <c r="J1797" s="93">
        <f t="shared" si="34"/>
        <v>5.7800000000042928E-2</v>
      </c>
    </row>
    <row r="1798" spans="2:10" x14ac:dyDescent="0.2">
      <c r="B1798" s="92">
        <v>2.483333</v>
      </c>
      <c r="C1798" s="92">
        <v>744.12189999999998</v>
      </c>
      <c r="D1798" s="92">
        <v>127.3293</v>
      </c>
      <c r="E1798" s="92"/>
      <c r="F1798" s="92">
        <v>2.483333</v>
      </c>
      <c r="G1798" s="92">
        <v>743.98170000000005</v>
      </c>
      <c r="H1798" s="92">
        <v>127.09399999999999</v>
      </c>
      <c r="I1798" s="92"/>
      <c r="J1798" s="93">
        <f t="shared" si="34"/>
        <v>0.14019999999993615</v>
      </c>
    </row>
    <row r="1799" spans="2:10" x14ac:dyDescent="0.2">
      <c r="B1799" s="92">
        <v>2.4847220000000001</v>
      </c>
      <c r="C1799" s="92">
        <v>743.9049</v>
      </c>
      <c r="D1799" s="92">
        <v>127.2563</v>
      </c>
      <c r="E1799" s="92"/>
      <c r="F1799" s="92">
        <v>2.4847220000000001</v>
      </c>
      <c r="G1799" s="92">
        <v>743.85810000000004</v>
      </c>
      <c r="H1799" s="92">
        <v>127.0125</v>
      </c>
      <c r="I1799" s="92"/>
      <c r="J1799" s="93">
        <f t="shared" si="34"/>
        <v>4.6799999999961983E-2</v>
      </c>
    </row>
    <row r="1800" spans="2:10" x14ac:dyDescent="0.2">
      <c r="B1800" s="92">
        <v>2.4861110000000002</v>
      </c>
      <c r="C1800" s="92">
        <v>743.67330000000004</v>
      </c>
      <c r="D1800" s="92">
        <v>127.1718</v>
      </c>
      <c r="E1800" s="92"/>
      <c r="F1800" s="92">
        <v>2.4861110000000002</v>
      </c>
      <c r="G1800" s="92">
        <v>743.65880000000004</v>
      </c>
      <c r="H1800" s="92">
        <v>126.9276</v>
      </c>
      <c r="I1800" s="92"/>
      <c r="J1800" s="93">
        <f t="shared" si="34"/>
        <v>1.4499999999998181E-2</v>
      </c>
    </row>
    <row r="1801" spans="2:10" x14ac:dyDescent="0.2">
      <c r="B1801" s="92">
        <v>2.4874999999999998</v>
      </c>
      <c r="C1801" s="92">
        <v>743.51049999999998</v>
      </c>
      <c r="D1801" s="92">
        <v>127.0839</v>
      </c>
      <c r="E1801" s="92"/>
      <c r="F1801" s="92">
        <v>2.4874999999999998</v>
      </c>
      <c r="G1801" s="92">
        <v>743.47640000000001</v>
      </c>
      <c r="H1801" s="92">
        <v>126.8394</v>
      </c>
      <c r="I1801" s="92"/>
      <c r="J1801" s="93">
        <f t="shared" si="34"/>
        <v>3.4099999999966712E-2</v>
      </c>
    </row>
    <row r="1802" spans="2:10" x14ac:dyDescent="0.2">
      <c r="B1802" s="92">
        <v>2.4888889999999999</v>
      </c>
      <c r="C1802" s="92">
        <v>743.31889999999999</v>
      </c>
      <c r="D1802" s="92">
        <v>126.9944</v>
      </c>
      <c r="E1802" s="92"/>
      <c r="F1802" s="92">
        <v>2.4888889999999999</v>
      </c>
      <c r="G1802" s="92">
        <v>743.28250000000003</v>
      </c>
      <c r="H1802" s="92">
        <v>126.7428</v>
      </c>
      <c r="I1802" s="92"/>
      <c r="J1802" s="93">
        <f t="shared" si="34"/>
        <v>3.6399999999957799E-2</v>
      </c>
    </row>
    <row r="1803" spans="2:10" x14ac:dyDescent="0.2">
      <c r="B1803" s="92">
        <v>2.490278</v>
      </c>
      <c r="C1803" s="92">
        <v>743.14829999999995</v>
      </c>
      <c r="D1803" s="92">
        <v>126.8965</v>
      </c>
      <c r="E1803" s="92"/>
      <c r="F1803" s="92">
        <v>2.490278</v>
      </c>
      <c r="G1803" s="92">
        <v>743.11479999999995</v>
      </c>
      <c r="H1803" s="92">
        <v>126.6546</v>
      </c>
      <c r="I1803" s="92"/>
      <c r="J1803" s="93">
        <f t="shared" ref="J1803:J1866" si="35">+ABS(G1803-C1803)</f>
        <v>3.3500000000003638E-2</v>
      </c>
    </row>
    <row r="1804" spans="2:10" x14ac:dyDescent="0.2">
      <c r="B1804" s="92">
        <v>2.4916670000000001</v>
      </c>
      <c r="C1804" s="92">
        <v>742.98159999999996</v>
      </c>
      <c r="D1804" s="92">
        <v>126.80370000000001</v>
      </c>
      <c r="E1804" s="92"/>
      <c r="F1804" s="92">
        <v>2.4916670000000001</v>
      </c>
      <c r="G1804" s="92">
        <v>742.9683</v>
      </c>
      <c r="H1804" s="92">
        <v>126.5564</v>
      </c>
      <c r="I1804" s="92"/>
      <c r="J1804" s="93">
        <f t="shared" si="35"/>
        <v>1.3299999999958345E-2</v>
      </c>
    </row>
    <row r="1805" spans="2:10" x14ac:dyDescent="0.2">
      <c r="B1805" s="92">
        <v>2.4930560000000002</v>
      </c>
      <c r="C1805" s="92">
        <v>742.81320000000005</v>
      </c>
      <c r="D1805" s="92">
        <v>126.7225</v>
      </c>
      <c r="E1805" s="92"/>
      <c r="F1805" s="92">
        <v>2.4930560000000002</v>
      </c>
      <c r="G1805" s="92">
        <v>742.76390000000004</v>
      </c>
      <c r="H1805" s="92">
        <v>126.4649</v>
      </c>
      <c r="I1805" s="92"/>
      <c r="J1805" s="93">
        <f t="shared" si="35"/>
        <v>4.9300000000016553E-2</v>
      </c>
    </row>
    <row r="1806" spans="2:10" x14ac:dyDescent="0.2">
      <c r="B1806" s="92">
        <v>2.4944440000000001</v>
      </c>
      <c r="C1806" s="92">
        <v>742.62639999999999</v>
      </c>
      <c r="D1806" s="92">
        <v>126.61799999999999</v>
      </c>
      <c r="E1806" s="92"/>
      <c r="F1806" s="92">
        <v>2.4944440000000001</v>
      </c>
      <c r="G1806" s="92">
        <v>742.61890000000005</v>
      </c>
      <c r="H1806" s="92">
        <v>126.36839999999999</v>
      </c>
      <c r="I1806" s="92"/>
      <c r="J1806" s="93">
        <f t="shared" si="35"/>
        <v>7.4999999999363354E-3</v>
      </c>
    </row>
    <row r="1807" spans="2:10" x14ac:dyDescent="0.2">
      <c r="B1807" s="92">
        <v>2.4958330000000002</v>
      </c>
      <c r="C1807" s="92">
        <v>742.4941</v>
      </c>
      <c r="D1807" s="92">
        <v>126.5269</v>
      </c>
      <c r="E1807" s="92"/>
      <c r="F1807" s="92">
        <v>2.4958330000000002</v>
      </c>
      <c r="G1807" s="92">
        <v>742.43849999999998</v>
      </c>
      <c r="H1807" s="92">
        <v>126.2702</v>
      </c>
      <c r="I1807" s="92"/>
      <c r="J1807" s="93">
        <f t="shared" si="35"/>
        <v>5.5600000000026739E-2</v>
      </c>
    </row>
    <row r="1808" spans="2:10" x14ac:dyDescent="0.2">
      <c r="B1808" s="92">
        <v>2.4972219999999998</v>
      </c>
      <c r="C1808" s="92">
        <v>742.36879999999996</v>
      </c>
      <c r="D1808" s="92">
        <v>126.4307</v>
      </c>
      <c r="E1808" s="92"/>
      <c r="F1808" s="92">
        <v>2.4972219999999998</v>
      </c>
      <c r="G1808" s="92">
        <v>742.25059999999996</v>
      </c>
      <c r="H1808" s="92">
        <v>126.1687</v>
      </c>
      <c r="I1808" s="92"/>
      <c r="J1808" s="93">
        <f t="shared" si="35"/>
        <v>0.11820000000000164</v>
      </c>
    </row>
    <row r="1809" spans="2:10" x14ac:dyDescent="0.2">
      <c r="B1809" s="92">
        <v>2.4986109999999999</v>
      </c>
      <c r="C1809" s="92">
        <v>742.08839999999998</v>
      </c>
      <c r="D1809" s="92">
        <v>126.3396</v>
      </c>
      <c r="E1809" s="92"/>
      <c r="F1809" s="92">
        <v>2.4986109999999999</v>
      </c>
      <c r="G1809" s="92">
        <v>742.08259999999996</v>
      </c>
      <c r="H1809" s="92">
        <v>126.07389999999999</v>
      </c>
      <c r="I1809" s="92"/>
      <c r="J1809" s="93">
        <f t="shared" si="35"/>
        <v>5.8000000000220098E-3</v>
      </c>
    </row>
    <row r="1810" spans="2:10" x14ac:dyDescent="0.2">
      <c r="B1810" s="92">
        <v>2.5</v>
      </c>
      <c r="C1810" s="92">
        <v>741.96889999999996</v>
      </c>
      <c r="D1810" s="92">
        <v>126.2368</v>
      </c>
      <c r="E1810" s="92"/>
      <c r="F1810" s="92">
        <v>2.5</v>
      </c>
      <c r="G1810" s="92">
        <v>741.92129999999997</v>
      </c>
      <c r="H1810" s="92">
        <v>125.96899999999999</v>
      </c>
      <c r="I1810" s="92"/>
      <c r="J1810" s="93">
        <f t="shared" si="35"/>
        <v>4.759999999998854E-2</v>
      </c>
    </row>
    <row r="1811" spans="2:10" x14ac:dyDescent="0.2">
      <c r="B1811" s="92">
        <v>2.5013890000000001</v>
      </c>
      <c r="C1811" s="92">
        <v>741.78499999999997</v>
      </c>
      <c r="D1811" s="92">
        <v>126.1357</v>
      </c>
      <c r="E1811" s="92"/>
      <c r="F1811" s="92">
        <v>2.5013890000000001</v>
      </c>
      <c r="G1811" s="92">
        <v>741.74590000000001</v>
      </c>
      <c r="H1811" s="92">
        <v>125.87090000000001</v>
      </c>
      <c r="I1811" s="92"/>
      <c r="J1811" s="93">
        <f t="shared" si="35"/>
        <v>3.9099999999962165E-2</v>
      </c>
    </row>
    <row r="1812" spans="2:10" x14ac:dyDescent="0.2">
      <c r="B1812" s="92">
        <v>2.5027780000000002</v>
      </c>
      <c r="C1812" s="92">
        <v>741.57910000000004</v>
      </c>
      <c r="D1812" s="92">
        <v>126.0346</v>
      </c>
      <c r="E1812" s="92"/>
      <c r="F1812" s="92">
        <v>2.5027780000000002</v>
      </c>
      <c r="G1812" s="92">
        <v>741.57060000000001</v>
      </c>
      <c r="H1812" s="92">
        <v>125.7727</v>
      </c>
      <c r="I1812" s="92"/>
      <c r="J1812" s="93">
        <f t="shared" si="35"/>
        <v>8.5000000000263753E-3</v>
      </c>
    </row>
    <row r="1813" spans="2:10" x14ac:dyDescent="0.2">
      <c r="B1813" s="92">
        <v>2.5041669999999998</v>
      </c>
      <c r="C1813" s="92">
        <v>741.45159999999998</v>
      </c>
      <c r="D1813" s="92">
        <v>125.9285</v>
      </c>
      <c r="E1813" s="92"/>
      <c r="F1813" s="92">
        <v>2.5041669999999998</v>
      </c>
      <c r="G1813" s="92">
        <v>741.41160000000002</v>
      </c>
      <c r="H1813" s="92">
        <v>125.6645</v>
      </c>
      <c r="I1813" s="92"/>
      <c r="J1813" s="93">
        <f t="shared" si="35"/>
        <v>3.999999999996362E-2</v>
      </c>
    </row>
    <row r="1814" spans="2:10" x14ac:dyDescent="0.2">
      <c r="B1814" s="92">
        <v>2.5055559999999999</v>
      </c>
      <c r="C1814" s="92">
        <v>741.30799999999999</v>
      </c>
      <c r="D1814" s="92">
        <v>125.8159</v>
      </c>
      <c r="E1814" s="92"/>
      <c r="F1814" s="92">
        <v>2.5055559999999999</v>
      </c>
      <c r="G1814" s="92">
        <v>741.24040000000002</v>
      </c>
      <c r="H1814" s="92">
        <v>125.5531</v>
      </c>
      <c r="I1814" s="92"/>
      <c r="J1814" s="93">
        <f t="shared" si="35"/>
        <v>6.759999999997035E-2</v>
      </c>
    </row>
    <row r="1815" spans="2:10" x14ac:dyDescent="0.2">
      <c r="B1815" s="92">
        <v>2.5069439999999998</v>
      </c>
      <c r="C1815" s="92">
        <v>741.13379999999995</v>
      </c>
      <c r="D1815" s="92">
        <v>125.7131</v>
      </c>
      <c r="E1815" s="92"/>
      <c r="F1815" s="92">
        <v>2.5069439999999998</v>
      </c>
      <c r="G1815" s="92">
        <v>741.05139999999994</v>
      </c>
      <c r="H1815" s="92">
        <v>125.4499</v>
      </c>
      <c r="I1815" s="92"/>
      <c r="J1815" s="93">
        <f t="shared" si="35"/>
        <v>8.2400000000006912E-2</v>
      </c>
    </row>
    <row r="1816" spans="2:10" x14ac:dyDescent="0.2">
      <c r="B1816" s="92">
        <v>2.5083329999999999</v>
      </c>
      <c r="C1816" s="92">
        <v>740.9325</v>
      </c>
      <c r="D1816" s="92">
        <v>125.60380000000001</v>
      </c>
      <c r="E1816" s="92"/>
      <c r="F1816" s="92">
        <v>2.5083329999999999</v>
      </c>
      <c r="G1816" s="92">
        <v>740.8501</v>
      </c>
      <c r="H1816" s="92">
        <v>125.34350000000001</v>
      </c>
      <c r="I1816" s="92"/>
      <c r="J1816" s="93">
        <f t="shared" si="35"/>
        <v>8.2400000000006912E-2</v>
      </c>
    </row>
    <row r="1817" spans="2:10" x14ac:dyDescent="0.2">
      <c r="B1817" s="92">
        <v>2.509722</v>
      </c>
      <c r="C1817" s="92">
        <v>740.75900000000001</v>
      </c>
      <c r="D1817" s="92">
        <v>125.48779999999999</v>
      </c>
      <c r="E1817" s="92"/>
      <c r="F1817" s="92">
        <v>2.509722</v>
      </c>
      <c r="G1817" s="92">
        <v>740.67679999999996</v>
      </c>
      <c r="H1817" s="92">
        <v>125.2353</v>
      </c>
      <c r="I1817" s="92"/>
      <c r="J1817" s="93">
        <f t="shared" si="35"/>
        <v>8.2200000000057116E-2</v>
      </c>
    </row>
    <row r="1818" spans="2:10" x14ac:dyDescent="0.2">
      <c r="B1818" s="92">
        <v>2.5111110000000001</v>
      </c>
      <c r="C1818" s="92">
        <v>740.6259</v>
      </c>
      <c r="D1818" s="92">
        <v>125.3884</v>
      </c>
      <c r="E1818" s="92"/>
      <c r="F1818" s="92">
        <v>2.5111110000000001</v>
      </c>
      <c r="G1818" s="92">
        <v>740.52160000000003</v>
      </c>
      <c r="H1818" s="92">
        <v>125.1255</v>
      </c>
      <c r="I1818" s="92"/>
      <c r="J1818" s="93">
        <f t="shared" si="35"/>
        <v>0.10429999999996653</v>
      </c>
    </row>
    <row r="1819" spans="2:10" x14ac:dyDescent="0.2">
      <c r="B1819" s="92">
        <v>2.5125000000000002</v>
      </c>
      <c r="C1819" s="92">
        <v>740.40959999999995</v>
      </c>
      <c r="D1819" s="92">
        <v>125.2807</v>
      </c>
      <c r="E1819" s="92"/>
      <c r="F1819" s="92">
        <v>2.5125000000000002</v>
      </c>
      <c r="G1819" s="92">
        <v>740.36810000000003</v>
      </c>
      <c r="H1819" s="92">
        <v>125.0241</v>
      </c>
      <c r="I1819" s="92"/>
      <c r="J1819" s="93">
        <f t="shared" si="35"/>
        <v>4.149999999992815E-2</v>
      </c>
    </row>
    <row r="1820" spans="2:10" x14ac:dyDescent="0.2">
      <c r="B1820" s="92">
        <v>2.5138889999999998</v>
      </c>
      <c r="C1820" s="92">
        <v>740.28779999999995</v>
      </c>
      <c r="D1820" s="92">
        <v>125.1746</v>
      </c>
      <c r="E1820" s="92"/>
      <c r="F1820" s="92">
        <v>2.5138889999999998</v>
      </c>
      <c r="G1820" s="92">
        <v>740.21339999999998</v>
      </c>
      <c r="H1820" s="92">
        <v>124.9209</v>
      </c>
      <c r="I1820" s="92"/>
      <c r="J1820" s="93">
        <f t="shared" si="35"/>
        <v>7.4399999999968713E-2</v>
      </c>
    </row>
    <row r="1821" spans="2:10" x14ac:dyDescent="0.2">
      <c r="B1821" s="92">
        <v>2.5152779999999999</v>
      </c>
      <c r="C1821" s="92">
        <v>740.06740000000002</v>
      </c>
      <c r="D1821" s="92">
        <v>125.0686</v>
      </c>
      <c r="E1821" s="92"/>
      <c r="F1821" s="92">
        <v>2.5152779999999999</v>
      </c>
      <c r="G1821" s="92">
        <v>740.00919999999996</v>
      </c>
      <c r="H1821" s="92">
        <v>124.8228</v>
      </c>
      <c r="I1821" s="92"/>
      <c r="J1821" s="93">
        <f t="shared" si="35"/>
        <v>5.8200000000056207E-2</v>
      </c>
    </row>
    <row r="1822" spans="2:10" x14ac:dyDescent="0.2">
      <c r="B1822" s="92">
        <v>2.516667</v>
      </c>
      <c r="C1822" s="92">
        <v>739.96180000000004</v>
      </c>
      <c r="D1822" s="92">
        <v>124.9692</v>
      </c>
      <c r="E1822" s="92"/>
      <c r="F1822" s="92">
        <v>2.516667</v>
      </c>
      <c r="G1822" s="92">
        <v>739.85379999999998</v>
      </c>
      <c r="H1822" s="92">
        <v>124.7064</v>
      </c>
      <c r="I1822" s="92"/>
      <c r="J1822" s="93">
        <f t="shared" si="35"/>
        <v>0.10800000000006094</v>
      </c>
    </row>
    <row r="1823" spans="2:10" x14ac:dyDescent="0.2">
      <c r="B1823" s="92">
        <v>2.5180560000000001</v>
      </c>
      <c r="C1823" s="92">
        <v>739.77829999999994</v>
      </c>
      <c r="D1823" s="92">
        <v>124.8682</v>
      </c>
      <c r="E1823" s="92"/>
      <c r="F1823" s="92">
        <v>2.5180560000000001</v>
      </c>
      <c r="G1823" s="92">
        <v>739.70399999999995</v>
      </c>
      <c r="H1823" s="92">
        <v>124.6032</v>
      </c>
      <c r="I1823" s="92"/>
      <c r="J1823" s="93">
        <f t="shared" si="35"/>
        <v>7.4299999999993815E-2</v>
      </c>
    </row>
    <row r="1824" spans="2:10" x14ac:dyDescent="0.2">
      <c r="B1824" s="92">
        <v>2.519444</v>
      </c>
      <c r="C1824" s="92">
        <v>739.53489999999999</v>
      </c>
      <c r="D1824" s="92">
        <v>124.76049999999999</v>
      </c>
      <c r="E1824" s="92"/>
      <c r="F1824" s="92">
        <v>2.519444</v>
      </c>
      <c r="G1824" s="92">
        <v>739.53489999999999</v>
      </c>
      <c r="H1824" s="92">
        <v>124.5001</v>
      </c>
      <c r="I1824" s="92"/>
      <c r="J1824" s="93">
        <f t="shared" si="35"/>
        <v>0</v>
      </c>
    </row>
    <row r="1825" spans="2:10" x14ac:dyDescent="0.2">
      <c r="B1825" s="92">
        <v>2.5208330000000001</v>
      </c>
      <c r="C1825" s="92">
        <v>739.44870000000003</v>
      </c>
      <c r="D1825" s="92">
        <v>124.65779999999999</v>
      </c>
      <c r="E1825" s="92"/>
      <c r="F1825" s="92">
        <v>2.5208330000000001</v>
      </c>
      <c r="G1825" s="92">
        <v>739.37369999999999</v>
      </c>
      <c r="H1825" s="92">
        <v>124.3887</v>
      </c>
      <c r="I1825" s="92"/>
      <c r="J1825" s="93">
        <f t="shared" si="35"/>
        <v>7.5000000000045475E-2</v>
      </c>
    </row>
    <row r="1826" spans="2:10" x14ac:dyDescent="0.2">
      <c r="B1826" s="92">
        <v>2.5222220000000002</v>
      </c>
      <c r="C1826" s="92">
        <v>739.24620000000004</v>
      </c>
      <c r="D1826" s="92">
        <v>124.5535</v>
      </c>
      <c r="E1826" s="92"/>
      <c r="F1826" s="92">
        <v>2.5222220000000002</v>
      </c>
      <c r="G1826" s="92">
        <v>739.2047</v>
      </c>
      <c r="H1826" s="92">
        <v>124.2856</v>
      </c>
      <c r="I1826" s="92"/>
      <c r="J1826" s="93">
        <f t="shared" si="35"/>
        <v>4.1500000000041837E-2</v>
      </c>
    </row>
    <row r="1827" spans="2:10" x14ac:dyDescent="0.2">
      <c r="B1827" s="92">
        <v>2.5236109999999998</v>
      </c>
      <c r="C1827" s="92">
        <v>739.09069999999997</v>
      </c>
      <c r="D1827" s="92">
        <v>124.4392</v>
      </c>
      <c r="E1827" s="92"/>
      <c r="F1827" s="92">
        <v>2.5236109999999998</v>
      </c>
      <c r="G1827" s="92">
        <v>739.03430000000003</v>
      </c>
      <c r="H1827" s="92">
        <v>124.1808</v>
      </c>
      <c r="I1827" s="92"/>
      <c r="J1827" s="93">
        <f t="shared" si="35"/>
        <v>5.639999999993961E-2</v>
      </c>
    </row>
    <row r="1828" spans="2:10" x14ac:dyDescent="0.2">
      <c r="B1828" s="92">
        <v>2.5249999999999999</v>
      </c>
      <c r="C1828" s="92">
        <v>738.928</v>
      </c>
      <c r="D1828" s="92">
        <v>124.3365</v>
      </c>
      <c r="E1828" s="92"/>
      <c r="F1828" s="92">
        <v>2.5249999999999999</v>
      </c>
      <c r="G1828" s="92">
        <v>738.8569</v>
      </c>
      <c r="H1828" s="92">
        <v>124.07940000000001</v>
      </c>
      <c r="I1828" s="92"/>
      <c r="J1828" s="93">
        <f t="shared" si="35"/>
        <v>7.1100000000001273E-2</v>
      </c>
    </row>
    <row r="1829" spans="2:10" x14ac:dyDescent="0.2">
      <c r="B1829" s="92">
        <v>2.526389</v>
      </c>
      <c r="C1829" s="92">
        <v>738.697</v>
      </c>
      <c r="D1829" s="92">
        <v>124.23050000000001</v>
      </c>
      <c r="E1829" s="92"/>
      <c r="F1829" s="92">
        <v>2.526389</v>
      </c>
      <c r="G1829" s="92">
        <v>738.68880000000001</v>
      </c>
      <c r="H1829" s="92">
        <v>123.9713</v>
      </c>
      <c r="I1829" s="92"/>
      <c r="J1829" s="93">
        <f t="shared" si="35"/>
        <v>8.1999999999879947E-3</v>
      </c>
    </row>
    <row r="1830" spans="2:10" x14ac:dyDescent="0.2">
      <c r="B1830" s="92">
        <v>2.5277780000000001</v>
      </c>
      <c r="C1830" s="92">
        <v>738.55880000000002</v>
      </c>
      <c r="D1830" s="92">
        <v>124.13120000000001</v>
      </c>
      <c r="E1830" s="92"/>
      <c r="F1830" s="92">
        <v>2.5277780000000001</v>
      </c>
      <c r="G1830" s="92">
        <v>738.48320000000001</v>
      </c>
      <c r="H1830" s="92">
        <v>123.86490000000001</v>
      </c>
      <c r="I1830" s="92"/>
      <c r="J1830" s="93">
        <f t="shared" si="35"/>
        <v>7.5600000000008549E-2</v>
      </c>
    </row>
    <row r="1831" spans="2:10" x14ac:dyDescent="0.2">
      <c r="B1831" s="92">
        <v>2.5291670000000002</v>
      </c>
      <c r="C1831" s="92">
        <v>738.3691</v>
      </c>
      <c r="D1831" s="92">
        <v>124.0219</v>
      </c>
      <c r="E1831" s="92"/>
      <c r="F1831" s="92">
        <v>2.5291670000000002</v>
      </c>
      <c r="G1831" s="92">
        <v>738.3682</v>
      </c>
      <c r="H1831" s="92">
        <v>123.7684</v>
      </c>
      <c r="I1831" s="92"/>
      <c r="J1831" s="93">
        <f t="shared" si="35"/>
        <v>9.0000000000145519E-4</v>
      </c>
    </row>
    <row r="1832" spans="2:10" x14ac:dyDescent="0.2">
      <c r="B1832" s="92">
        <v>2.5305559999999998</v>
      </c>
      <c r="C1832" s="92">
        <v>738.2242</v>
      </c>
      <c r="D1832" s="92">
        <v>123.9209</v>
      </c>
      <c r="E1832" s="92"/>
      <c r="F1832" s="92">
        <v>2.5305559999999998</v>
      </c>
      <c r="G1832" s="92">
        <v>738.14549999999997</v>
      </c>
      <c r="H1832" s="92">
        <v>123.6587</v>
      </c>
      <c r="I1832" s="92"/>
      <c r="J1832" s="93">
        <f t="shared" si="35"/>
        <v>7.8700000000026193E-2</v>
      </c>
    </row>
    <row r="1833" spans="2:10" x14ac:dyDescent="0.2">
      <c r="B1833" s="92">
        <v>2.5319440000000002</v>
      </c>
      <c r="C1833" s="92">
        <v>738.00869999999998</v>
      </c>
      <c r="D1833" s="92">
        <v>123.8066</v>
      </c>
      <c r="E1833" s="92"/>
      <c r="F1833" s="92">
        <v>2.5319440000000002</v>
      </c>
      <c r="G1833" s="92">
        <v>737.94669999999996</v>
      </c>
      <c r="H1833" s="92">
        <v>123.5423</v>
      </c>
      <c r="I1833" s="92"/>
      <c r="J1833" s="93">
        <f t="shared" si="35"/>
        <v>6.2000000000011823E-2</v>
      </c>
    </row>
    <row r="1834" spans="2:10" x14ac:dyDescent="0.2">
      <c r="B1834" s="92">
        <v>2.5333329999999998</v>
      </c>
      <c r="C1834" s="92">
        <v>737.85709999999995</v>
      </c>
      <c r="D1834" s="92">
        <v>123.70399999999999</v>
      </c>
      <c r="E1834" s="92"/>
      <c r="F1834" s="92">
        <v>2.5333329999999998</v>
      </c>
      <c r="G1834" s="92">
        <v>737.82740000000001</v>
      </c>
      <c r="H1834" s="92">
        <v>123.4342</v>
      </c>
      <c r="I1834" s="92"/>
      <c r="J1834" s="93">
        <f t="shared" si="35"/>
        <v>2.9699999999934334E-2</v>
      </c>
    </row>
    <row r="1835" spans="2:10" x14ac:dyDescent="0.2">
      <c r="B1835" s="92">
        <v>2.5347219999999999</v>
      </c>
      <c r="C1835" s="92">
        <v>737.64279999999997</v>
      </c>
      <c r="D1835" s="92">
        <v>123.598</v>
      </c>
      <c r="E1835" s="92"/>
      <c r="F1835" s="92">
        <v>2.5347219999999999</v>
      </c>
      <c r="G1835" s="92">
        <v>737.61940000000004</v>
      </c>
      <c r="H1835" s="92">
        <v>123.3245</v>
      </c>
      <c r="I1835" s="92"/>
      <c r="J1835" s="93">
        <f t="shared" si="35"/>
        <v>2.3399999999924148E-2</v>
      </c>
    </row>
    <row r="1836" spans="2:10" x14ac:dyDescent="0.2">
      <c r="B1836" s="92">
        <v>2.536111</v>
      </c>
      <c r="C1836" s="92">
        <v>737.47640000000001</v>
      </c>
      <c r="D1836" s="92">
        <v>123.49039999999999</v>
      </c>
      <c r="E1836" s="92"/>
      <c r="F1836" s="92">
        <v>2.536111</v>
      </c>
      <c r="G1836" s="92">
        <v>737.39340000000004</v>
      </c>
      <c r="H1836" s="92">
        <v>123.21639999999999</v>
      </c>
      <c r="I1836" s="92"/>
      <c r="J1836" s="93">
        <f t="shared" si="35"/>
        <v>8.2999999999969987E-2</v>
      </c>
    </row>
    <row r="1837" spans="2:10" x14ac:dyDescent="0.2">
      <c r="B1837" s="92">
        <v>2.5375000000000001</v>
      </c>
      <c r="C1837" s="92">
        <v>737.29560000000004</v>
      </c>
      <c r="D1837" s="92">
        <v>123.3712</v>
      </c>
      <c r="E1837" s="92"/>
      <c r="F1837" s="92">
        <v>2.5375000000000001</v>
      </c>
      <c r="G1837" s="92">
        <v>737.22619999999995</v>
      </c>
      <c r="H1837" s="92">
        <v>123.0967</v>
      </c>
      <c r="I1837" s="92"/>
      <c r="J1837" s="93">
        <f t="shared" si="35"/>
        <v>6.9400000000086948E-2</v>
      </c>
    </row>
    <row r="1838" spans="2:10" x14ac:dyDescent="0.2">
      <c r="B1838" s="92">
        <v>2.5388890000000002</v>
      </c>
      <c r="C1838" s="92">
        <v>737.11699999999996</v>
      </c>
      <c r="D1838" s="92">
        <v>123.262</v>
      </c>
      <c r="E1838" s="92"/>
      <c r="F1838" s="92">
        <v>2.5388890000000002</v>
      </c>
      <c r="G1838" s="92">
        <v>737.0616</v>
      </c>
      <c r="H1838" s="92">
        <v>122.9803</v>
      </c>
      <c r="I1838" s="92"/>
      <c r="J1838" s="93">
        <f t="shared" si="35"/>
        <v>5.5399999999963256E-2</v>
      </c>
    </row>
    <row r="1839" spans="2:10" x14ac:dyDescent="0.2">
      <c r="B1839" s="92">
        <v>2.5402779999999998</v>
      </c>
      <c r="C1839" s="92">
        <v>736.8922</v>
      </c>
      <c r="D1839" s="92">
        <v>123.1494</v>
      </c>
      <c r="E1839" s="92"/>
      <c r="F1839" s="92">
        <v>2.5402779999999998</v>
      </c>
      <c r="G1839" s="92">
        <v>736.85379999999998</v>
      </c>
      <c r="H1839" s="92">
        <v>122.8706</v>
      </c>
      <c r="I1839" s="92"/>
      <c r="J1839" s="93">
        <f t="shared" si="35"/>
        <v>3.8400000000024193E-2</v>
      </c>
    </row>
    <row r="1840" spans="2:10" x14ac:dyDescent="0.2">
      <c r="B1840" s="92">
        <v>2.5416669999999999</v>
      </c>
      <c r="C1840" s="92">
        <v>736.70989999999995</v>
      </c>
      <c r="D1840" s="92">
        <v>123.0352</v>
      </c>
      <c r="E1840" s="92"/>
      <c r="F1840" s="92">
        <v>2.5416669999999999</v>
      </c>
      <c r="G1840" s="92">
        <v>736.64570000000003</v>
      </c>
      <c r="H1840" s="92">
        <v>122.7543</v>
      </c>
      <c r="I1840" s="92"/>
      <c r="J1840" s="93">
        <f t="shared" si="35"/>
        <v>6.4199999999914326E-2</v>
      </c>
    </row>
    <row r="1841" spans="2:10" x14ac:dyDescent="0.2">
      <c r="B1841" s="92">
        <v>2.543056</v>
      </c>
      <c r="C1841" s="92">
        <v>736.52340000000004</v>
      </c>
      <c r="D1841" s="92">
        <v>122.92270000000001</v>
      </c>
      <c r="E1841" s="92"/>
      <c r="F1841" s="92">
        <v>2.543056</v>
      </c>
      <c r="G1841" s="92">
        <v>736.52099999999996</v>
      </c>
      <c r="H1841" s="92">
        <v>122.63290000000001</v>
      </c>
      <c r="I1841" s="92"/>
      <c r="J1841" s="93">
        <f t="shared" si="35"/>
        <v>2.4000000000796717E-3</v>
      </c>
    </row>
    <row r="1842" spans="2:10" x14ac:dyDescent="0.2">
      <c r="B1842" s="92">
        <v>2.5444439999999999</v>
      </c>
      <c r="C1842" s="92">
        <v>736.37530000000004</v>
      </c>
      <c r="D1842" s="92">
        <v>122.81010000000001</v>
      </c>
      <c r="E1842" s="92"/>
      <c r="F1842" s="92">
        <v>2.5444439999999999</v>
      </c>
      <c r="G1842" s="92">
        <v>736.30679999999995</v>
      </c>
      <c r="H1842" s="92">
        <v>122.5149</v>
      </c>
      <c r="I1842" s="92"/>
      <c r="J1842" s="93">
        <f t="shared" si="35"/>
        <v>6.8500000000085493E-2</v>
      </c>
    </row>
    <row r="1843" spans="2:10" x14ac:dyDescent="0.2">
      <c r="B1843" s="92">
        <v>2.545833</v>
      </c>
      <c r="C1843" s="92">
        <v>736.18269999999995</v>
      </c>
      <c r="D1843" s="92">
        <v>122.6827</v>
      </c>
      <c r="E1843" s="92"/>
      <c r="F1843" s="92">
        <v>2.545833</v>
      </c>
      <c r="G1843" s="92">
        <v>736.12689999999998</v>
      </c>
      <c r="H1843" s="92">
        <v>122.40349999999999</v>
      </c>
      <c r="I1843" s="92"/>
      <c r="J1843" s="93">
        <f t="shared" si="35"/>
        <v>5.5799999999976535E-2</v>
      </c>
    </row>
    <row r="1844" spans="2:10" x14ac:dyDescent="0.2">
      <c r="B1844" s="92">
        <v>2.5472220000000001</v>
      </c>
      <c r="C1844" s="92">
        <v>735.95780000000002</v>
      </c>
      <c r="D1844" s="92">
        <v>122.57680000000001</v>
      </c>
      <c r="E1844" s="92"/>
      <c r="F1844" s="92">
        <v>2.5472220000000001</v>
      </c>
      <c r="G1844" s="92">
        <v>735.90269999999998</v>
      </c>
      <c r="H1844" s="92">
        <v>122.27889999999999</v>
      </c>
      <c r="I1844" s="92"/>
      <c r="J1844" s="93">
        <f t="shared" si="35"/>
        <v>5.5100000000038563E-2</v>
      </c>
    </row>
    <row r="1845" spans="2:10" x14ac:dyDescent="0.2">
      <c r="B1845" s="92">
        <v>2.5486110000000002</v>
      </c>
      <c r="C1845" s="92">
        <v>735.8075</v>
      </c>
      <c r="D1845" s="92">
        <v>122.4543</v>
      </c>
      <c r="E1845" s="92"/>
      <c r="F1845" s="92">
        <v>2.5486110000000002</v>
      </c>
      <c r="G1845" s="92">
        <v>735.70190000000002</v>
      </c>
      <c r="H1845" s="92">
        <v>122.1592</v>
      </c>
      <c r="I1845" s="92"/>
      <c r="J1845" s="93">
        <f t="shared" si="35"/>
        <v>0.10559999999998126</v>
      </c>
    </row>
    <row r="1846" spans="2:10" x14ac:dyDescent="0.2">
      <c r="B1846" s="92">
        <v>2.5499999999999998</v>
      </c>
      <c r="C1846" s="92">
        <v>735.51829999999995</v>
      </c>
      <c r="D1846" s="92">
        <v>122.322</v>
      </c>
      <c r="E1846" s="92"/>
      <c r="F1846" s="92">
        <v>2.5499999999999998</v>
      </c>
      <c r="G1846" s="92">
        <v>735.53769999999997</v>
      </c>
      <c r="H1846" s="92">
        <v>122.0429</v>
      </c>
      <c r="I1846" s="92"/>
      <c r="J1846" s="93">
        <f t="shared" si="35"/>
        <v>1.9400000000018736E-2</v>
      </c>
    </row>
    <row r="1847" spans="2:10" x14ac:dyDescent="0.2">
      <c r="B1847" s="92">
        <v>2.5513889999999999</v>
      </c>
      <c r="C1847" s="92">
        <v>735.4008</v>
      </c>
      <c r="D1847" s="92">
        <v>122.1995</v>
      </c>
      <c r="E1847" s="92"/>
      <c r="F1847" s="92">
        <v>2.5513889999999999</v>
      </c>
      <c r="G1847" s="92">
        <v>735.38379999999995</v>
      </c>
      <c r="H1847" s="92">
        <v>121.9149</v>
      </c>
      <c r="I1847" s="92"/>
      <c r="J1847" s="93">
        <f t="shared" si="35"/>
        <v>1.7000000000052751E-2</v>
      </c>
    </row>
    <row r="1848" spans="2:10" x14ac:dyDescent="0.2">
      <c r="B1848" s="92">
        <v>2.552778</v>
      </c>
      <c r="C1848" s="92">
        <v>735.23929999999996</v>
      </c>
      <c r="D1848" s="92">
        <v>122.08369999999999</v>
      </c>
      <c r="E1848" s="92"/>
      <c r="F1848" s="92">
        <v>2.552778</v>
      </c>
      <c r="G1848" s="92">
        <v>735.17560000000003</v>
      </c>
      <c r="H1848" s="92">
        <v>121.7919</v>
      </c>
      <c r="I1848" s="92"/>
      <c r="J1848" s="93">
        <f t="shared" si="35"/>
        <v>6.3699999999926149E-2</v>
      </c>
    </row>
    <row r="1849" spans="2:10" x14ac:dyDescent="0.2">
      <c r="B1849" s="92">
        <v>2.5541670000000001</v>
      </c>
      <c r="C1849" s="92">
        <v>735.1</v>
      </c>
      <c r="D1849" s="92">
        <v>121.96129999999999</v>
      </c>
      <c r="E1849" s="92"/>
      <c r="F1849" s="92">
        <v>2.5541670000000001</v>
      </c>
      <c r="G1849" s="92">
        <v>735.03740000000005</v>
      </c>
      <c r="H1849" s="92">
        <v>121.68389999999999</v>
      </c>
      <c r="I1849" s="92"/>
      <c r="J1849" s="93">
        <f t="shared" si="35"/>
        <v>6.2599999999974898E-2</v>
      </c>
    </row>
    <row r="1850" spans="2:10" x14ac:dyDescent="0.2">
      <c r="B1850" s="92">
        <v>2.5555560000000002</v>
      </c>
      <c r="C1850" s="92">
        <v>734.92380000000003</v>
      </c>
      <c r="D1850" s="92">
        <v>121.84050000000001</v>
      </c>
      <c r="E1850" s="92"/>
      <c r="F1850" s="92">
        <v>2.5555560000000002</v>
      </c>
      <c r="G1850" s="92">
        <v>734.84360000000004</v>
      </c>
      <c r="H1850" s="92">
        <v>121.5543</v>
      </c>
      <c r="I1850" s="92"/>
      <c r="J1850" s="93">
        <f t="shared" si="35"/>
        <v>8.0199999999990723E-2</v>
      </c>
    </row>
    <row r="1851" spans="2:10" x14ac:dyDescent="0.2">
      <c r="B1851" s="92">
        <v>2.5569440000000001</v>
      </c>
      <c r="C1851" s="92">
        <v>734.73710000000005</v>
      </c>
      <c r="D1851" s="92">
        <v>121.7131</v>
      </c>
      <c r="E1851" s="92"/>
      <c r="F1851" s="92">
        <v>2.5569440000000001</v>
      </c>
      <c r="G1851" s="92">
        <v>734.7047</v>
      </c>
      <c r="H1851" s="92">
        <v>121.43300000000001</v>
      </c>
      <c r="I1851" s="92"/>
      <c r="J1851" s="93">
        <f t="shared" si="35"/>
        <v>3.2400000000052387E-2</v>
      </c>
    </row>
    <row r="1852" spans="2:10" x14ac:dyDescent="0.2">
      <c r="B1852" s="92">
        <v>2.5583330000000002</v>
      </c>
      <c r="C1852" s="92">
        <v>734.56740000000002</v>
      </c>
      <c r="D1852" s="92">
        <v>121.6007</v>
      </c>
      <c r="E1852" s="92"/>
      <c r="F1852" s="92">
        <v>2.5583330000000002</v>
      </c>
      <c r="G1852" s="92">
        <v>734.51649999999995</v>
      </c>
      <c r="H1852" s="92">
        <v>121.3167</v>
      </c>
      <c r="I1852" s="92"/>
      <c r="J1852" s="93">
        <f t="shared" si="35"/>
        <v>5.0900000000069667E-2</v>
      </c>
    </row>
    <row r="1853" spans="2:10" x14ac:dyDescent="0.2">
      <c r="B1853" s="92">
        <v>2.5597219999999998</v>
      </c>
      <c r="C1853" s="92">
        <v>734.40769999999998</v>
      </c>
      <c r="D1853" s="92">
        <v>121.4799</v>
      </c>
      <c r="E1853" s="92"/>
      <c r="F1853" s="92">
        <v>2.5597219999999998</v>
      </c>
      <c r="G1853" s="92">
        <v>734.34550000000002</v>
      </c>
      <c r="H1853" s="92">
        <v>121.2037</v>
      </c>
      <c r="I1853" s="92"/>
      <c r="J1853" s="93">
        <f t="shared" si="35"/>
        <v>6.2199999999961619E-2</v>
      </c>
    </row>
    <row r="1854" spans="2:10" x14ac:dyDescent="0.2">
      <c r="B1854" s="92">
        <v>2.5611109999999999</v>
      </c>
      <c r="C1854" s="92">
        <v>734.23969999999997</v>
      </c>
      <c r="D1854" s="92">
        <v>121.3625</v>
      </c>
      <c r="E1854" s="92"/>
      <c r="F1854" s="92">
        <v>2.5611109999999999</v>
      </c>
      <c r="G1854" s="92">
        <v>734.1635</v>
      </c>
      <c r="H1854" s="92">
        <v>121.089</v>
      </c>
      <c r="I1854" s="92"/>
      <c r="J1854" s="93">
        <f t="shared" si="35"/>
        <v>7.6199999999971624E-2</v>
      </c>
    </row>
    <row r="1855" spans="2:10" x14ac:dyDescent="0.2">
      <c r="B1855" s="92">
        <v>2.5625</v>
      </c>
      <c r="C1855" s="92">
        <v>734.07590000000005</v>
      </c>
      <c r="D1855" s="92">
        <v>121.24339999999999</v>
      </c>
      <c r="E1855" s="92"/>
      <c r="F1855" s="92">
        <v>2.5625</v>
      </c>
      <c r="G1855" s="92">
        <v>733.94150000000002</v>
      </c>
      <c r="H1855" s="92">
        <v>120.9727</v>
      </c>
      <c r="I1855" s="92"/>
      <c r="J1855" s="93">
        <f t="shared" si="35"/>
        <v>0.13440000000002783</v>
      </c>
    </row>
    <row r="1856" spans="2:10" x14ac:dyDescent="0.2">
      <c r="B1856" s="92">
        <v>2.5638890000000001</v>
      </c>
      <c r="C1856" s="92">
        <v>733.86440000000005</v>
      </c>
      <c r="D1856" s="92">
        <v>121.126</v>
      </c>
      <c r="E1856" s="92"/>
      <c r="F1856" s="92">
        <v>2.5638890000000001</v>
      </c>
      <c r="G1856" s="92">
        <v>733.82389999999998</v>
      </c>
      <c r="H1856" s="92">
        <v>120.8597</v>
      </c>
      <c r="I1856" s="92"/>
      <c r="J1856" s="93">
        <f t="shared" si="35"/>
        <v>4.0500000000065484E-2</v>
      </c>
    </row>
    <row r="1857" spans="2:10" x14ac:dyDescent="0.2">
      <c r="B1857" s="92">
        <v>2.5652780000000002</v>
      </c>
      <c r="C1857" s="92">
        <v>733.68020000000001</v>
      </c>
      <c r="D1857" s="92">
        <v>121.0086</v>
      </c>
      <c r="E1857" s="92"/>
      <c r="F1857" s="92">
        <v>2.5652780000000002</v>
      </c>
      <c r="G1857" s="92">
        <v>733.57</v>
      </c>
      <c r="H1857" s="92">
        <v>120.73350000000001</v>
      </c>
      <c r="I1857" s="92"/>
      <c r="J1857" s="93">
        <f t="shared" si="35"/>
        <v>0.11019999999996344</v>
      </c>
    </row>
    <row r="1858" spans="2:10" x14ac:dyDescent="0.2">
      <c r="B1858" s="92">
        <v>2.5666669999999998</v>
      </c>
      <c r="C1858" s="92">
        <v>733.51549999999997</v>
      </c>
      <c r="D1858" s="92">
        <v>120.88120000000001</v>
      </c>
      <c r="E1858" s="92"/>
      <c r="F1858" s="92">
        <v>2.5666669999999998</v>
      </c>
      <c r="G1858" s="92">
        <v>733.44590000000005</v>
      </c>
      <c r="H1858" s="92">
        <v>120.6122</v>
      </c>
      <c r="I1858" s="92"/>
      <c r="J1858" s="93">
        <f t="shared" si="35"/>
        <v>6.9599999999923057E-2</v>
      </c>
    </row>
    <row r="1859" spans="2:10" x14ac:dyDescent="0.2">
      <c r="B1859" s="92">
        <v>2.5680559999999999</v>
      </c>
      <c r="C1859" s="92">
        <v>733.36559999999997</v>
      </c>
      <c r="D1859" s="92">
        <v>120.7589</v>
      </c>
      <c r="E1859" s="92"/>
      <c r="F1859" s="92">
        <v>2.5680559999999999</v>
      </c>
      <c r="G1859" s="92">
        <v>733.18380000000002</v>
      </c>
      <c r="H1859" s="92">
        <v>120.4876</v>
      </c>
      <c r="I1859" s="92"/>
      <c r="J1859" s="93">
        <f t="shared" si="35"/>
        <v>0.18179999999995289</v>
      </c>
    </row>
    <row r="1860" spans="2:10" x14ac:dyDescent="0.2">
      <c r="B1860" s="92">
        <v>2.5694439999999998</v>
      </c>
      <c r="C1860" s="92">
        <v>733.08500000000004</v>
      </c>
      <c r="D1860" s="92">
        <v>120.6365</v>
      </c>
      <c r="E1860" s="92"/>
      <c r="F1860" s="92">
        <v>2.5694439999999998</v>
      </c>
      <c r="G1860" s="92">
        <v>733.0172</v>
      </c>
      <c r="H1860" s="92">
        <v>120.3614</v>
      </c>
      <c r="I1860" s="92"/>
      <c r="J1860" s="93">
        <f t="shared" si="35"/>
        <v>6.7800000000033833E-2</v>
      </c>
    </row>
    <row r="1861" spans="2:10" x14ac:dyDescent="0.2">
      <c r="B1861" s="92">
        <v>2.5708329999999999</v>
      </c>
      <c r="C1861" s="92">
        <v>732.91890000000001</v>
      </c>
      <c r="D1861" s="92">
        <v>120.5142</v>
      </c>
      <c r="E1861" s="92"/>
      <c r="F1861" s="92">
        <v>2.5708329999999999</v>
      </c>
      <c r="G1861" s="92">
        <v>732.90859999999998</v>
      </c>
      <c r="H1861" s="92">
        <v>120.2351</v>
      </c>
      <c r="I1861" s="92"/>
      <c r="J1861" s="93">
        <f t="shared" si="35"/>
        <v>1.0300000000029286E-2</v>
      </c>
    </row>
    <row r="1862" spans="2:10" x14ac:dyDescent="0.2">
      <c r="B1862" s="92">
        <v>2.572222</v>
      </c>
      <c r="C1862" s="92">
        <v>732.84860000000003</v>
      </c>
      <c r="D1862" s="92">
        <v>120.3819</v>
      </c>
      <c r="E1862" s="92"/>
      <c r="F1862" s="92">
        <v>2.572222</v>
      </c>
      <c r="G1862" s="92">
        <v>732.77110000000005</v>
      </c>
      <c r="H1862" s="92">
        <v>120.10890000000001</v>
      </c>
      <c r="I1862" s="92"/>
      <c r="J1862" s="93">
        <f t="shared" si="35"/>
        <v>7.7499999999986358E-2</v>
      </c>
    </row>
    <row r="1863" spans="2:10" x14ac:dyDescent="0.2">
      <c r="B1863" s="92">
        <v>2.5736110000000001</v>
      </c>
      <c r="C1863" s="92">
        <v>732.69759999999997</v>
      </c>
      <c r="D1863" s="92">
        <v>120.25790000000001</v>
      </c>
      <c r="E1863" s="92"/>
      <c r="F1863" s="92">
        <v>2.5736110000000001</v>
      </c>
      <c r="G1863" s="92">
        <v>732.65070000000003</v>
      </c>
      <c r="H1863" s="92">
        <v>119.9859</v>
      </c>
      <c r="I1863" s="92"/>
      <c r="J1863" s="93">
        <f t="shared" si="35"/>
        <v>4.6899999999936881E-2</v>
      </c>
    </row>
    <row r="1864" spans="2:10" x14ac:dyDescent="0.2">
      <c r="B1864" s="92">
        <v>2.5750000000000002</v>
      </c>
      <c r="C1864" s="92">
        <v>732.56679999999994</v>
      </c>
      <c r="D1864" s="92">
        <v>120.13890000000001</v>
      </c>
      <c r="E1864" s="92"/>
      <c r="F1864" s="92">
        <v>2.5750000000000002</v>
      </c>
      <c r="G1864" s="92">
        <v>732.48630000000003</v>
      </c>
      <c r="H1864" s="92">
        <v>119.8747</v>
      </c>
      <c r="I1864" s="92"/>
      <c r="J1864" s="93">
        <f t="shared" si="35"/>
        <v>8.0499999999915417E-2</v>
      </c>
    </row>
    <row r="1865" spans="2:10" x14ac:dyDescent="0.2">
      <c r="B1865" s="92">
        <v>2.5763889999999998</v>
      </c>
      <c r="C1865" s="92">
        <v>732.42769999999996</v>
      </c>
      <c r="D1865" s="92">
        <v>120.0232</v>
      </c>
      <c r="E1865" s="92"/>
      <c r="F1865" s="92">
        <v>2.5763889999999998</v>
      </c>
      <c r="G1865" s="92">
        <v>732.45669999999996</v>
      </c>
      <c r="H1865" s="92">
        <v>119.77500000000001</v>
      </c>
      <c r="I1865" s="92"/>
      <c r="J1865" s="93">
        <f t="shared" si="35"/>
        <v>2.8999999999996362E-2</v>
      </c>
    </row>
    <row r="1866" spans="2:10" x14ac:dyDescent="0.2">
      <c r="B1866" s="92">
        <v>2.5777779999999999</v>
      </c>
      <c r="C1866" s="92">
        <v>732.30340000000001</v>
      </c>
      <c r="D1866" s="92">
        <v>119.91240000000001</v>
      </c>
      <c r="E1866" s="92"/>
      <c r="F1866" s="92">
        <v>2.5777779999999999</v>
      </c>
      <c r="G1866" s="92">
        <v>732.28390000000002</v>
      </c>
      <c r="H1866" s="92">
        <v>119.66540000000001</v>
      </c>
      <c r="I1866" s="92"/>
      <c r="J1866" s="93">
        <f t="shared" si="35"/>
        <v>1.9499999999993634E-2</v>
      </c>
    </row>
    <row r="1867" spans="2:10" x14ac:dyDescent="0.2">
      <c r="B1867" s="92">
        <v>2.579167</v>
      </c>
      <c r="C1867" s="92">
        <v>732.20609999999999</v>
      </c>
      <c r="D1867" s="92">
        <v>119.8083</v>
      </c>
      <c r="E1867" s="92"/>
      <c r="F1867" s="92">
        <v>2.579167</v>
      </c>
      <c r="G1867" s="92">
        <v>732.11159999999995</v>
      </c>
      <c r="H1867" s="92">
        <v>119.5624</v>
      </c>
      <c r="I1867" s="92"/>
      <c r="J1867" s="93">
        <f t="shared" ref="J1867:J1930" si="36">+ABS(G1867-C1867)</f>
        <v>9.4500000000039108E-2</v>
      </c>
    </row>
    <row r="1868" spans="2:10" x14ac:dyDescent="0.2">
      <c r="B1868" s="92">
        <v>2.5805560000000001</v>
      </c>
      <c r="C1868" s="92">
        <v>732.04600000000005</v>
      </c>
      <c r="D1868" s="92">
        <v>119.7075</v>
      </c>
      <c r="E1868" s="92"/>
      <c r="F1868" s="92">
        <v>2.5805560000000001</v>
      </c>
      <c r="G1868" s="92">
        <v>732.01919999999996</v>
      </c>
      <c r="H1868" s="92">
        <v>119.4628</v>
      </c>
      <c r="I1868" s="92"/>
      <c r="J1868" s="93">
        <f t="shared" si="36"/>
        <v>2.680000000009386E-2</v>
      </c>
    </row>
    <row r="1869" spans="2:10" x14ac:dyDescent="0.2">
      <c r="B1869" s="92">
        <v>2.581944</v>
      </c>
      <c r="C1869" s="92">
        <v>731.9461</v>
      </c>
      <c r="D1869" s="92">
        <v>119.6</v>
      </c>
      <c r="E1869" s="92"/>
      <c r="F1869" s="92">
        <v>2.581944</v>
      </c>
      <c r="G1869" s="92">
        <v>731.89290000000005</v>
      </c>
      <c r="H1869" s="92">
        <v>119.3631</v>
      </c>
      <c r="I1869" s="92"/>
      <c r="J1869" s="93">
        <f t="shared" si="36"/>
        <v>5.3199999999947067E-2</v>
      </c>
    </row>
    <row r="1870" spans="2:10" x14ac:dyDescent="0.2">
      <c r="B1870" s="92">
        <v>2.5833330000000001</v>
      </c>
      <c r="C1870" s="92">
        <v>731.80939999999998</v>
      </c>
      <c r="D1870" s="92">
        <v>119.4943</v>
      </c>
      <c r="E1870" s="92"/>
      <c r="F1870" s="92">
        <v>2.5833330000000001</v>
      </c>
      <c r="G1870" s="92">
        <v>731.75840000000005</v>
      </c>
      <c r="H1870" s="92">
        <v>119.2651</v>
      </c>
      <c r="I1870" s="92"/>
      <c r="J1870" s="93">
        <f t="shared" si="36"/>
        <v>5.0999999999930878E-2</v>
      </c>
    </row>
    <row r="1871" spans="2:10" x14ac:dyDescent="0.2">
      <c r="B1871" s="92">
        <v>2.5847220000000002</v>
      </c>
      <c r="C1871" s="92">
        <v>731.70410000000004</v>
      </c>
      <c r="D1871" s="92">
        <v>119.38679999999999</v>
      </c>
      <c r="E1871" s="92"/>
      <c r="F1871" s="92">
        <v>2.5847220000000002</v>
      </c>
      <c r="G1871" s="92">
        <v>731.62959999999998</v>
      </c>
      <c r="H1871" s="92">
        <v>119.1622</v>
      </c>
      <c r="I1871" s="92"/>
      <c r="J1871" s="93">
        <f t="shared" si="36"/>
        <v>7.4500000000057298E-2</v>
      </c>
    </row>
    <row r="1872" spans="2:10" x14ac:dyDescent="0.2">
      <c r="B1872" s="92">
        <v>2.5861109999999998</v>
      </c>
      <c r="C1872" s="92">
        <v>731.55499999999995</v>
      </c>
      <c r="D1872" s="92">
        <v>119.286</v>
      </c>
      <c r="E1872" s="92"/>
      <c r="F1872" s="92">
        <v>2.5861109999999998</v>
      </c>
      <c r="G1872" s="92">
        <v>731.49739999999997</v>
      </c>
      <c r="H1872" s="92">
        <v>119.0609</v>
      </c>
      <c r="I1872" s="92"/>
      <c r="J1872" s="93">
        <f t="shared" si="36"/>
        <v>5.7599999999979445E-2</v>
      </c>
    </row>
    <row r="1873" spans="2:10" x14ac:dyDescent="0.2">
      <c r="B1873" s="92">
        <v>2.5874999999999999</v>
      </c>
      <c r="C1873" s="92">
        <v>731.3682</v>
      </c>
      <c r="D1873" s="92">
        <v>119.1786</v>
      </c>
      <c r="E1873" s="92"/>
      <c r="F1873" s="92">
        <v>2.5874999999999999</v>
      </c>
      <c r="G1873" s="92">
        <v>731.32039999999995</v>
      </c>
      <c r="H1873" s="92">
        <v>118.9579</v>
      </c>
      <c r="I1873" s="92"/>
      <c r="J1873" s="93">
        <f t="shared" si="36"/>
        <v>4.7800000000052023E-2</v>
      </c>
    </row>
    <row r="1874" spans="2:10" x14ac:dyDescent="0.2">
      <c r="B1874" s="92">
        <v>2.588889</v>
      </c>
      <c r="C1874" s="92">
        <v>731.30359999999996</v>
      </c>
      <c r="D1874" s="92">
        <v>119.0745</v>
      </c>
      <c r="E1874" s="92"/>
      <c r="F1874" s="92">
        <v>2.588889</v>
      </c>
      <c r="G1874" s="92">
        <v>731.20780000000002</v>
      </c>
      <c r="H1874" s="92">
        <v>118.86320000000001</v>
      </c>
      <c r="I1874" s="92"/>
      <c r="J1874" s="93">
        <f t="shared" si="36"/>
        <v>9.5799999999940155E-2</v>
      </c>
    </row>
    <row r="1875" spans="2:10" x14ac:dyDescent="0.2">
      <c r="B1875" s="92">
        <v>2.5902780000000001</v>
      </c>
      <c r="C1875" s="92">
        <v>731.11649999999997</v>
      </c>
      <c r="D1875" s="92">
        <v>118.97369999999999</v>
      </c>
      <c r="E1875" s="92"/>
      <c r="F1875" s="92">
        <v>2.5902780000000001</v>
      </c>
      <c r="G1875" s="92">
        <v>731.04409999999996</v>
      </c>
      <c r="H1875" s="92">
        <v>118.7586</v>
      </c>
      <c r="I1875" s="92"/>
      <c r="J1875" s="93">
        <f t="shared" si="36"/>
        <v>7.2400000000016007E-2</v>
      </c>
    </row>
    <row r="1876" spans="2:10" x14ac:dyDescent="0.2">
      <c r="B1876" s="92">
        <v>2.5916670000000002</v>
      </c>
      <c r="C1876" s="92">
        <v>730.99120000000005</v>
      </c>
      <c r="D1876" s="92">
        <v>118.8614</v>
      </c>
      <c r="E1876" s="92"/>
      <c r="F1876" s="92">
        <v>2.5916670000000002</v>
      </c>
      <c r="G1876" s="92">
        <v>730.91579999999999</v>
      </c>
      <c r="H1876" s="92">
        <v>118.6623</v>
      </c>
      <c r="I1876" s="92"/>
      <c r="J1876" s="93">
        <f t="shared" si="36"/>
        <v>7.5400000000058753E-2</v>
      </c>
    </row>
    <row r="1877" spans="2:10" x14ac:dyDescent="0.2">
      <c r="B1877" s="92">
        <v>2.5930559999999998</v>
      </c>
      <c r="C1877" s="92">
        <v>730.80160000000001</v>
      </c>
      <c r="D1877" s="92">
        <v>118.7573</v>
      </c>
      <c r="E1877" s="92"/>
      <c r="F1877" s="92">
        <v>2.5930559999999998</v>
      </c>
      <c r="G1877" s="92">
        <v>730.75530000000003</v>
      </c>
      <c r="H1877" s="92">
        <v>118.54940000000001</v>
      </c>
      <c r="I1877" s="92"/>
      <c r="J1877" s="93">
        <f t="shared" si="36"/>
        <v>4.6299999999973807E-2</v>
      </c>
    </row>
    <row r="1878" spans="2:10" x14ac:dyDescent="0.2">
      <c r="B1878" s="92">
        <v>2.5944440000000002</v>
      </c>
      <c r="C1878" s="92">
        <v>730.66420000000005</v>
      </c>
      <c r="D1878" s="92">
        <v>118.6433</v>
      </c>
      <c r="E1878" s="92"/>
      <c r="F1878" s="92">
        <v>2.5944440000000002</v>
      </c>
      <c r="G1878" s="92">
        <v>730.54079999999999</v>
      </c>
      <c r="H1878" s="92">
        <v>118.4415</v>
      </c>
      <c r="I1878" s="92"/>
      <c r="J1878" s="93">
        <f t="shared" si="36"/>
        <v>0.12340000000006057</v>
      </c>
    </row>
    <row r="1879" spans="2:10" x14ac:dyDescent="0.2">
      <c r="B1879" s="92">
        <v>2.5958329999999998</v>
      </c>
      <c r="C1879" s="92">
        <v>730.47760000000005</v>
      </c>
      <c r="D1879" s="92">
        <v>118.5359</v>
      </c>
      <c r="E1879" s="92"/>
      <c r="F1879" s="92">
        <v>2.5958329999999998</v>
      </c>
      <c r="G1879" s="92">
        <v>730.45920000000001</v>
      </c>
      <c r="H1879" s="92">
        <v>118.3369</v>
      </c>
      <c r="I1879" s="92"/>
      <c r="J1879" s="93">
        <f t="shared" si="36"/>
        <v>1.8400000000042382E-2</v>
      </c>
    </row>
    <row r="1880" spans="2:10" x14ac:dyDescent="0.2">
      <c r="B1880" s="92">
        <v>2.5972219999999999</v>
      </c>
      <c r="C1880" s="92">
        <v>730.35389999999995</v>
      </c>
      <c r="D1880" s="92">
        <v>118.4186</v>
      </c>
      <c r="E1880" s="92"/>
      <c r="F1880" s="92">
        <v>2.5972219999999999</v>
      </c>
      <c r="G1880" s="92">
        <v>730.33299999999997</v>
      </c>
      <c r="H1880" s="92">
        <v>118.2306</v>
      </c>
      <c r="I1880" s="92"/>
      <c r="J1880" s="93">
        <f t="shared" si="36"/>
        <v>2.0899999999983265E-2</v>
      </c>
    </row>
    <row r="1881" spans="2:10" x14ac:dyDescent="0.2">
      <c r="B1881" s="92">
        <v>2.598611</v>
      </c>
      <c r="C1881" s="92">
        <v>730.22680000000003</v>
      </c>
      <c r="D1881" s="92">
        <v>118.31789999999999</v>
      </c>
      <c r="E1881" s="92"/>
      <c r="F1881" s="92">
        <v>2.598611</v>
      </c>
      <c r="G1881" s="92">
        <v>730.19060000000002</v>
      </c>
      <c r="H1881" s="92">
        <v>118.1161</v>
      </c>
      <c r="I1881" s="92"/>
      <c r="J1881" s="93">
        <f t="shared" si="36"/>
        <v>3.6200000000008004E-2</v>
      </c>
    </row>
    <row r="1882" spans="2:10" x14ac:dyDescent="0.2">
      <c r="B1882" s="92">
        <v>2.6</v>
      </c>
      <c r="C1882" s="92">
        <v>730.09140000000002</v>
      </c>
      <c r="D1882" s="92">
        <v>118.1923</v>
      </c>
      <c r="E1882" s="92"/>
      <c r="F1882" s="92">
        <v>2.6</v>
      </c>
      <c r="G1882" s="92">
        <v>730.00040000000001</v>
      </c>
      <c r="H1882" s="92">
        <v>118.0082</v>
      </c>
      <c r="I1882" s="92"/>
      <c r="J1882" s="93">
        <f t="shared" si="36"/>
        <v>9.1000000000008185E-2</v>
      </c>
    </row>
    <row r="1883" spans="2:10" x14ac:dyDescent="0.2">
      <c r="B1883" s="92">
        <v>2.6013890000000002</v>
      </c>
      <c r="C1883" s="92">
        <v>729.95119999999997</v>
      </c>
      <c r="D1883" s="92">
        <v>118.0817</v>
      </c>
      <c r="E1883" s="92"/>
      <c r="F1883" s="92">
        <v>2.6013890000000002</v>
      </c>
      <c r="G1883" s="92">
        <v>729.8777</v>
      </c>
      <c r="H1883" s="92">
        <v>117.9003</v>
      </c>
      <c r="I1883" s="92"/>
      <c r="J1883" s="93">
        <f t="shared" si="36"/>
        <v>7.3499999999967258E-2</v>
      </c>
    </row>
    <row r="1884" spans="2:10" x14ac:dyDescent="0.2">
      <c r="B1884" s="92">
        <v>2.6027779999999998</v>
      </c>
      <c r="C1884" s="92">
        <v>729.73119999999994</v>
      </c>
      <c r="D1884" s="92">
        <v>117.9661</v>
      </c>
      <c r="E1884" s="92"/>
      <c r="F1884" s="92">
        <v>2.6027779999999998</v>
      </c>
      <c r="G1884" s="92">
        <v>729.64859999999999</v>
      </c>
      <c r="H1884" s="92">
        <v>117.78570000000001</v>
      </c>
      <c r="I1884" s="92"/>
      <c r="J1884" s="93">
        <f t="shared" si="36"/>
        <v>8.2599999999956708E-2</v>
      </c>
    </row>
    <row r="1885" spans="2:10" x14ac:dyDescent="0.2">
      <c r="B1885" s="92">
        <v>2.6041669999999999</v>
      </c>
      <c r="C1885" s="92">
        <v>729.59010000000001</v>
      </c>
      <c r="D1885" s="92">
        <v>117.8472</v>
      </c>
      <c r="E1885" s="92"/>
      <c r="F1885" s="92">
        <v>2.6041669999999999</v>
      </c>
      <c r="G1885" s="92">
        <v>729.4787</v>
      </c>
      <c r="H1885" s="92">
        <v>117.6728</v>
      </c>
      <c r="I1885" s="92"/>
      <c r="J1885" s="93">
        <f t="shared" si="36"/>
        <v>0.11140000000000327</v>
      </c>
    </row>
    <row r="1886" spans="2:10" x14ac:dyDescent="0.2">
      <c r="B1886" s="92">
        <v>2.605556</v>
      </c>
      <c r="C1886" s="92">
        <v>729.39739999999995</v>
      </c>
      <c r="D1886" s="92">
        <v>117.7316</v>
      </c>
      <c r="E1886" s="92"/>
      <c r="F1886" s="92">
        <v>2.605556</v>
      </c>
      <c r="G1886" s="92">
        <v>729.30730000000005</v>
      </c>
      <c r="H1886" s="92">
        <v>117.55159999999999</v>
      </c>
      <c r="I1886" s="92"/>
      <c r="J1886" s="93">
        <f t="shared" si="36"/>
        <v>9.0099999999893043E-2</v>
      </c>
    </row>
    <row r="1887" spans="2:10" x14ac:dyDescent="0.2">
      <c r="B1887" s="92">
        <v>2.6069439999999999</v>
      </c>
      <c r="C1887" s="92">
        <v>729.23180000000002</v>
      </c>
      <c r="D1887" s="92">
        <v>117.616</v>
      </c>
      <c r="E1887" s="92"/>
      <c r="F1887" s="92">
        <v>2.6069439999999999</v>
      </c>
      <c r="G1887" s="92">
        <v>729.20460000000003</v>
      </c>
      <c r="H1887" s="92">
        <v>117.43210000000001</v>
      </c>
      <c r="I1887" s="92"/>
      <c r="J1887" s="93">
        <f t="shared" si="36"/>
        <v>2.7199999999993452E-2</v>
      </c>
    </row>
    <row r="1888" spans="2:10" x14ac:dyDescent="0.2">
      <c r="B1888" s="92">
        <v>2.608333</v>
      </c>
      <c r="C1888" s="92">
        <v>729.09010000000001</v>
      </c>
      <c r="D1888" s="92">
        <v>117.48220000000001</v>
      </c>
      <c r="E1888" s="92"/>
      <c r="F1888" s="92">
        <v>2.608333</v>
      </c>
      <c r="G1888" s="92">
        <v>729.01750000000004</v>
      </c>
      <c r="H1888" s="92">
        <v>117.30929999999999</v>
      </c>
      <c r="I1888" s="92"/>
      <c r="J1888" s="93">
        <f t="shared" si="36"/>
        <v>7.2599999999965803E-2</v>
      </c>
    </row>
    <row r="1889" spans="2:10" x14ac:dyDescent="0.2">
      <c r="B1889" s="92">
        <v>2.6097220000000001</v>
      </c>
      <c r="C1889" s="92">
        <v>728.87990000000002</v>
      </c>
      <c r="D1889" s="92">
        <v>117.36499999999999</v>
      </c>
      <c r="E1889" s="92"/>
      <c r="F1889" s="92">
        <v>2.6097220000000001</v>
      </c>
      <c r="G1889" s="92">
        <v>728.86760000000004</v>
      </c>
      <c r="H1889" s="92">
        <v>117.1848</v>
      </c>
      <c r="I1889" s="92"/>
      <c r="J1889" s="93">
        <f t="shared" si="36"/>
        <v>1.2299999999981992E-2</v>
      </c>
    </row>
    <row r="1890" spans="2:10" x14ac:dyDescent="0.2">
      <c r="B1890" s="92">
        <v>2.6111110000000002</v>
      </c>
      <c r="C1890" s="92">
        <v>728.79229999999995</v>
      </c>
      <c r="D1890" s="92">
        <v>117.23779999999999</v>
      </c>
      <c r="E1890" s="92"/>
      <c r="F1890" s="92">
        <v>2.6111110000000002</v>
      </c>
      <c r="G1890" s="92">
        <v>728.66800000000001</v>
      </c>
      <c r="H1890" s="92">
        <v>117.05200000000001</v>
      </c>
      <c r="I1890" s="92"/>
      <c r="J1890" s="93">
        <f t="shared" si="36"/>
        <v>0.12429999999994834</v>
      </c>
    </row>
    <row r="1891" spans="2:10" x14ac:dyDescent="0.2">
      <c r="B1891" s="92">
        <v>2.6124999999999998</v>
      </c>
      <c r="C1891" s="92">
        <v>728.62850000000003</v>
      </c>
      <c r="D1891" s="92">
        <v>117.1173</v>
      </c>
      <c r="E1891" s="92"/>
      <c r="F1891" s="92">
        <v>2.6124999999999998</v>
      </c>
      <c r="G1891" s="92">
        <v>728.5616</v>
      </c>
      <c r="H1891" s="92">
        <v>116.92749999999999</v>
      </c>
      <c r="I1891" s="92"/>
      <c r="J1891" s="93">
        <f t="shared" si="36"/>
        <v>6.6900000000032378E-2</v>
      </c>
    </row>
    <row r="1892" spans="2:10" x14ac:dyDescent="0.2">
      <c r="B1892" s="92">
        <v>2.6138889999999999</v>
      </c>
      <c r="C1892" s="92">
        <v>728.50040000000001</v>
      </c>
      <c r="D1892" s="92">
        <v>116.98690000000001</v>
      </c>
      <c r="E1892" s="92"/>
      <c r="F1892" s="92">
        <v>2.6138889999999999</v>
      </c>
      <c r="G1892" s="92">
        <v>728.35090000000002</v>
      </c>
      <c r="H1892" s="92">
        <v>116.8113</v>
      </c>
      <c r="I1892" s="92"/>
      <c r="J1892" s="93">
        <f t="shared" si="36"/>
        <v>0.14949999999998909</v>
      </c>
    </row>
    <row r="1893" spans="2:10" x14ac:dyDescent="0.2">
      <c r="B1893" s="92">
        <v>2.615278</v>
      </c>
      <c r="C1893" s="92">
        <v>728.29700000000003</v>
      </c>
      <c r="D1893" s="92">
        <v>116.87130000000001</v>
      </c>
      <c r="E1893" s="92"/>
      <c r="F1893" s="92">
        <v>2.615278</v>
      </c>
      <c r="G1893" s="92">
        <v>728.18060000000003</v>
      </c>
      <c r="H1893" s="92">
        <v>116.68519999999999</v>
      </c>
      <c r="I1893" s="92"/>
      <c r="J1893" s="93">
        <f t="shared" si="36"/>
        <v>0.11639999999999873</v>
      </c>
    </row>
    <row r="1894" spans="2:10" x14ac:dyDescent="0.2">
      <c r="B1894" s="92">
        <v>2.6166670000000001</v>
      </c>
      <c r="C1894" s="92">
        <v>728.12019999999995</v>
      </c>
      <c r="D1894" s="92">
        <v>116.7409</v>
      </c>
      <c r="E1894" s="92"/>
      <c r="F1894" s="92">
        <v>2.6166670000000001</v>
      </c>
      <c r="G1894" s="92">
        <v>728.04190000000006</v>
      </c>
      <c r="H1894" s="92">
        <v>116.5624</v>
      </c>
      <c r="I1894" s="92"/>
      <c r="J1894" s="93">
        <f t="shared" si="36"/>
        <v>7.8299999999899228E-2</v>
      </c>
    </row>
    <row r="1895" spans="2:10" x14ac:dyDescent="0.2">
      <c r="B1895" s="92">
        <v>2.6180560000000002</v>
      </c>
      <c r="C1895" s="92">
        <v>727.96220000000005</v>
      </c>
      <c r="D1895" s="92">
        <v>116.6138</v>
      </c>
      <c r="E1895" s="92"/>
      <c r="F1895" s="92">
        <v>2.6180560000000002</v>
      </c>
      <c r="G1895" s="92">
        <v>727.87819999999999</v>
      </c>
      <c r="H1895" s="92">
        <v>116.44459999999999</v>
      </c>
      <c r="I1895" s="92"/>
      <c r="J1895" s="93">
        <f t="shared" si="36"/>
        <v>8.4000000000060027E-2</v>
      </c>
    </row>
    <row r="1896" spans="2:10" x14ac:dyDescent="0.2">
      <c r="B1896" s="92">
        <v>2.6194440000000001</v>
      </c>
      <c r="C1896" s="92">
        <v>727.79079999999999</v>
      </c>
      <c r="D1896" s="92">
        <v>116.4834</v>
      </c>
      <c r="E1896" s="92"/>
      <c r="F1896" s="92">
        <v>2.6194440000000001</v>
      </c>
      <c r="G1896" s="92">
        <v>727.71860000000004</v>
      </c>
      <c r="H1896" s="92">
        <v>116.3135</v>
      </c>
      <c r="I1896" s="92"/>
      <c r="J1896" s="93">
        <f t="shared" si="36"/>
        <v>7.2199999999952524E-2</v>
      </c>
    </row>
    <row r="1897" spans="2:10" x14ac:dyDescent="0.2">
      <c r="B1897" s="92">
        <v>2.6208330000000002</v>
      </c>
      <c r="C1897" s="92">
        <v>727.62080000000003</v>
      </c>
      <c r="D1897" s="92">
        <v>116.35469999999999</v>
      </c>
      <c r="E1897" s="92"/>
      <c r="F1897" s="92">
        <v>2.6208330000000002</v>
      </c>
      <c r="G1897" s="92">
        <v>727.55589999999995</v>
      </c>
      <c r="H1897" s="92">
        <v>116.19070000000001</v>
      </c>
      <c r="I1897" s="92"/>
      <c r="J1897" s="93">
        <f t="shared" si="36"/>
        <v>6.4900000000079672E-2</v>
      </c>
    </row>
    <row r="1898" spans="2:10" x14ac:dyDescent="0.2">
      <c r="B1898" s="92">
        <v>2.6222219999999998</v>
      </c>
      <c r="C1898" s="92">
        <v>727.47249999999997</v>
      </c>
      <c r="D1898" s="92">
        <v>116.226</v>
      </c>
      <c r="E1898" s="92"/>
      <c r="F1898" s="92">
        <v>2.6222219999999998</v>
      </c>
      <c r="G1898" s="92">
        <v>727.40260000000001</v>
      </c>
      <c r="H1898" s="92">
        <v>116.0612</v>
      </c>
      <c r="I1898" s="92"/>
      <c r="J1898" s="93">
        <f t="shared" si="36"/>
        <v>6.9899999999961437E-2</v>
      </c>
    </row>
    <row r="1899" spans="2:10" x14ac:dyDescent="0.2">
      <c r="B1899" s="92">
        <v>2.6236109999999999</v>
      </c>
      <c r="C1899" s="92">
        <v>727.28120000000001</v>
      </c>
      <c r="D1899" s="92">
        <v>116.0907</v>
      </c>
      <c r="E1899" s="92"/>
      <c r="F1899" s="92">
        <v>2.6236109999999999</v>
      </c>
      <c r="G1899" s="92">
        <v>727.17219999999998</v>
      </c>
      <c r="H1899" s="92">
        <v>115.9318</v>
      </c>
      <c r="I1899" s="92"/>
      <c r="J1899" s="93">
        <f t="shared" si="36"/>
        <v>0.10900000000003729</v>
      </c>
    </row>
    <row r="1900" spans="2:10" x14ac:dyDescent="0.2">
      <c r="B1900" s="92">
        <v>2.625</v>
      </c>
      <c r="C1900" s="92">
        <v>727.11509999999998</v>
      </c>
      <c r="D1900" s="92">
        <v>115.9669</v>
      </c>
      <c r="E1900" s="92"/>
      <c r="F1900" s="92">
        <v>2.625</v>
      </c>
      <c r="G1900" s="92">
        <v>727.02250000000004</v>
      </c>
      <c r="H1900" s="92">
        <v>115.80070000000001</v>
      </c>
      <c r="I1900" s="92"/>
      <c r="J1900" s="93">
        <f t="shared" si="36"/>
        <v>9.2599999999947613E-2</v>
      </c>
    </row>
    <row r="1901" spans="2:10" x14ac:dyDescent="0.2">
      <c r="B1901" s="92">
        <v>2.6263890000000001</v>
      </c>
      <c r="C1901" s="92">
        <v>726.9443</v>
      </c>
      <c r="D1901" s="92">
        <v>115.82989999999999</v>
      </c>
      <c r="E1901" s="92"/>
      <c r="F1901" s="92">
        <v>2.6263890000000001</v>
      </c>
      <c r="G1901" s="92">
        <v>726.82910000000004</v>
      </c>
      <c r="H1901" s="92">
        <v>115.663</v>
      </c>
      <c r="I1901" s="92"/>
      <c r="J1901" s="93">
        <f t="shared" si="36"/>
        <v>0.11519999999995889</v>
      </c>
    </row>
    <row r="1902" spans="2:10" x14ac:dyDescent="0.2">
      <c r="B1902" s="92">
        <v>2.6277780000000002</v>
      </c>
      <c r="C1902" s="92">
        <v>726.79480000000001</v>
      </c>
      <c r="D1902" s="92">
        <v>115.6996</v>
      </c>
      <c r="E1902" s="92"/>
      <c r="F1902" s="92">
        <v>2.6277780000000002</v>
      </c>
      <c r="G1902" s="92">
        <v>726.67809999999997</v>
      </c>
      <c r="H1902" s="92">
        <v>115.5303</v>
      </c>
      <c r="I1902" s="92"/>
      <c r="J1902" s="93">
        <f t="shared" si="36"/>
        <v>0.11670000000003711</v>
      </c>
    </row>
    <row r="1903" spans="2:10" x14ac:dyDescent="0.2">
      <c r="B1903" s="92">
        <v>2.6291669999999998</v>
      </c>
      <c r="C1903" s="92">
        <v>726.59</v>
      </c>
      <c r="D1903" s="92">
        <v>115.5676</v>
      </c>
      <c r="E1903" s="92"/>
      <c r="F1903" s="92">
        <v>2.6291669999999998</v>
      </c>
      <c r="G1903" s="92">
        <v>726.48389999999995</v>
      </c>
      <c r="H1903" s="92">
        <v>115.39749999999999</v>
      </c>
      <c r="I1903" s="92"/>
      <c r="J1903" s="93">
        <f t="shared" si="36"/>
        <v>0.10610000000008313</v>
      </c>
    </row>
    <row r="1904" spans="2:10" x14ac:dyDescent="0.2">
      <c r="B1904" s="92">
        <v>2.6305559999999999</v>
      </c>
      <c r="C1904" s="92">
        <v>726.39089999999999</v>
      </c>
      <c r="D1904" s="92">
        <v>115.429</v>
      </c>
      <c r="E1904" s="92"/>
      <c r="F1904" s="92">
        <v>2.6305559999999999</v>
      </c>
      <c r="G1904" s="92">
        <v>726.30259999999998</v>
      </c>
      <c r="H1904" s="92">
        <v>115.2565</v>
      </c>
      <c r="I1904" s="92"/>
      <c r="J1904" s="93">
        <f t="shared" si="36"/>
        <v>8.830000000000382E-2</v>
      </c>
    </row>
    <row r="1905" spans="2:10" x14ac:dyDescent="0.2">
      <c r="B1905" s="92">
        <v>2.6319439999999998</v>
      </c>
      <c r="C1905" s="92">
        <v>726.22820000000002</v>
      </c>
      <c r="D1905" s="92">
        <v>115.2954</v>
      </c>
      <c r="E1905" s="92"/>
      <c r="F1905" s="92">
        <v>2.6319439999999998</v>
      </c>
      <c r="G1905" s="92">
        <v>726.14530000000002</v>
      </c>
      <c r="H1905" s="92">
        <v>115.1155</v>
      </c>
      <c r="I1905" s="92"/>
      <c r="J1905" s="93">
        <f t="shared" si="36"/>
        <v>8.2899999999995089E-2</v>
      </c>
    </row>
    <row r="1906" spans="2:10" x14ac:dyDescent="0.2">
      <c r="B1906" s="92">
        <v>2.6333329999999999</v>
      </c>
      <c r="C1906" s="92">
        <v>726.00220000000002</v>
      </c>
      <c r="D1906" s="92">
        <v>115.1568</v>
      </c>
      <c r="E1906" s="92"/>
      <c r="F1906" s="92">
        <v>2.6333329999999999</v>
      </c>
      <c r="G1906" s="92">
        <v>725.97140000000002</v>
      </c>
      <c r="H1906" s="92">
        <v>114.9778</v>
      </c>
      <c r="I1906" s="92"/>
      <c r="J1906" s="93">
        <f t="shared" si="36"/>
        <v>3.0799999999999272E-2</v>
      </c>
    </row>
    <row r="1907" spans="2:10" x14ac:dyDescent="0.2">
      <c r="B1907" s="92">
        <v>2.634722</v>
      </c>
      <c r="C1907" s="92">
        <v>725.8682</v>
      </c>
      <c r="D1907" s="92">
        <v>115.01819999999999</v>
      </c>
      <c r="E1907" s="92"/>
      <c r="F1907" s="92">
        <v>2.634722</v>
      </c>
      <c r="G1907" s="92">
        <v>725.79280000000006</v>
      </c>
      <c r="H1907" s="92">
        <v>114.84010000000001</v>
      </c>
      <c r="I1907" s="92"/>
      <c r="J1907" s="93">
        <f t="shared" si="36"/>
        <v>7.5399999999945067E-2</v>
      </c>
    </row>
    <row r="1908" spans="2:10" x14ac:dyDescent="0.2">
      <c r="B1908" s="92">
        <v>2.6361110000000001</v>
      </c>
      <c r="C1908" s="92">
        <v>725.66240000000005</v>
      </c>
      <c r="D1908" s="92">
        <v>114.88460000000001</v>
      </c>
      <c r="E1908" s="92"/>
      <c r="F1908" s="92">
        <v>2.6361110000000001</v>
      </c>
      <c r="G1908" s="92">
        <v>725.58630000000005</v>
      </c>
      <c r="H1908" s="92">
        <v>114.6974</v>
      </c>
      <c r="I1908" s="92"/>
      <c r="J1908" s="93">
        <f t="shared" si="36"/>
        <v>7.6099999999996726E-2</v>
      </c>
    </row>
    <row r="1909" spans="2:10" x14ac:dyDescent="0.2">
      <c r="B1909" s="92">
        <v>2.6375000000000002</v>
      </c>
      <c r="C1909" s="92">
        <v>725.51930000000004</v>
      </c>
      <c r="D1909" s="92">
        <v>114.74120000000001</v>
      </c>
      <c r="E1909" s="92"/>
      <c r="F1909" s="92">
        <v>2.6375000000000002</v>
      </c>
      <c r="G1909" s="92">
        <v>725.40170000000001</v>
      </c>
      <c r="H1909" s="92">
        <v>114.5581</v>
      </c>
      <c r="I1909" s="92"/>
      <c r="J1909" s="93">
        <f t="shared" si="36"/>
        <v>0.11760000000003856</v>
      </c>
    </row>
    <row r="1910" spans="2:10" x14ac:dyDescent="0.2">
      <c r="B1910" s="92">
        <v>2.6388889999999998</v>
      </c>
      <c r="C1910" s="92">
        <v>725.33</v>
      </c>
      <c r="D1910" s="92">
        <v>114.601</v>
      </c>
      <c r="E1910" s="92"/>
      <c r="F1910" s="92">
        <v>2.6388889999999998</v>
      </c>
      <c r="G1910" s="92">
        <v>725.24080000000004</v>
      </c>
      <c r="H1910" s="92">
        <v>114.4121</v>
      </c>
      <c r="I1910" s="92"/>
      <c r="J1910" s="93">
        <f t="shared" si="36"/>
        <v>8.9200000000005275E-2</v>
      </c>
    </row>
    <row r="1911" spans="2:10" x14ac:dyDescent="0.2">
      <c r="B1911" s="92">
        <v>2.6402779999999999</v>
      </c>
      <c r="C1911" s="92">
        <v>725.15869999999995</v>
      </c>
      <c r="D1911" s="92">
        <v>114.4558</v>
      </c>
      <c r="E1911" s="92"/>
      <c r="F1911" s="92">
        <v>2.6402779999999999</v>
      </c>
      <c r="G1911" s="92">
        <v>725.06269999999995</v>
      </c>
      <c r="H1911" s="92">
        <v>114.2811</v>
      </c>
      <c r="I1911" s="92"/>
      <c r="J1911" s="93">
        <f t="shared" si="36"/>
        <v>9.6000000000003638E-2</v>
      </c>
    </row>
    <row r="1912" spans="2:10" x14ac:dyDescent="0.2">
      <c r="B1912" s="92">
        <v>2.641667</v>
      </c>
      <c r="C1912" s="92">
        <v>725.02200000000005</v>
      </c>
      <c r="D1912" s="92">
        <v>114.3206</v>
      </c>
      <c r="E1912" s="92"/>
      <c r="F1912" s="92">
        <v>2.641667</v>
      </c>
      <c r="G1912" s="92">
        <v>724.93320000000006</v>
      </c>
      <c r="H1912" s="92">
        <v>114.1384</v>
      </c>
      <c r="I1912" s="92"/>
      <c r="J1912" s="93">
        <f t="shared" si="36"/>
        <v>8.8799999999991996E-2</v>
      </c>
    </row>
    <row r="1913" spans="2:10" x14ac:dyDescent="0.2">
      <c r="B1913" s="92">
        <v>2.6430560000000001</v>
      </c>
      <c r="C1913" s="92">
        <v>724.83929999999998</v>
      </c>
      <c r="D1913" s="92">
        <v>114.1887</v>
      </c>
      <c r="E1913" s="92"/>
      <c r="F1913" s="92">
        <v>2.6430560000000001</v>
      </c>
      <c r="G1913" s="92">
        <v>724.76930000000004</v>
      </c>
      <c r="H1913" s="92">
        <v>114.00069999999999</v>
      </c>
      <c r="I1913" s="92"/>
      <c r="J1913" s="93">
        <f t="shared" si="36"/>
        <v>6.9999999999936335E-2</v>
      </c>
    </row>
    <row r="1914" spans="2:10" x14ac:dyDescent="0.2">
      <c r="B1914" s="92">
        <v>2.644444</v>
      </c>
      <c r="C1914" s="92">
        <v>724.64739999999995</v>
      </c>
      <c r="D1914" s="92">
        <v>114.0519</v>
      </c>
      <c r="E1914" s="92"/>
      <c r="F1914" s="92">
        <v>2.644444</v>
      </c>
      <c r="G1914" s="92">
        <v>724.60310000000004</v>
      </c>
      <c r="H1914" s="92">
        <v>113.8664</v>
      </c>
      <c r="I1914" s="92"/>
      <c r="J1914" s="93">
        <f t="shared" si="36"/>
        <v>4.4299999999907413E-2</v>
      </c>
    </row>
    <row r="1915" spans="2:10" x14ac:dyDescent="0.2">
      <c r="B1915" s="92">
        <v>2.6458330000000001</v>
      </c>
      <c r="C1915" s="92">
        <v>724.4479</v>
      </c>
      <c r="D1915" s="92">
        <v>113.9051</v>
      </c>
      <c r="E1915" s="92"/>
      <c r="F1915" s="92">
        <v>2.6458330000000001</v>
      </c>
      <c r="G1915" s="92">
        <v>724.3768</v>
      </c>
      <c r="H1915" s="92">
        <v>113.7287</v>
      </c>
      <c r="I1915" s="92"/>
      <c r="J1915" s="93">
        <f t="shared" si="36"/>
        <v>7.1100000000001273E-2</v>
      </c>
    </row>
    <row r="1916" spans="2:10" x14ac:dyDescent="0.2">
      <c r="B1916" s="92">
        <v>2.6472220000000002</v>
      </c>
      <c r="C1916" s="92">
        <v>724.33680000000004</v>
      </c>
      <c r="D1916" s="92">
        <v>113.7749</v>
      </c>
      <c r="E1916" s="92"/>
      <c r="F1916" s="92">
        <v>2.6472220000000002</v>
      </c>
      <c r="G1916" s="92">
        <v>724.22159999999997</v>
      </c>
      <c r="H1916" s="92">
        <v>113.59610000000001</v>
      </c>
      <c r="I1916" s="92"/>
      <c r="J1916" s="93">
        <f t="shared" si="36"/>
        <v>0.11520000000007258</v>
      </c>
    </row>
    <row r="1917" spans="2:10" x14ac:dyDescent="0.2">
      <c r="B1917" s="92">
        <v>2.6486109999999998</v>
      </c>
      <c r="C1917" s="92">
        <v>724.12459999999999</v>
      </c>
      <c r="D1917" s="92">
        <v>113.6397</v>
      </c>
      <c r="E1917" s="92"/>
      <c r="F1917" s="92">
        <v>2.6486109999999998</v>
      </c>
      <c r="G1917" s="92">
        <v>723.99419999999998</v>
      </c>
      <c r="H1917" s="92">
        <v>113.4567</v>
      </c>
      <c r="I1917" s="92"/>
      <c r="J1917" s="93">
        <f t="shared" si="36"/>
        <v>0.13040000000000873</v>
      </c>
    </row>
    <row r="1918" spans="2:10" x14ac:dyDescent="0.2">
      <c r="B1918" s="92">
        <v>2.65</v>
      </c>
      <c r="C1918" s="92">
        <v>723.94910000000004</v>
      </c>
      <c r="D1918" s="92">
        <v>113.5029</v>
      </c>
      <c r="E1918" s="92"/>
      <c r="F1918" s="92">
        <v>2.65</v>
      </c>
      <c r="G1918" s="92">
        <v>723.85220000000004</v>
      </c>
      <c r="H1918" s="92">
        <v>113.3224</v>
      </c>
      <c r="I1918" s="92"/>
      <c r="J1918" s="93">
        <f t="shared" si="36"/>
        <v>9.6900000000005093E-2</v>
      </c>
    </row>
    <row r="1919" spans="2:10" x14ac:dyDescent="0.2">
      <c r="B1919" s="92">
        <v>2.651389</v>
      </c>
      <c r="C1919" s="92">
        <v>723.77769999999998</v>
      </c>
      <c r="D1919" s="92">
        <v>113.3644</v>
      </c>
      <c r="E1919" s="92"/>
      <c r="F1919" s="92">
        <v>2.651389</v>
      </c>
      <c r="G1919" s="92">
        <v>723.64589999999998</v>
      </c>
      <c r="H1919" s="92">
        <v>113.17319999999999</v>
      </c>
      <c r="I1919" s="92"/>
      <c r="J1919" s="93">
        <f t="shared" si="36"/>
        <v>0.13179999999999836</v>
      </c>
    </row>
    <row r="1920" spans="2:10" x14ac:dyDescent="0.2">
      <c r="B1920" s="92">
        <v>2.6527780000000001</v>
      </c>
      <c r="C1920" s="92">
        <v>723.59559999999999</v>
      </c>
      <c r="D1920" s="92">
        <v>113.2259</v>
      </c>
      <c r="E1920" s="92"/>
      <c r="F1920" s="92">
        <v>2.6527780000000001</v>
      </c>
      <c r="G1920" s="92">
        <v>723.45090000000005</v>
      </c>
      <c r="H1920" s="92">
        <v>113.0322</v>
      </c>
      <c r="I1920" s="92"/>
      <c r="J1920" s="93">
        <f t="shared" si="36"/>
        <v>0.14469999999994343</v>
      </c>
    </row>
    <row r="1921" spans="2:10" x14ac:dyDescent="0.2">
      <c r="B1921" s="92">
        <v>2.6541670000000002</v>
      </c>
      <c r="C1921" s="92">
        <v>723.37990000000002</v>
      </c>
      <c r="D1921" s="92">
        <v>113.0859</v>
      </c>
      <c r="E1921" s="92"/>
      <c r="F1921" s="92">
        <v>2.6541670000000002</v>
      </c>
      <c r="G1921" s="92">
        <v>723.27710000000002</v>
      </c>
      <c r="H1921" s="92">
        <v>112.8813</v>
      </c>
      <c r="I1921" s="92"/>
      <c r="J1921" s="93">
        <f t="shared" si="36"/>
        <v>0.102800000000002</v>
      </c>
    </row>
    <row r="1922" spans="2:10" x14ac:dyDescent="0.2">
      <c r="B1922" s="92">
        <v>2.6555559999999998</v>
      </c>
      <c r="C1922" s="92">
        <v>723.15369999999996</v>
      </c>
      <c r="D1922" s="92">
        <v>112.9392</v>
      </c>
      <c r="E1922" s="92"/>
      <c r="F1922" s="92">
        <v>2.6555559999999998</v>
      </c>
      <c r="G1922" s="92">
        <v>723.04989999999998</v>
      </c>
      <c r="H1922" s="92">
        <v>112.742</v>
      </c>
      <c r="I1922" s="92"/>
      <c r="J1922" s="93">
        <f t="shared" si="36"/>
        <v>0.10379999999997835</v>
      </c>
    </row>
    <row r="1923" spans="2:10" x14ac:dyDescent="0.2">
      <c r="B1923" s="92">
        <v>2.6569440000000002</v>
      </c>
      <c r="C1923" s="92">
        <v>722.99210000000005</v>
      </c>
      <c r="D1923" s="92">
        <v>112.7991</v>
      </c>
      <c r="E1923" s="92"/>
      <c r="F1923" s="92">
        <v>2.6569440000000002</v>
      </c>
      <c r="G1923" s="92">
        <v>722.89030000000002</v>
      </c>
      <c r="H1923" s="92">
        <v>112.58450000000001</v>
      </c>
      <c r="I1923" s="92"/>
      <c r="J1923" s="93">
        <f t="shared" si="36"/>
        <v>0.10180000000002565</v>
      </c>
    </row>
    <row r="1924" spans="2:10" x14ac:dyDescent="0.2">
      <c r="B1924" s="92">
        <v>2.6583329999999998</v>
      </c>
      <c r="C1924" s="92">
        <v>722.78539999999998</v>
      </c>
      <c r="D1924" s="92">
        <v>112.6426</v>
      </c>
      <c r="E1924" s="92"/>
      <c r="F1924" s="92">
        <v>2.6583329999999998</v>
      </c>
      <c r="G1924" s="92">
        <v>722.65200000000004</v>
      </c>
      <c r="H1924" s="92">
        <v>112.43689999999999</v>
      </c>
      <c r="I1924" s="92"/>
      <c r="J1924" s="93">
        <f t="shared" si="36"/>
        <v>0.13339999999993779</v>
      </c>
    </row>
    <row r="1925" spans="2:10" x14ac:dyDescent="0.2">
      <c r="B1925" s="92">
        <v>2.6597219999999999</v>
      </c>
      <c r="C1925" s="92">
        <v>722.5702</v>
      </c>
      <c r="D1925" s="92">
        <v>112.49590000000001</v>
      </c>
      <c r="E1925" s="92"/>
      <c r="F1925" s="92">
        <v>2.6597219999999999</v>
      </c>
      <c r="G1925" s="92">
        <v>722.45219999999995</v>
      </c>
      <c r="H1925" s="92">
        <v>112.2893</v>
      </c>
      <c r="I1925" s="92"/>
      <c r="J1925" s="93">
        <f t="shared" si="36"/>
        <v>0.11800000000005184</v>
      </c>
    </row>
    <row r="1926" spans="2:10" x14ac:dyDescent="0.2">
      <c r="B1926" s="92">
        <v>2.661111</v>
      </c>
      <c r="C1926" s="92">
        <v>722.37950000000001</v>
      </c>
      <c r="D1926" s="92">
        <v>112.346</v>
      </c>
      <c r="E1926" s="92"/>
      <c r="F1926" s="92">
        <v>2.661111</v>
      </c>
      <c r="G1926" s="92">
        <v>722.29750000000001</v>
      </c>
      <c r="H1926" s="92">
        <v>112.1318</v>
      </c>
      <c r="I1926" s="92"/>
      <c r="J1926" s="93">
        <f t="shared" si="36"/>
        <v>8.1999999999993634E-2</v>
      </c>
    </row>
    <row r="1927" spans="2:10" x14ac:dyDescent="0.2">
      <c r="B1927" s="92">
        <v>2.6625000000000001</v>
      </c>
      <c r="C1927" s="92">
        <v>722.2047</v>
      </c>
      <c r="D1927" s="92">
        <v>112.2026</v>
      </c>
      <c r="E1927" s="92"/>
      <c r="F1927" s="92">
        <v>2.6625000000000001</v>
      </c>
      <c r="G1927" s="92">
        <v>722.11410000000001</v>
      </c>
      <c r="H1927" s="92">
        <v>111.9743</v>
      </c>
      <c r="I1927" s="92"/>
      <c r="J1927" s="93">
        <f t="shared" si="36"/>
        <v>9.0599999999994907E-2</v>
      </c>
    </row>
    <row r="1928" spans="2:10" x14ac:dyDescent="0.2">
      <c r="B1928" s="92">
        <v>2.6638890000000002</v>
      </c>
      <c r="C1928" s="92">
        <v>722.01120000000003</v>
      </c>
      <c r="D1928" s="92">
        <v>112.056</v>
      </c>
      <c r="E1928" s="92"/>
      <c r="F1928" s="92">
        <v>2.6638890000000002</v>
      </c>
      <c r="G1928" s="92">
        <v>721.91409999999996</v>
      </c>
      <c r="H1928" s="92">
        <v>111.8201</v>
      </c>
      <c r="I1928" s="92"/>
      <c r="J1928" s="93">
        <f t="shared" si="36"/>
        <v>9.7100000000068576E-2</v>
      </c>
    </row>
    <row r="1929" spans="2:10" x14ac:dyDescent="0.2">
      <c r="B1929" s="92">
        <v>2.6652779999999998</v>
      </c>
      <c r="C1929" s="92">
        <v>721.84640000000002</v>
      </c>
      <c r="D1929" s="92">
        <v>111.9044</v>
      </c>
      <c r="E1929" s="92"/>
      <c r="F1929" s="92">
        <v>2.6652779999999998</v>
      </c>
      <c r="G1929" s="92">
        <v>721.72879999999998</v>
      </c>
      <c r="H1929" s="92">
        <v>111.6726</v>
      </c>
      <c r="I1929" s="92"/>
      <c r="J1929" s="93">
        <f t="shared" si="36"/>
        <v>0.11760000000003856</v>
      </c>
    </row>
    <row r="1930" spans="2:10" x14ac:dyDescent="0.2">
      <c r="B1930" s="92">
        <v>2.6666669999999999</v>
      </c>
      <c r="C1930" s="92">
        <v>721.68280000000004</v>
      </c>
      <c r="D1930" s="92">
        <v>111.75449999999999</v>
      </c>
      <c r="E1930" s="92"/>
      <c r="F1930" s="92">
        <v>2.6666669999999999</v>
      </c>
      <c r="G1930" s="92">
        <v>721.49059999999997</v>
      </c>
      <c r="H1930" s="92">
        <v>111.5184</v>
      </c>
      <c r="I1930" s="92"/>
      <c r="J1930" s="93">
        <f t="shared" si="36"/>
        <v>0.19220000000007076</v>
      </c>
    </row>
    <row r="1931" spans="2:10" x14ac:dyDescent="0.2">
      <c r="B1931" s="92">
        <v>2.668056</v>
      </c>
      <c r="C1931" s="92">
        <v>721.47370000000001</v>
      </c>
      <c r="D1931" s="92">
        <v>111.6014</v>
      </c>
      <c r="E1931" s="92"/>
      <c r="F1931" s="92">
        <v>2.668056</v>
      </c>
      <c r="G1931" s="92">
        <v>721.32849999999996</v>
      </c>
      <c r="H1931" s="92">
        <v>111.3759</v>
      </c>
      <c r="I1931" s="92"/>
      <c r="J1931" s="93">
        <f t="shared" ref="J1931:J1994" si="37">+ABS(G1931-C1931)</f>
        <v>0.14520000000004529</v>
      </c>
    </row>
    <row r="1932" spans="2:10" x14ac:dyDescent="0.2">
      <c r="B1932" s="92">
        <v>2.6694439999999999</v>
      </c>
      <c r="C1932" s="92">
        <v>721.22649999999999</v>
      </c>
      <c r="D1932" s="92">
        <v>111.45480000000001</v>
      </c>
      <c r="E1932" s="92"/>
      <c r="F1932" s="92">
        <v>2.6694439999999999</v>
      </c>
      <c r="G1932" s="92">
        <v>721.12810000000002</v>
      </c>
      <c r="H1932" s="92">
        <v>111.2084</v>
      </c>
      <c r="I1932" s="92"/>
      <c r="J1932" s="93">
        <f t="shared" si="37"/>
        <v>9.8399999999969623E-2</v>
      </c>
    </row>
    <row r="1933" spans="2:10" x14ac:dyDescent="0.2">
      <c r="B1933" s="92">
        <v>2.670833</v>
      </c>
      <c r="C1933" s="92">
        <v>721.05550000000005</v>
      </c>
      <c r="D1933" s="92">
        <v>111.295</v>
      </c>
      <c r="E1933" s="92"/>
      <c r="F1933" s="92">
        <v>2.670833</v>
      </c>
      <c r="G1933" s="92">
        <v>720.94529999999997</v>
      </c>
      <c r="H1933" s="92">
        <v>111.05759999999999</v>
      </c>
      <c r="I1933" s="92"/>
      <c r="J1933" s="93">
        <f t="shared" si="37"/>
        <v>0.11020000000007713</v>
      </c>
    </row>
    <row r="1934" spans="2:10" x14ac:dyDescent="0.2">
      <c r="B1934" s="92">
        <v>2.6722220000000001</v>
      </c>
      <c r="C1934" s="92">
        <v>720.86590000000001</v>
      </c>
      <c r="D1934" s="92">
        <v>111.13200000000001</v>
      </c>
      <c r="E1934" s="92"/>
      <c r="F1934" s="92">
        <v>2.6722220000000001</v>
      </c>
      <c r="G1934" s="92">
        <v>720.72490000000005</v>
      </c>
      <c r="H1934" s="92">
        <v>110.8951</v>
      </c>
      <c r="I1934" s="92"/>
      <c r="J1934" s="93">
        <f t="shared" si="37"/>
        <v>0.14099999999996271</v>
      </c>
    </row>
    <row r="1935" spans="2:10" x14ac:dyDescent="0.2">
      <c r="B1935" s="92">
        <v>2.6736110000000002</v>
      </c>
      <c r="C1935" s="92">
        <v>720.63160000000005</v>
      </c>
      <c r="D1935" s="92">
        <v>110.9739</v>
      </c>
      <c r="E1935" s="92"/>
      <c r="F1935" s="92">
        <v>2.6736110000000002</v>
      </c>
      <c r="G1935" s="92">
        <v>720.52149999999995</v>
      </c>
      <c r="H1935" s="92">
        <v>110.736</v>
      </c>
      <c r="I1935" s="92"/>
      <c r="J1935" s="93">
        <f t="shared" si="37"/>
        <v>0.11010000000010223</v>
      </c>
    </row>
    <row r="1936" spans="2:10" x14ac:dyDescent="0.2">
      <c r="B1936" s="92">
        <v>2.6749999999999998</v>
      </c>
      <c r="C1936" s="92">
        <v>720.42499999999995</v>
      </c>
      <c r="D1936" s="92">
        <v>110.8027</v>
      </c>
      <c r="E1936" s="92"/>
      <c r="F1936" s="92">
        <v>2.6749999999999998</v>
      </c>
      <c r="G1936" s="92">
        <v>720.30100000000004</v>
      </c>
      <c r="H1936" s="92">
        <v>110.5669</v>
      </c>
      <c r="I1936" s="92"/>
      <c r="J1936" s="93">
        <f t="shared" si="37"/>
        <v>0.12399999999990996</v>
      </c>
    </row>
    <row r="1937" spans="2:10" x14ac:dyDescent="0.2">
      <c r="B1937" s="92">
        <v>2.6763889999999999</v>
      </c>
      <c r="C1937" s="92">
        <v>720.25289999999995</v>
      </c>
      <c r="D1937" s="92">
        <v>110.6413</v>
      </c>
      <c r="E1937" s="92"/>
      <c r="F1937" s="92">
        <v>2.6763889999999999</v>
      </c>
      <c r="G1937" s="92">
        <v>720.0856</v>
      </c>
      <c r="H1937" s="92">
        <v>110.4045</v>
      </c>
      <c r="I1937" s="92"/>
      <c r="J1937" s="93">
        <f t="shared" si="37"/>
        <v>0.16729999999995471</v>
      </c>
    </row>
    <row r="1938" spans="2:10" x14ac:dyDescent="0.2">
      <c r="B1938" s="92">
        <v>2.677778</v>
      </c>
      <c r="C1938" s="92">
        <v>720.07749999999999</v>
      </c>
      <c r="D1938" s="92">
        <v>110.4684</v>
      </c>
      <c r="E1938" s="92"/>
      <c r="F1938" s="92">
        <v>2.677778</v>
      </c>
      <c r="G1938" s="92">
        <v>719.90219999999999</v>
      </c>
      <c r="H1938" s="92">
        <v>110.2338</v>
      </c>
      <c r="I1938" s="92"/>
      <c r="J1938" s="93">
        <f t="shared" si="37"/>
        <v>0.17529999999999291</v>
      </c>
    </row>
    <row r="1939" spans="2:10" x14ac:dyDescent="0.2">
      <c r="B1939" s="92">
        <v>2.6791670000000001</v>
      </c>
      <c r="C1939" s="92">
        <v>719.85329999999999</v>
      </c>
      <c r="D1939" s="92">
        <v>110.3022</v>
      </c>
      <c r="E1939" s="92"/>
      <c r="F1939" s="92">
        <v>2.6791670000000001</v>
      </c>
      <c r="G1939" s="92">
        <v>719.68380000000002</v>
      </c>
      <c r="H1939" s="92">
        <v>110.0548</v>
      </c>
      <c r="I1939" s="92"/>
      <c r="J1939" s="93">
        <f t="shared" si="37"/>
        <v>0.1694999999999709</v>
      </c>
    </row>
    <row r="1940" spans="2:10" x14ac:dyDescent="0.2">
      <c r="B1940" s="92">
        <v>2.6805560000000002</v>
      </c>
      <c r="C1940" s="92">
        <v>719.64369999999997</v>
      </c>
      <c r="D1940" s="92">
        <v>110.1409</v>
      </c>
      <c r="E1940" s="92"/>
      <c r="F1940" s="92">
        <v>2.6805560000000002</v>
      </c>
      <c r="G1940" s="92">
        <v>719.53420000000006</v>
      </c>
      <c r="H1940" s="92">
        <v>109.8907</v>
      </c>
      <c r="I1940" s="92"/>
      <c r="J1940" s="93">
        <f t="shared" si="37"/>
        <v>0.10949999999991178</v>
      </c>
    </row>
    <row r="1941" spans="2:10" x14ac:dyDescent="0.2">
      <c r="B1941" s="92">
        <v>2.6819440000000001</v>
      </c>
      <c r="C1941" s="92">
        <v>719.41869999999994</v>
      </c>
      <c r="D1941" s="92">
        <v>109.96639999999999</v>
      </c>
      <c r="E1941" s="92"/>
      <c r="F1941" s="92">
        <v>2.6819440000000001</v>
      </c>
      <c r="G1941" s="92">
        <v>719.3143</v>
      </c>
      <c r="H1941" s="92">
        <v>109.7283</v>
      </c>
      <c r="I1941" s="92"/>
      <c r="J1941" s="93">
        <f t="shared" si="37"/>
        <v>0.10439999999994143</v>
      </c>
    </row>
    <row r="1942" spans="2:10" x14ac:dyDescent="0.2">
      <c r="B1942" s="92">
        <v>2.6833330000000002</v>
      </c>
      <c r="C1942" s="92">
        <v>719.25760000000002</v>
      </c>
      <c r="D1942" s="92">
        <v>109.8051</v>
      </c>
      <c r="E1942" s="92"/>
      <c r="F1942" s="92">
        <v>2.6833330000000002</v>
      </c>
      <c r="G1942" s="92">
        <v>719.12530000000004</v>
      </c>
      <c r="H1942" s="92">
        <v>109.5626</v>
      </c>
      <c r="I1942" s="92"/>
      <c r="J1942" s="93">
        <f t="shared" si="37"/>
        <v>0.13229999999998654</v>
      </c>
    </row>
    <row r="1943" spans="2:10" x14ac:dyDescent="0.2">
      <c r="B1943" s="92">
        <v>2.6847219999999998</v>
      </c>
      <c r="C1943" s="92">
        <v>719.02949999999998</v>
      </c>
      <c r="D1943" s="92">
        <v>109.6405</v>
      </c>
      <c r="E1943" s="92"/>
      <c r="F1943" s="92">
        <v>2.6847219999999998</v>
      </c>
      <c r="G1943" s="92">
        <v>718.90549999999996</v>
      </c>
      <c r="H1943" s="92">
        <v>109.4002</v>
      </c>
      <c r="I1943" s="92"/>
      <c r="J1943" s="93">
        <f t="shared" si="37"/>
        <v>0.12400000000002365</v>
      </c>
    </row>
    <row r="1944" spans="2:10" x14ac:dyDescent="0.2">
      <c r="B1944" s="92">
        <v>2.6861109999999999</v>
      </c>
      <c r="C1944" s="92">
        <v>718.77520000000004</v>
      </c>
      <c r="D1944" s="92">
        <v>109.49079999999999</v>
      </c>
      <c r="E1944" s="92"/>
      <c r="F1944" s="92">
        <v>2.6861109999999999</v>
      </c>
      <c r="G1944" s="92">
        <v>718.67750000000001</v>
      </c>
      <c r="H1944" s="92">
        <v>109.23950000000001</v>
      </c>
      <c r="I1944" s="92"/>
      <c r="J1944" s="93">
        <f t="shared" si="37"/>
        <v>9.770000000003165E-2</v>
      </c>
    </row>
    <row r="1945" spans="2:10" x14ac:dyDescent="0.2">
      <c r="B1945" s="92">
        <v>2.6875</v>
      </c>
      <c r="C1945" s="92">
        <v>718.52279999999996</v>
      </c>
      <c r="D1945" s="92">
        <v>109.3295</v>
      </c>
      <c r="E1945" s="92"/>
      <c r="F1945" s="92">
        <v>2.6875</v>
      </c>
      <c r="G1945" s="92">
        <v>718.44979999999998</v>
      </c>
      <c r="H1945" s="92">
        <v>109.08540000000001</v>
      </c>
      <c r="I1945" s="92"/>
      <c r="J1945" s="93">
        <f t="shared" si="37"/>
        <v>7.2999999999979082E-2</v>
      </c>
    </row>
    <row r="1946" spans="2:10" x14ac:dyDescent="0.2">
      <c r="B1946" s="92">
        <v>2.6888890000000001</v>
      </c>
      <c r="C1946" s="92">
        <v>718.34550000000002</v>
      </c>
      <c r="D1946" s="92">
        <v>109.1748</v>
      </c>
      <c r="E1946" s="92"/>
      <c r="F1946" s="92">
        <v>2.6888890000000001</v>
      </c>
      <c r="G1946" s="92">
        <v>718.24199999999996</v>
      </c>
      <c r="H1946" s="92">
        <v>108.91970000000001</v>
      </c>
      <c r="I1946" s="92"/>
      <c r="J1946" s="93">
        <f t="shared" si="37"/>
        <v>0.10350000000005366</v>
      </c>
    </row>
    <row r="1947" spans="2:10" x14ac:dyDescent="0.2">
      <c r="B1947" s="92">
        <v>2.6902780000000002</v>
      </c>
      <c r="C1947" s="92">
        <v>718.08349999999996</v>
      </c>
      <c r="D1947" s="92">
        <v>109.0218</v>
      </c>
      <c r="E1947" s="92"/>
      <c r="F1947" s="92">
        <v>2.6902780000000002</v>
      </c>
      <c r="G1947" s="92">
        <v>717.97249999999997</v>
      </c>
      <c r="H1947" s="92">
        <v>108.7606</v>
      </c>
      <c r="I1947" s="92"/>
      <c r="J1947" s="93">
        <f t="shared" si="37"/>
        <v>0.11099999999999</v>
      </c>
    </row>
    <row r="1948" spans="2:10" x14ac:dyDescent="0.2">
      <c r="B1948" s="92">
        <v>2.6916669999999998</v>
      </c>
      <c r="C1948" s="92">
        <v>717.94460000000004</v>
      </c>
      <c r="D1948" s="92">
        <v>108.854</v>
      </c>
      <c r="E1948" s="92"/>
      <c r="F1948" s="92">
        <v>2.6916669999999998</v>
      </c>
      <c r="G1948" s="92">
        <v>717.78110000000004</v>
      </c>
      <c r="H1948" s="92">
        <v>108.58499999999999</v>
      </c>
      <c r="I1948" s="92"/>
      <c r="J1948" s="93">
        <f t="shared" si="37"/>
        <v>0.16349999999999909</v>
      </c>
    </row>
    <row r="1949" spans="2:10" x14ac:dyDescent="0.2">
      <c r="B1949" s="92">
        <v>2.6930559999999999</v>
      </c>
      <c r="C1949" s="92">
        <v>717.7251</v>
      </c>
      <c r="D1949" s="92">
        <v>108.6862</v>
      </c>
      <c r="E1949" s="92"/>
      <c r="F1949" s="92">
        <v>2.6930559999999999</v>
      </c>
      <c r="G1949" s="92">
        <v>717.57569999999998</v>
      </c>
      <c r="H1949" s="92">
        <v>108.416</v>
      </c>
      <c r="I1949" s="92"/>
      <c r="J1949" s="93">
        <f t="shared" si="37"/>
        <v>0.14940000000001419</v>
      </c>
    </row>
    <row r="1950" spans="2:10" x14ac:dyDescent="0.2">
      <c r="B1950" s="92">
        <v>2.6944439999999998</v>
      </c>
      <c r="C1950" s="92">
        <v>717.45979999999997</v>
      </c>
      <c r="D1950" s="92">
        <v>108.5217</v>
      </c>
      <c r="E1950" s="92"/>
      <c r="F1950" s="92">
        <v>2.6944439999999998</v>
      </c>
      <c r="G1950" s="92">
        <v>717.3999</v>
      </c>
      <c r="H1950" s="92">
        <v>108.242</v>
      </c>
      <c r="I1950" s="92"/>
      <c r="J1950" s="93">
        <f t="shared" si="37"/>
        <v>5.9899999999970532E-2</v>
      </c>
    </row>
    <row r="1951" spans="2:10" x14ac:dyDescent="0.2">
      <c r="B1951" s="92">
        <v>2.6958329999999999</v>
      </c>
      <c r="C1951" s="92">
        <v>717.22929999999997</v>
      </c>
      <c r="D1951" s="92">
        <v>108.3605</v>
      </c>
      <c r="E1951" s="92"/>
      <c r="F1951" s="92">
        <v>2.6958329999999999</v>
      </c>
      <c r="G1951" s="92">
        <v>717.14919999999995</v>
      </c>
      <c r="H1951" s="92">
        <v>108.0697</v>
      </c>
      <c r="I1951" s="92"/>
      <c r="J1951" s="93">
        <f t="shared" si="37"/>
        <v>8.0100000000015825E-2</v>
      </c>
    </row>
    <row r="1952" spans="2:10" x14ac:dyDescent="0.2">
      <c r="B1952" s="92">
        <v>2.697222</v>
      </c>
      <c r="C1952" s="92">
        <v>717.02080000000001</v>
      </c>
      <c r="D1952" s="92">
        <v>108.1927</v>
      </c>
      <c r="E1952" s="92"/>
      <c r="F1952" s="92">
        <v>2.697222</v>
      </c>
      <c r="G1952" s="92">
        <v>716.91409999999996</v>
      </c>
      <c r="H1952" s="92">
        <v>107.8991</v>
      </c>
      <c r="I1952" s="92"/>
      <c r="J1952" s="93">
        <f t="shared" si="37"/>
        <v>0.1067000000000462</v>
      </c>
    </row>
    <row r="1953" spans="2:10" x14ac:dyDescent="0.2">
      <c r="B1953" s="92">
        <v>2.6986110000000001</v>
      </c>
      <c r="C1953" s="92">
        <v>716.82839999999999</v>
      </c>
      <c r="D1953" s="92">
        <v>108.02500000000001</v>
      </c>
      <c r="E1953" s="92"/>
      <c r="F1953" s="92">
        <v>2.6986110000000001</v>
      </c>
      <c r="G1953" s="92">
        <v>716.69190000000003</v>
      </c>
      <c r="H1953" s="92">
        <v>107.7201</v>
      </c>
      <c r="I1953" s="92"/>
      <c r="J1953" s="93">
        <f t="shared" si="37"/>
        <v>0.13649999999995543</v>
      </c>
    </row>
    <row r="1954" spans="2:10" x14ac:dyDescent="0.2">
      <c r="B1954" s="92">
        <v>2.7</v>
      </c>
      <c r="C1954" s="92">
        <v>716.58609999999999</v>
      </c>
      <c r="D1954" s="92">
        <v>107.8622</v>
      </c>
      <c r="E1954" s="92"/>
      <c r="F1954" s="92">
        <v>2.7</v>
      </c>
      <c r="G1954" s="92">
        <v>716.46040000000005</v>
      </c>
      <c r="H1954" s="92">
        <v>107.5479</v>
      </c>
      <c r="I1954" s="92"/>
      <c r="J1954" s="93">
        <f t="shared" si="37"/>
        <v>0.12569999999993797</v>
      </c>
    </row>
    <row r="1955" spans="2:10" x14ac:dyDescent="0.2">
      <c r="B1955" s="92">
        <v>2.7013889999999998</v>
      </c>
      <c r="C1955" s="92">
        <v>716.36199999999997</v>
      </c>
      <c r="D1955" s="92">
        <v>107.6879</v>
      </c>
      <c r="E1955" s="92"/>
      <c r="F1955" s="92">
        <v>2.7013889999999998</v>
      </c>
      <c r="G1955" s="92">
        <v>716.3075</v>
      </c>
      <c r="H1955" s="92">
        <v>107.3723</v>
      </c>
      <c r="I1955" s="92"/>
      <c r="J1955" s="93">
        <f t="shared" si="37"/>
        <v>5.4499999999961801E-2</v>
      </c>
    </row>
    <row r="1956" spans="2:10" x14ac:dyDescent="0.2">
      <c r="B1956" s="92">
        <v>2.7027779999999999</v>
      </c>
      <c r="C1956" s="92">
        <v>716.23329999999999</v>
      </c>
      <c r="D1956" s="92">
        <v>107.5119</v>
      </c>
      <c r="E1956" s="92"/>
      <c r="F1956" s="92">
        <v>2.7027779999999999</v>
      </c>
      <c r="G1956" s="92">
        <v>716.11659999999995</v>
      </c>
      <c r="H1956" s="92">
        <v>107.19670000000001</v>
      </c>
      <c r="I1956" s="92"/>
      <c r="J1956" s="93">
        <f t="shared" si="37"/>
        <v>0.11670000000003711</v>
      </c>
    </row>
    <row r="1957" spans="2:10" x14ac:dyDescent="0.2">
      <c r="B1957" s="92">
        <v>2.704167</v>
      </c>
      <c r="C1957" s="92">
        <v>715.98209999999995</v>
      </c>
      <c r="D1957" s="92">
        <v>107.3442</v>
      </c>
      <c r="E1957" s="92"/>
      <c r="F1957" s="92">
        <v>2.704167</v>
      </c>
      <c r="G1957" s="92">
        <v>715.89210000000003</v>
      </c>
      <c r="H1957" s="92">
        <v>107.0145</v>
      </c>
      <c r="I1957" s="92"/>
      <c r="J1957" s="93">
        <f t="shared" si="37"/>
        <v>8.9999999999918145E-2</v>
      </c>
    </row>
    <row r="1958" spans="2:10" x14ac:dyDescent="0.2">
      <c r="B1958" s="92">
        <v>2.7055560000000001</v>
      </c>
      <c r="C1958" s="92">
        <v>715.89430000000004</v>
      </c>
      <c r="D1958" s="92">
        <v>107.1798</v>
      </c>
      <c r="E1958" s="92"/>
      <c r="F1958" s="92">
        <v>2.7055560000000001</v>
      </c>
      <c r="G1958" s="92">
        <v>715.78970000000004</v>
      </c>
      <c r="H1958" s="92">
        <v>106.8488</v>
      </c>
      <c r="I1958" s="92"/>
      <c r="J1958" s="93">
        <f t="shared" si="37"/>
        <v>0.10460000000000491</v>
      </c>
    </row>
    <row r="1959" spans="2:10" x14ac:dyDescent="0.2">
      <c r="B1959" s="92">
        <v>2.706944</v>
      </c>
      <c r="C1959" s="92">
        <v>715.71010000000001</v>
      </c>
      <c r="D1959" s="92">
        <v>107.0154</v>
      </c>
      <c r="E1959" s="92"/>
      <c r="F1959" s="92">
        <v>2.706944</v>
      </c>
      <c r="G1959" s="92">
        <v>715.61379999999997</v>
      </c>
      <c r="H1959" s="92">
        <v>106.6865</v>
      </c>
      <c r="I1959" s="92"/>
      <c r="J1959" s="93">
        <f t="shared" si="37"/>
        <v>9.6300000000042019E-2</v>
      </c>
    </row>
    <row r="1960" spans="2:10" x14ac:dyDescent="0.2">
      <c r="B1960" s="92">
        <v>2.7083330000000001</v>
      </c>
      <c r="C1960" s="92">
        <v>715.53949999999998</v>
      </c>
      <c r="D1960" s="92">
        <v>106.8477</v>
      </c>
      <c r="E1960" s="92"/>
      <c r="F1960" s="92">
        <v>2.7083330000000001</v>
      </c>
      <c r="G1960" s="92">
        <v>715.43589999999995</v>
      </c>
      <c r="H1960" s="92">
        <v>106.5341</v>
      </c>
      <c r="I1960" s="92"/>
      <c r="J1960" s="93">
        <f t="shared" si="37"/>
        <v>0.10360000000002856</v>
      </c>
    </row>
    <row r="1961" spans="2:10" x14ac:dyDescent="0.2">
      <c r="B1961" s="92">
        <v>2.7097220000000002</v>
      </c>
      <c r="C1961" s="92">
        <v>715.26480000000004</v>
      </c>
      <c r="D1961" s="92">
        <v>106.6982</v>
      </c>
      <c r="E1961" s="92"/>
      <c r="F1961" s="92">
        <v>2.7097220000000002</v>
      </c>
      <c r="G1961" s="92">
        <v>715.14329999999995</v>
      </c>
      <c r="H1961" s="92">
        <v>106.3685</v>
      </c>
      <c r="I1961" s="92"/>
      <c r="J1961" s="93">
        <f t="shared" si="37"/>
        <v>0.12150000000008276</v>
      </c>
    </row>
    <row r="1962" spans="2:10" x14ac:dyDescent="0.2">
      <c r="B1962" s="92">
        <v>2.7111109999999998</v>
      </c>
      <c r="C1962" s="92">
        <v>715.03740000000005</v>
      </c>
      <c r="D1962" s="92">
        <v>106.54040000000001</v>
      </c>
      <c r="E1962" s="92"/>
      <c r="F1962" s="92">
        <v>2.7111109999999998</v>
      </c>
      <c r="G1962" s="92">
        <v>714.87260000000003</v>
      </c>
      <c r="H1962" s="92">
        <v>106.2128</v>
      </c>
      <c r="I1962" s="92"/>
      <c r="J1962" s="93">
        <f t="shared" si="37"/>
        <v>0.16480000000001382</v>
      </c>
    </row>
    <row r="1963" spans="2:10" x14ac:dyDescent="0.2">
      <c r="B1963" s="92">
        <v>2.7124999999999999</v>
      </c>
      <c r="C1963" s="92">
        <v>714.77260000000001</v>
      </c>
      <c r="D1963" s="92">
        <v>106.3826</v>
      </c>
      <c r="E1963" s="92"/>
      <c r="F1963" s="92">
        <v>2.7124999999999999</v>
      </c>
      <c r="G1963" s="92">
        <v>714.67759999999998</v>
      </c>
      <c r="H1963" s="92">
        <v>106.04389999999999</v>
      </c>
      <c r="I1963" s="92"/>
      <c r="J1963" s="93">
        <f t="shared" si="37"/>
        <v>9.5000000000027285E-2</v>
      </c>
    </row>
    <row r="1964" spans="2:10" x14ac:dyDescent="0.2">
      <c r="B1964" s="92">
        <v>2.713889</v>
      </c>
      <c r="C1964" s="92">
        <v>714.55029999999999</v>
      </c>
      <c r="D1964" s="92">
        <v>106.2101</v>
      </c>
      <c r="E1964" s="92"/>
      <c r="F1964" s="92">
        <v>2.713889</v>
      </c>
      <c r="G1964" s="92">
        <v>714.35289999999998</v>
      </c>
      <c r="H1964" s="92">
        <v>105.8733</v>
      </c>
      <c r="I1964" s="92"/>
      <c r="J1964" s="93">
        <f t="shared" si="37"/>
        <v>0.19740000000001601</v>
      </c>
    </row>
    <row r="1965" spans="2:10" x14ac:dyDescent="0.2">
      <c r="B1965" s="92">
        <v>2.7152780000000001</v>
      </c>
      <c r="C1965" s="92">
        <v>714.31529999999998</v>
      </c>
      <c r="D1965" s="92">
        <v>106.04900000000001</v>
      </c>
      <c r="E1965" s="92"/>
      <c r="F1965" s="92">
        <v>2.7152780000000001</v>
      </c>
      <c r="G1965" s="92">
        <v>714.15359999999998</v>
      </c>
      <c r="H1965" s="92">
        <v>105.6861</v>
      </c>
      <c r="I1965" s="92"/>
      <c r="J1965" s="93">
        <f t="shared" si="37"/>
        <v>0.16169999999999618</v>
      </c>
    </row>
    <row r="1966" spans="2:10" x14ac:dyDescent="0.2">
      <c r="B1966" s="92">
        <v>2.7166670000000002</v>
      </c>
      <c r="C1966" s="92">
        <v>714.09749999999997</v>
      </c>
      <c r="D1966" s="92">
        <v>105.8683</v>
      </c>
      <c r="E1966" s="92"/>
      <c r="F1966" s="92">
        <v>2.7166670000000002</v>
      </c>
      <c r="G1966" s="92">
        <v>714.01210000000003</v>
      </c>
      <c r="H1966" s="92">
        <v>105.51220000000001</v>
      </c>
      <c r="I1966" s="92"/>
      <c r="J1966" s="93">
        <f t="shared" si="37"/>
        <v>8.5399999999935972E-2</v>
      </c>
    </row>
    <row r="1967" spans="2:10" x14ac:dyDescent="0.2">
      <c r="B1967" s="92">
        <v>2.7180559999999998</v>
      </c>
      <c r="C1967" s="92">
        <v>713.89139999999998</v>
      </c>
      <c r="D1967" s="92">
        <v>105.6957</v>
      </c>
      <c r="E1967" s="92"/>
      <c r="F1967" s="92">
        <v>2.7180559999999998</v>
      </c>
      <c r="G1967" s="92">
        <v>713.81610000000001</v>
      </c>
      <c r="H1967" s="92">
        <v>105.3168</v>
      </c>
      <c r="I1967" s="92"/>
      <c r="J1967" s="93">
        <f t="shared" si="37"/>
        <v>7.5299999999970169E-2</v>
      </c>
    </row>
    <row r="1968" spans="2:10" x14ac:dyDescent="0.2">
      <c r="B1968" s="92">
        <v>2.7194440000000002</v>
      </c>
      <c r="C1968" s="92">
        <v>713.70989999999995</v>
      </c>
      <c r="D1968" s="92">
        <v>105.5134</v>
      </c>
      <c r="E1968" s="92"/>
      <c r="F1968" s="92">
        <v>2.7194440000000002</v>
      </c>
      <c r="G1968" s="92">
        <v>713.64490000000001</v>
      </c>
      <c r="H1968" s="92">
        <v>105.1413</v>
      </c>
      <c r="I1968" s="92"/>
      <c r="J1968" s="93">
        <f t="shared" si="37"/>
        <v>6.4999999999940883E-2</v>
      </c>
    </row>
    <row r="1969" spans="2:10" x14ac:dyDescent="0.2">
      <c r="B1969" s="92">
        <v>2.7208329999999998</v>
      </c>
      <c r="C1969" s="92">
        <v>713.55290000000002</v>
      </c>
      <c r="D1969" s="92">
        <v>105.34910000000001</v>
      </c>
      <c r="E1969" s="92"/>
      <c r="F1969" s="92">
        <v>2.7208329999999998</v>
      </c>
      <c r="G1969" s="92">
        <v>713.43140000000005</v>
      </c>
      <c r="H1969" s="92">
        <v>104.979</v>
      </c>
      <c r="I1969" s="92"/>
      <c r="J1969" s="93">
        <f t="shared" si="37"/>
        <v>0.12149999999996908</v>
      </c>
    </row>
    <row r="1970" spans="2:10" x14ac:dyDescent="0.2">
      <c r="B1970" s="92">
        <v>2.7222219999999999</v>
      </c>
      <c r="C1970" s="92">
        <v>713.37670000000003</v>
      </c>
      <c r="D1970" s="92">
        <v>105.1947</v>
      </c>
      <c r="E1970" s="92"/>
      <c r="F1970" s="92">
        <v>2.7222219999999999</v>
      </c>
      <c r="G1970" s="92">
        <v>713.26649999999995</v>
      </c>
      <c r="H1970" s="92">
        <v>104.81180000000001</v>
      </c>
      <c r="I1970" s="92"/>
      <c r="J1970" s="93">
        <f t="shared" si="37"/>
        <v>0.11020000000007713</v>
      </c>
    </row>
    <row r="1971" spans="2:10" x14ac:dyDescent="0.2">
      <c r="B1971" s="92">
        <v>2.723611</v>
      </c>
      <c r="C1971" s="92">
        <v>713.20010000000002</v>
      </c>
      <c r="D1971" s="92">
        <v>105.02549999999999</v>
      </c>
      <c r="E1971" s="92"/>
      <c r="F1971" s="92">
        <v>2.723611</v>
      </c>
      <c r="G1971" s="92">
        <v>713.0652</v>
      </c>
      <c r="H1971" s="92">
        <v>104.6528</v>
      </c>
      <c r="I1971" s="92"/>
      <c r="J1971" s="93">
        <f t="shared" si="37"/>
        <v>0.13490000000001601</v>
      </c>
    </row>
    <row r="1972" spans="2:10" x14ac:dyDescent="0.2">
      <c r="B1972" s="92">
        <v>2.7250000000000001</v>
      </c>
      <c r="C1972" s="92">
        <v>712.98239999999998</v>
      </c>
      <c r="D1972" s="92">
        <v>104.8728</v>
      </c>
      <c r="E1972" s="92"/>
      <c r="F1972" s="92">
        <v>2.7250000000000001</v>
      </c>
      <c r="G1972" s="92">
        <v>712.91390000000001</v>
      </c>
      <c r="H1972" s="92">
        <v>104.4971</v>
      </c>
      <c r="I1972" s="92"/>
      <c r="J1972" s="93">
        <f t="shared" si="37"/>
        <v>6.8499999999971806E-2</v>
      </c>
    </row>
    <row r="1973" spans="2:10" x14ac:dyDescent="0.2">
      <c r="B1973" s="92">
        <v>2.7263890000000002</v>
      </c>
      <c r="C1973" s="92">
        <v>712.83019999999999</v>
      </c>
      <c r="D1973" s="92">
        <v>104.7217</v>
      </c>
      <c r="E1973" s="92"/>
      <c r="F1973" s="92">
        <v>2.7263890000000002</v>
      </c>
      <c r="G1973" s="92">
        <v>712.70280000000002</v>
      </c>
      <c r="H1973" s="92">
        <v>104.35639999999999</v>
      </c>
      <c r="I1973" s="92"/>
      <c r="J1973" s="93">
        <f t="shared" si="37"/>
        <v>0.12739999999996598</v>
      </c>
    </row>
    <row r="1974" spans="2:10" x14ac:dyDescent="0.2">
      <c r="B1974" s="92">
        <v>2.7277779999999998</v>
      </c>
      <c r="C1974" s="92">
        <v>712.66070000000002</v>
      </c>
      <c r="D1974" s="92">
        <v>104.5689</v>
      </c>
      <c r="E1974" s="92"/>
      <c r="F1974" s="92">
        <v>2.7277779999999998</v>
      </c>
      <c r="G1974" s="92">
        <v>712.5471</v>
      </c>
      <c r="H1974" s="92">
        <v>104.20740000000001</v>
      </c>
      <c r="I1974" s="92"/>
      <c r="J1974" s="93">
        <f t="shared" si="37"/>
        <v>0.11360000000001946</v>
      </c>
    </row>
    <row r="1975" spans="2:10" x14ac:dyDescent="0.2">
      <c r="B1975" s="92">
        <v>2.7291669999999999</v>
      </c>
      <c r="C1975" s="92">
        <v>712.47990000000004</v>
      </c>
      <c r="D1975" s="92">
        <v>104.4294</v>
      </c>
      <c r="E1975" s="92"/>
      <c r="F1975" s="92">
        <v>2.7291669999999999</v>
      </c>
      <c r="G1975" s="92">
        <v>712.33770000000004</v>
      </c>
      <c r="H1975" s="92">
        <v>104.0501</v>
      </c>
      <c r="I1975" s="92"/>
      <c r="J1975" s="93">
        <f t="shared" si="37"/>
        <v>0.14220000000000255</v>
      </c>
    </row>
    <row r="1976" spans="2:10" x14ac:dyDescent="0.2">
      <c r="B1976" s="92">
        <v>2.730556</v>
      </c>
      <c r="C1976" s="92">
        <v>712.31870000000004</v>
      </c>
      <c r="D1976" s="92">
        <v>104.2734</v>
      </c>
      <c r="E1976" s="92"/>
      <c r="F1976" s="92">
        <v>2.730556</v>
      </c>
      <c r="G1976" s="92">
        <v>712.17010000000005</v>
      </c>
      <c r="H1976" s="92">
        <v>103.8978</v>
      </c>
      <c r="I1976" s="92"/>
      <c r="J1976" s="93">
        <f t="shared" si="37"/>
        <v>0.14859999999998763</v>
      </c>
    </row>
    <row r="1977" spans="2:10" x14ac:dyDescent="0.2">
      <c r="B1977" s="92">
        <v>2.7319439999999999</v>
      </c>
      <c r="C1977" s="92">
        <v>712.09969999999998</v>
      </c>
      <c r="D1977" s="92">
        <v>104.12560000000001</v>
      </c>
      <c r="E1977" s="92"/>
      <c r="F1977" s="92">
        <v>2.7319439999999999</v>
      </c>
      <c r="G1977" s="92">
        <v>711.96780000000001</v>
      </c>
      <c r="H1977" s="92">
        <v>103.7372</v>
      </c>
      <c r="I1977" s="92"/>
      <c r="J1977" s="93">
        <f t="shared" si="37"/>
        <v>0.13189999999997326</v>
      </c>
    </row>
    <row r="1978" spans="2:10" x14ac:dyDescent="0.2">
      <c r="B1978" s="92">
        <v>2.733333</v>
      </c>
      <c r="C1978" s="92">
        <v>711.89750000000004</v>
      </c>
      <c r="D1978" s="92">
        <v>103.96469999999999</v>
      </c>
      <c r="E1978" s="92"/>
      <c r="F1978" s="92">
        <v>2.733333</v>
      </c>
      <c r="G1978" s="92">
        <v>711.78110000000004</v>
      </c>
      <c r="H1978" s="92">
        <v>103.5782</v>
      </c>
      <c r="I1978" s="92"/>
      <c r="J1978" s="93">
        <f t="shared" si="37"/>
        <v>0.11639999999999873</v>
      </c>
    </row>
    <row r="1979" spans="2:10" x14ac:dyDescent="0.2">
      <c r="B1979" s="92">
        <v>2.7347220000000001</v>
      </c>
      <c r="C1979" s="92">
        <v>711.71879999999999</v>
      </c>
      <c r="D1979" s="92">
        <v>103.8137</v>
      </c>
      <c r="E1979" s="92"/>
      <c r="F1979" s="92">
        <v>2.7347220000000001</v>
      </c>
      <c r="G1979" s="92">
        <v>711.64430000000004</v>
      </c>
      <c r="H1979" s="92">
        <v>103.4226</v>
      </c>
      <c r="I1979" s="92"/>
      <c r="J1979" s="93">
        <f t="shared" si="37"/>
        <v>7.4499999999943611E-2</v>
      </c>
    </row>
    <row r="1980" spans="2:10" x14ac:dyDescent="0.2">
      <c r="B1980" s="92">
        <v>2.7361110000000002</v>
      </c>
      <c r="C1980" s="92">
        <v>711.59180000000003</v>
      </c>
      <c r="D1980" s="92">
        <v>103.64619999999999</v>
      </c>
      <c r="E1980" s="92"/>
      <c r="F1980" s="92">
        <v>2.7361110000000002</v>
      </c>
      <c r="G1980" s="92">
        <v>711.3913</v>
      </c>
      <c r="H1980" s="92">
        <v>103.2637</v>
      </c>
      <c r="I1980" s="92"/>
      <c r="J1980" s="93">
        <f t="shared" si="37"/>
        <v>0.20050000000003365</v>
      </c>
    </row>
    <row r="1981" spans="2:10" x14ac:dyDescent="0.2">
      <c r="B1981" s="92">
        <v>2.7374999999999998</v>
      </c>
      <c r="C1981" s="92">
        <v>711.39210000000003</v>
      </c>
      <c r="D1981" s="92">
        <v>103.48860000000001</v>
      </c>
      <c r="E1981" s="92"/>
      <c r="F1981" s="92">
        <v>2.7374999999999998</v>
      </c>
      <c r="G1981" s="92">
        <v>711.27430000000004</v>
      </c>
      <c r="H1981" s="92">
        <v>103.09650000000001</v>
      </c>
      <c r="I1981" s="92"/>
      <c r="J1981" s="93">
        <f t="shared" si="37"/>
        <v>0.11779999999998836</v>
      </c>
    </row>
    <row r="1982" spans="2:10" x14ac:dyDescent="0.2">
      <c r="B1982" s="92">
        <v>2.7388889999999999</v>
      </c>
      <c r="C1982" s="92">
        <v>711.20609999999999</v>
      </c>
      <c r="D1982" s="92">
        <v>103.3278</v>
      </c>
      <c r="E1982" s="92"/>
      <c r="F1982" s="92">
        <v>2.7388889999999999</v>
      </c>
      <c r="G1982" s="92">
        <v>711.07719999999995</v>
      </c>
      <c r="H1982" s="92">
        <v>102.9425</v>
      </c>
      <c r="I1982" s="92"/>
      <c r="J1982" s="93">
        <f t="shared" si="37"/>
        <v>0.1289000000000442</v>
      </c>
    </row>
    <row r="1983" spans="2:10" x14ac:dyDescent="0.2">
      <c r="B1983" s="92">
        <v>2.740278</v>
      </c>
      <c r="C1983" s="92">
        <v>711.01760000000002</v>
      </c>
      <c r="D1983" s="92">
        <v>103.16370000000001</v>
      </c>
      <c r="E1983" s="92"/>
      <c r="F1983" s="92">
        <v>2.740278</v>
      </c>
      <c r="G1983" s="92">
        <v>710.89769999999999</v>
      </c>
      <c r="H1983" s="92">
        <v>102.7803</v>
      </c>
      <c r="I1983" s="92"/>
      <c r="J1983" s="93">
        <f t="shared" si="37"/>
        <v>0.11990000000002965</v>
      </c>
    </row>
    <row r="1984" spans="2:10" x14ac:dyDescent="0.2">
      <c r="B1984" s="92">
        <v>2.7416670000000001</v>
      </c>
      <c r="C1984" s="92">
        <v>710.83</v>
      </c>
      <c r="D1984" s="92">
        <v>103.0078</v>
      </c>
      <c r="E1984" s="92"/>
      <c r="F1984" s="92">
        <v>2.7416670000000001</v>
      </c>
      <c r="G1984" s="92">
        <v>710.72889999999995</v>
      </c>
      <c r="H1984" s="92">
        <v>102.61969999999999</v>
      </c>
      <c r="I1984" s="92"/>
      <c r="J1984" s="93">
        <f t="shared" si="37"/>
        <v>0.10110000000008768</v>
      </c>
    </row>
    <row r="1985" spans="2:10" x14ac:dyDescent="0.2">
      <c r="B1985" s="92">
        <v>2.7430560000000002</v>
      </c>
      <c r="C1985" s="92">
        <v>710.69839999999999</v>
      </c>
      <c r="D1985" s="92">
        <v>102.85509999999999</v>
      </c>
      <c r="E1985" s="92"/>
      <c r="F1985" s="92">
        <v>2.7430560000000002</v>
      </c>
      <c r="G1985" s="92">
        <v>710.58889999999997</v>
      </c>
      <c r="H1985" s="92">
        <v>102.4657</v>
      </c>
      <c r="I1985" s="92"/>
      <c r="J1985" s="93">
        <f t="shared" si="37"/>
        <v>0.10950000000002547</v>
      </c>
    </row>
    <row r="1986" spans="2:10" x14ac:dyDescent="0.2">
      <c r="B1986" s="92">
        <v>2.7444440000000001</v>
      </c>
      <c r="C1986" s="92">
        <v>710.5231</v>
      </c>
      <c r="D1986" s="92">
        <v>102.6943</v>
      </c>
      <c r="E1986" s="92"/>
      <c r="F1986" s="92">
        <v>2.7444440000000001</v>
      </c>
      <c r="G1986" s="92">
        <v>710.46550000000002</v>
      </c>
      <c r="H1986" s="92">
        <v>102.3151</v>
      </c>
      <c r="I1986" s="92"/>
      <c r="J1986" s="93">
        <f t="shared" si="37"/>
        <v>5.7599999999979445E-2</v>
      </c>
    </row>
    <row r="1987" spans="2:10" x14ac:dyDescent="0.2">
      <c r="B1987" s="92">
        <v>2.7458330000000002</v>
      </c>
      <c r="C1987" s="92">
        <v>710.38710000000003</v>
      </c>
      <c r="D1987" s="92">
        <v>102.54989999999999</v>
      </c>
      <c r="E1987" s="92"/>
      <c r="F1987" s="92">
        <v>2.7458330000000002</v>
      </c>
      <c r="G1987" s="92">
        <v>710.22640000000001</v>
      </c>
      <c r="H1987" s="92">
        <v>102.1678</v>
      </c>
      <c r="I1987" s="92"/>
      <c r="J1987" s="93">
        <f t="shared" si="37"/>
        <v>0.16070000000001983</v>
      </c>
    </row>
    <row r="1988" spans="2:10" x14ac:dyDescent="0.2">
      <c r="B1988" s="92">
        <v>2.7472219999999998</v>
      </c>
      <c r="C1988" s="92">
        <v>710.17550000000006</v>
      </c>
      <c r="D1988" s="92">
        <v>102.3973</v>
      </c>
      <c r="E1988" s="92"/>
      <c r="F1988" s="92">
        <v>2.7472219999999998</v>
      </c>
      <c r="G1988" s="92">
        <v>710.07100000000003</v>
      </c>
      <c r="H1988" s="92">
        <v>102.01220000000001</v>
      </c>
      <c r="I1988" s="92"/>
      <c r="J1988" s="93">
        <f t="shared" si="37"/>
        <v>0.10450000000003001</v>
      </c>
    </row>
    <row r="1989" spans="2:10" x14ac:dyDescent="0.2">
      <c r="B1989" s="92">
        <v>2.7486109999999999</v>
      </c>
      <c r="C1989" s="92">
        <v>710.04639999999995</v>
      </c>
      <c r="D1989" s="92">
        <v>102.24809999999999</v>
      </c>
      <c r="E1989" s="92"/>
      <c r="F1989" s="92">
        <v>2.7486109999999999</v>
      </c>
      <c r="G1989" s="92">
        <v>709.89790000000005</v>
      </c>
      <c r="H1989" s="92">
        <v>101.8582</v>
      </c>
      <c r="I1989" s="92"/>
      <c r="J1989" s="93">
        <f t="shared" si="37"/>
        <v>0.14849999999989905</v>
      </c>
    </row>
    <row r="1990" spans="2:10" x14ac:dyDescent="0.2">
      <c r="B1990" s="92">
        <v>2.75</v>
      </c>
      <c r="C1990" s="92">
        <v>709.83079999999995</v>
      </c>
      <c r="D1990" s="92">
        <v>102.0971</v>
      </c>
      <c r="E1990" s="92"/>
      <c r="F1990" s="92">
        <v>2.75</v>
      </c>
      <c r="G1990" s="92">
        <v>709.74559999999997</v>
      </c>
      <c r="H1990" s="92">
        <v>101.7192</v>
      </c>
      <c r="I1990" s="92"/>
      <c r="J1990" s="93">
        <f t="shared" si="37"/>
        <v>8.5199999999986176E-2</v>
      </c>
    </row>
    <row r="1991" spans="2:10" x14ac:dyDescent="0.2">
      <c r="B1991" s="92">
        <v>2.7513890000000001</v>
      </c>
      <c r="C1991" s="92">
        <v>709.63900000000001</v>
      </c>
      <c r="D1991" s="92">
        <v>101.9495</v>
      </c>
      <c r="E1991" s="92"/>
      <c r="F1991" s="92">
        <v>2.7513890000000001</v>
      </c>
      <c r="G1991" s="92">
        <v>709.60799999999995</v>
      </c>
      <c r="H1991" s="92">
        <v>101.56189999999999</v>
      </c>
      <c r="I1991" s="92"/>
      <c r="J1991" s="93">
        <f t="shared" si="37"/>
        <v>3.1000000000062755E-2</v>
      </c>
    </row>
    <row r="1992" spans="2:10" x14ac:dyDescent="0.2">
      <c r="B1992" s="92">
        <v>2.7527780000000002</v>
      </c>
      <c r="C1992" s="92">
        <v>709.55960000000005</v>
      </c>
      <c r="D1992" s="92">
        <v>101.7953</v>
      </c>
      <c r="E1992" s="92"/>
      <c r="F1992" s="92">
        <v>2.7527780000000002</v>
      </c>
      <c r="G1992" s="92">
        <v>709.40290000000005</v>
      </c>
      <c r="H1992" s="92">
        <v>101.40300000000001</v>
      </c>
      <c r="I1992" s="92"/>
      <c r="J1992" s="93">
        <f t="shared" si="37"/>
        <v>0.15670000000000073</v>
      </c>
    </row>
    <row r="1993" spans="2:10" x14ac:dyDescent="0.2">
      <c r="B1993" s="92">
        <v>2.7541669999999998</v>
      </c>
      <c r="C1993" s="92">
        <v>709.32029999999997</v>
      </c>
      <c r="D1993" s="92">
        <v>101.64109999999999</v>
      </c>
      <c r="E1993" s="92"/>
      <c r="F1993" s="92">
        <v>2.7541669999999998</v>
      </c>
      <c r="G1993" s="92">
        <v>709.26559999999995</v>
      </c>
      <c r="H1993" s="92">
        <v>101.25239999999999</v>
      </c>
      <c r="I1993" s="92"/>
      <c r="J1993" s="93">
        <f t="shared" si="37"/>
        <v>5.4700000000025284E-2</v>
      </c>
    </row>
    <row r="1994" spans="2:10" x14ac:dyDescent="0.2">
      <c r="B1994" s="92">
        <v>2.7555559999999999</v>
      </c>
      <c r="C1994" s="92">
        <v>709.18679999999995</v>
      </c>
      <c r="D1994" s="92">
        <v>101.47880000000001</v>
      </c>
      <c r="E1994" s="92"/>
      <c r="F1994" s="92">
        <v>2.7555559999999999</v>
      </c>
      <c r="G1994" s="92">
        <v>709.08169999999996</v>
      </c>
      <c r="H1994" s="92">
        <v>101.0902</v>
      </c>
      <c r="I1994" s="92"/>
      <c r="J1994" s="93">
        <f t="shared" si="37"/>
        <v>0.10509999999999309</v>
      </c>
    </row>
    <row r="1995" spans="2:10" x14ac:dyDescent="0.2">
      <c r="B1995" s="92">
        <v>2.7569439999999998</v>
      </c>
      <c r="C1995" s="92">
        <v>708.99919999999997</v>
      </c>
      <c r="D1995" s="92">
        <v>101.3295</v>
      </c>
      <c r="E1995" s="92"/>
      <c r="F1995" s="92">
        <v>2.7569439999999998</v>
      </c>
      <c r="G1995" s="92">
        <v>708.87260000000003</v>
      </c>
      <c r="H1995" s="92">
        <v>100.94459999999999</v>
      </c>
      <c r="I1995" s="92"/>
      <c r="J1995" s="93">
        <f t="shared" ref="J1995:J2058" si="38">+ABS(G1995-C1995)</f>
        <v>0.12659999999993943</v>
      </c>
    </row>
    <row r="1996" spans="2:10" x14ac:dyDescent="0.2">
      <c r="B1996" s="92">
        <v>2.7583329999999999</v>
      </c>
      <c r="C1996" s="92">
        <v>708.76949999999999</v>
      </c>
      <c r="D1996" s="92">
        <v>101.1737</v>
      </c>
      <c r="E1996" s="92"/>
      <c r="F1996" s="92">
        <v>2.7583329999999999</v>
      </c>
      <c r="G1996" s="92">
        <v>708.69860000000006</v>
      </c>
      <c r="H1996" s="92">
        <v>100.789</v>
      </c>
      <c r="I1996" s="92"/>
      <c r="J1996" s="93">
        <f t="shared" si="38"/>
        <v>7.0899999999937791E-2</v>
      </c>
    </row>
    <row r="1997" spans="2:10" x14ac:dyDescent="0.2">
      <c r="B1997" s="92">
        <v>2.759722</v>
      </c>
      <c r="C1997" s="92">
        <v>708.56650000000002</v>
      </c>
      <c r="D1997" s="92">
        <v>101.0179</v>
      </c>
      <c r="E1997" s="92"/>
      <c r="F1997" s="92">
        <v>2.759722</v>
      </c>
      <c r="G1997" s="92">
        <v>708.51390000000004</v>
      </c>
      <c r="H1997" s="92">
        <v>100.6318</v>
      </c>
      <c r="I1997" s="92"/>
      <c r="J1997" s="93">
        <f t="shared" si="38"/>
        <v>5.2599999999983993E-2</v>
      </c>
    </row>
    <row r="1998" spans="2:10" x14ac:dyDescent="0.2">
      <c r="B1998" s="92">
        <v>2.7611110000000001</v>
      </c>
      <c r="C1998" s="92">
        <v>708.44489999999996</v>
      </c>
      <c r="D1998" s="92">
        <v>100.8573</v>
      </c>
      <c r="E1998" s="92"/>
      <c r="F1998" s="92">
        <v>2.7611110000000001</v>
      </c>
      <c r="G1998" s="92">
        <v>708.31970000000001</v>
      </c>
      <c r="H1998" s="92">
        <v>100.47450000000001</v>
      </c>
      <c r="I1998" s="92"/>
      <c r="J1998" s="93">
        <f t="shared" si="38"/>
        <v>0.1251999999999498</v>
      </c>
    </row>
    <row r="1999" spans="2:10" x14ac:dyDescent="0.2">
      <c r="B1999" s="92">
        <v>2.7625000000000002</v>
      </c>
      <c r="C1999" s="92">
        <v>708.27919999999995</v>
      </c>
      <c r="D1999" s="92">
        <v>100.7015</v>
      </c>
      <c r="E1999" s="92"/>
      <c r="F1999" s="92">
        <v>2.7625000000000002</v>
      </c>
      <c r="G1999" s="92">
        <v>708.18240000000003</v>
      </c>
      <c r="H1999" s="92">
        <v>100.3173</v>
      </c>
      <c r="I1999" s="92"/>
      <c r="J1999" s="93">
        <f t="shared" si="38"/>
        <v>9.6799999999916508E-2</v>
      </c>
    </row>
    <row r="2000" spans="2:10" x14ac:dyDescent="0.2">
      <c r="B2000" s="92">
        <v>2.7638889999999998</v>
      </c>
      <c r="C2000" s="92">
        <v>708.08040000000005</v>
      </c>
      <c r="D2000" s="92">
        <v>100.5441</v>
      </c>
      <c r="E2000" s="92"/>
      <c r="F2000" s="92">
        <v>2.7638889999999998</v>
      </c>
      <c r="G2000" s="92">
        <v>708.03560000000004</v>
      </c>
      <c r="H2000" s="92">
        <v>100.1601</v>
      </c>
      <c r="I2000" s="92"/>
      <c r="J2000" s="93">
        <f t="shared" si="38"/>
        <v>4.4800000000009277E-2</v>
      </c>
    </row>
    <row r="2001" spans="2:10" x14ac:dyDescent="0.2">
      <c r="B2001" s="92">
        <v>2.7652779999999999</v>
      </c>
      <c r="C2001" s="92">
        <v>707.99490000000003</v>
      </c>
      <c r="D2001" s="92">
        <v>100.3818</v>
      </c>
      <c r="E2001" s="92"/>
      <c r="F2001" s="92">
        <v>2.7652779999999999</v>
      </c>
      <c r="G2001" s="92">
        <v>707.89959999999996</v>
      </c>
      <c r="H2001" s="92">
        <v>100.00449999999999</v>
      </c>
      <c r="I2001" s="92"/>
      <c r="J2001" s="93">
        <f t="shared" si="38"/>
        <v>9.5300000000065666E-2</v>
      </c>
    </row>
    <row r="2002" spans="2:10" x14ac:dyDescent="0.2">
      <c r="B2002" s="92">
        <v>2.766667</v>
      </c>
      <c r="C2002" s="92">
        <v>707.86210000000005</v>
      </c>
      <c r="D2002" s="92">
        <v>100.2343</v>
      </c>
      <c r="E2002" s="92"/>
      <c r="F2002" s="92">
        <v>2.766667</v>
      </c>
      <c r="G2002" s="92">
        <v>707.7944</v>
      </c>
      <c r="H2002" s="92">
        <v>99.8523</v>
      </c>
      <c r="I2002" s="92"/>
      <c r="J2002" s="93">
        <f t="shared" si="38"/>
        <v>6.7700000000058935E-2</v>
      </c>
    </row>
    <row r="2003" spans="2:10" x14ac:dyDescent="0.2">
      <c r="B2003" s="92">
        <v>2.7680560000000001</v>
      </c>
      <c r="C2003" s="92">
        <v>707.69240000000002</v>
      </c>
      <c r="D2003" s="92">
        <v>100.0802</v>
      </c>
      <c r="E2003" s="92"/>
      <c r="F2003" s="92">
        <v>2.7680560000000001</v>
      </c>
      <c r="G2003" s="92">
        <v>707.74159999999995</v>
      </c>
      <c r="H2003" s="92">
        <v>99.713300000000004</v>
      </c>
      <c r="I2003" s="92"/>
      <c r="J2003" s="93">
        <f t="shared" si="38"/>
        <v>4.9199999999927968E-2</v>
      </c>
    </row>
    <row r="2004" spans="2:10" x14ac:dyDescent="0.2">
      <c r="B2004" s="92">
        <v>2.769444</v>
      </c>
      <c r="C2004" s="92">
        <v>707.63059999999996</v>
      </c>
      <c r="D2004" s="92">
        <v>99.949100000000001</v>
      </c>
      <c r="E2004" s="92"/>
      <c r="F2004" s="92">
        <v>2.769444</v>
      </c>
      <c r="G2004" s="92">
        <v>707.60289999999998</v>
      </c>
      <c r="H2004" s="92">
        <v>99.5792</v>
      </c>
      <c r="I2004" s="92"/>
      <c r="J2004" s="93">
        <f t="shared" si="38"/>
        <v>2.7699999999981628E-2</v>
      </c>
    </row>
    <row r="2005" spans="2:10" x14ac:dyDescent="0.2">
      <c r="B2005" s="92">
        <v>2.7708330000000001</v>
      </c>
      <c r="C2005" s="92">
        <v>707.51710000000003</v>
      </c>
      <c r="D2005" s="92">
        <v>99.813100000000006</v>
      </c>
      <c r="E2005" s="92"/>
      <c r="F2005" s="92">
        <v>2.7708330000000001</v>
      </c>
      <c r="G2005" s="92">
        <v>707.45410000000004</v>
      </c>
      <c r="H2005" s="92">
        <v>99.456800000000001</v>
      </c>
      <c r="I2005" s="92"/>
      <c r="J2005" s="93">
        <f t="shared" si="38"/>
        <v>6.2999999999988177E-2</v>
      </c>
    </row>
    <row r="2006" spans="2:10" x14ac:dyDescent="0.2">
      <c r="B2006" s="92">
        <v>2.7722220000000002</v>
      </c>
      <c r="C2006" s="92">
        <v>707.35140000000001</v>
      </c>
      <c r="D2006" s="92">
        <v>99.685199999999995</v>
      </c>
      <c r="E2006" s="92"/>
      <c r="F2006" s="92">
        <v>2.7722220000000002</v>
      </c>
      <c r="G2006" s="92">
        <v>707.23919999999998</v>
      </c>
      <c r="H2006" s="92">
        <v>99.334299999999999</v>
      </c>
      <c r="I2006" s="92"/>
      <c r="J2006" s="93">
        <f t="shared" si="38"/>
        <v>0.11220000000002983</v>
      </c>
    </row>
    <row r="2007" spans="2:10" x14ac:dyDescent="0.2">
      <c r="B2007" s="92">
        <v>2.7736109999999998</v>
      </c>
      <c r="C2007" s="92">
        <v>707.21310000000005</v>
      </c>
      <c r="D2007" s="92">
        <v>99.565600000000003</v>
      </c>
      <c r="E2007" s="92"/>
      <c r="F2007" s="92">
        <v>2.7736109999999998</v>
      </c>
      <c r="G2007" s="92">
        <v>707.10429999999997</v>
      </c>
      <c r="H2007" s="92">
        <v>99.205200000000005</v>
      </c>
      <c r="I2007" s="92"/>
      <c r="J2007" s="93">
        <f t="shared" si="38"/>
        <v>0.10880000000008749</v>
      </c>
    </row>
    <row r="2008" spans="2:10" x14ac:dyDescent="0.2">
      <c r="B2008" s="92">
        <v>2.7749999999999999</v>
      </c>
      <c r="C2008" s="92">
        <v>707.03399999999999</v>
      </c>
      <c r="D2008" s="92">
        <v>99.441100000000006</v>
      </c>
      <c r="E2008" s="92"/>
      <c r="F2008" s="92">
        <v>2.7749999999999999</v>
      </c>
      <c r="G2008" s="92">
        <v>706.96010000000001</v>
      </c>
      <c r="H2008" s="92">
        <v>99.0762</v>
      </c>
      <c r="I2008" s="92"/>
      <c r="J2008" s="93">
        <f t="shared" si="38"/>
        <v>7.3899999999980537E-2</v>
      </c>
    </row>
    <row r="2009" spans="2:10" x14ac:dyDescent="0.2">
      <c r="B2009" s="92">
        <v>2.776389</v>
      </c>
      <c r="C2009" s="92">
        <v>706.90269999999998</v>
      </c>
      <c r="D2009" s="92">
        <v>99.316500000000005</v>
      </c>
      <c r="E2009" s="92"/>
      <c r="F2009" s="92">
        <v>2.776389</v>
      </c>
      <c r="G2009" s="92">
        <v>706.77930000000003</v>
      </c>
      <c r="H2009" s="92">
        <v>98.948700000000002</v>
      </c>
      <c r="I2009" s="92"/>
      <c r="J2009" s="93">
        <f t="shared" si="38"/>
        <v>0.12339999999994689</v>
      </c>
    </row>
    <row r="2010" spans="2:10" x14ac:dyDescent="0.2">
      <c r="B2010" s="92">
        <v>2.7777780000000001</v>
      </c>
      <c r="C2010" s="92">
        <v>706.74590000000001</v>
      </c>
      <c r="D2010" s="92">
        <v>99.172300000000007</v>
      </c>
      <c r="E2010" s="92"/>
      <c r="F2010" s="92">
        <v>2.7777780000000001</v>
      </c>
      <c r="G2010" s="92">
        <v>706.63030000000003</v>
      </c>
      <c r="H2010" s="92">
        <v>98.819699999999997</v>
      </c>
      <c r="I2010" s="92"/>
      <c r="J2010" s="93">
        <f t="shared" si="38"/>
        <v>0.11559999999997217</v>
      </c>
    </row>
    <row r="2011" spans="2:10" x14ac:dyDescent="0.2">
      <c r="B2011" s="92">
        <v>2.7791670000000002</v>
      </c>
      <c r="C2011" s="92">
        <v>706.56230000000005</v>
      </c>
      <c r="D2011" s="92">
        <v>99.034700000000001</v>
      </c>
      <c r="E2011" s="92"/>
      <c r="F2011" s="92">
        <v>2.7791670000000002</v>
      </c>
      <c r="G2011" s="92">
        <v>706.46349999999995</v>
      </c>
      <c r="H2011" s="92">
        <v>98.685599999999994</v>
      </c>
      <c r="I2011" s="92"/>
      <c r="J2011" s="93">
        <f t="shared" si="38"/>
        <v>9.8800000000096588E-2</v>
      </c>
    </row>
    <row r="2012" spans="2:10" x14ac:dyDescent="0.2">
      <c r="B2012" s="92">
        <v>2.7805559999999998</v>
      </c>
      <c r="C2012" s="92">
        <v>706.38679999999999</v>
      </c>
      <c r="D2012" s="92">
        <v>98.893799999999999</v>
      </c>
      <c r="E2012" s="92"/>
      <c r="F2012" s="92">
        <v>2.7805559999999998</v>
      </c>
      <c r="G2012" s="92">
        <v>706.29300000000001</v>
      </c>
      <c r="H2012" s="92">
        <v>98.546599999999998</v>
      </c>
      <c r="I2012" s="92"/>
      <c r="J2012" s="93">
        <f t="shared" si="38"/>
        <v>9.3799999999987449E-2</v>
      </c>
    </row>
    <row r="2013" spans="2:10" x14ac:dyDescent="0.2">
      <c r="B2013" s="92">
        <v>2.7819440000000002</v>
      </c>
      <c r="C2013" s="92">
        <v>706.22910000000002</v>
      </c>
      <c r="D2013" s="92">
        <v>98.769300000000001</v>
      </c>
      <c r="E2013" s="92"/>
      <c r="F2013" s="92">
        <v>2.7819440000000002</v>
      </c>
      <c r="G2013" s="92">
        <v>706.14639999999997</v>
      </c>
      <c r="H2013" s="92">
        <v>98.414299999999997</v>
      </c>
      <c r="I2013" s="92"/>
      <c r="J2013" s="93">
        <f t="shared" si="38"/>
        <v>8.2700000000045293E-2</v>
      </c>
    </row>
    <row r="2014" spans="2:10" x14ac:dyDescent="0.2">
      <c r="B2014" s="92">
        <v>2.7833329999999998</v>
      </c>
      <c r="C2014" s="92">
        <v>706.07899999999995</v>
      </c>
      <c r="D2014" s="92">
        <v>98.626800000000003</v>
      </c>
      <c r="E2014" s="92"/>
      <c r="F2014" s="92">
        <v>2.7833329999999998</v>
      </c>
      <c r="G2014" s="92">
        <v>706.00900000000001</v>
      </c>
      <c r="H2014" s="92">
        <v>98.275300000000001</v>
      </c>
      <c r="I2014" s="92"/>
      <c r="J2014" s="93">
        <f t="shared" si="38"/>
        <v>6.9999999999936335E-2</v>
      </c>
    </row>
    <row r="2015" spans="2:10" x14ac:dyDescent="0.2">
      <c r="B2015" s="92">
        <v>2.7847219999999999</v>
      </c>
      <c r="C2015" s="92">
        <v>705.92769999999996</v>
      </c>
      <c r="D2015" s="92">
        <v>98.482699999999994</v>
      </c>
      <c r="E2015" s="92"/>
      <c r="F2015" s="92">
        <v>2.7847219999999999</v>
      </c>
      <c r="G2015" s="92">
        <v>705.80759999999998</v>
      </c>
      <c r="H2015" s="92">
        <v>98.126400000000004</v>
      </c>
      <c r="I2015" s="92"/>
      <c r="J2015" s="93">
        <f t="shared" si="38"/>
        <v>0.12009999999997945</v>
      </c>
    </row>
    <row r="2016" spans="2:10" x14ac:dyDescent="0.2">
      <c r="B2016" s="92">
        <v>2.786111</v>
      </c>
      <c r="C2016" s="92">
        <v>705.70899999999995</v>
      </c>
      <c r="D2016" s="92">
        <v>98.333600000000004</v>
      </c>
      <c r="E2016" s="92"/>
      <c r="F2016" s="92">
        <v>2.786111</v>
      </c>
      <c r="G2016" s="92">
        <v>705.64260000000002</v>
      </c>
      <c r="H2016" s="92">
        <v>97.975800000000007</v>
      </c>
      <c r="I2016" s="92"/>
      <c r="J2016" s="93">
        <f t="shared" si="38"/>
        <v>6.6399999999930515E-2</v>
      </c>
    </row>
    <row r="2017" spans="2:10" x14ac:dyDescent="0.2">
      <c r="B2017" s="92">
        <v>2.7875000000000001</v>
      </c>
      <c r="C2017" s="92">
        <v>705.52670000000001</v>
      </c>
      <c r="D2017" s="92">
        <v>98.176400000000001</v>
      </c>
      <c r="E2017" s="92"/>
      <c r="F2017" s="92">
        <v>2.7875000000000001</v>
      </c>
      <c r="G2017" s="92">
        <v>705.46429999999998</v>
      </c>
      <c r="H2017" s="92">
        <v>97.813599999999994</v>
      </c>
      <c r="I2017" s="92"/>
      <c r="J2017" s="93">
        <f t="shared" si="38"/>
        <v>6.2400000000025102E-2</v>
      </c>
    </row>
    <row r="2018" spans="2:10" x14ac:dyDescent="0.2">
      <c r="B2018" s="92">
        <v>2.7888890000000002</v>
      </c>
      <c r="C2018" s="92">
        <v>705.404</v>
      </c>
      <c r="D2018" s="92">
        <v>98.020799999999994</v>
      </c>
      <c r="E2018" s="92"/>
      <c r="F2018" s="92">
        <v>2.7888890000000002</v>
      </c>
      <c r="G2018" s="92">
        <v>705.28880000000004</v>
      </c>
      <c r="H2018" s="92">
        <v>97.6614</v>
      </c>
      <c r="I2018" s="92"/>
      <c r="J2018" s="93">
        <f t="shared" si="38"/>
        <v>0.11519999999995889</v>
      </c>
    </row>
    <row r="2019" spans="2:10" x14ac:dyDescent="0.2">
      <c r="B2019" s="92">
        <v>2.7902779999999998</v>
      </c>
      <c r="C2019" s="92">
        <v>705.21669999999995</v>
      </c>
      <c r="D2019" s="92">
        <v>97.857100000000003</v>
      </c>
      <c r="E2019" s="92"/>
      <c r="F2019" s="92">
        <v>2.7902779999999998</v>
      </c>
      <c r="G2019" s="92">
        <v>705.14329999999995</v>
      </c>
      <c r="H2019" s="92">
        <v>97.492599999999996</v>
      </c>
      <c r="I2019" s="92"/>
      <c r="J2019" s="93">
        <f t="shared" si="38"/>
        <v>7.339999999999236E-2</v>
      </c>
    </row>
    <row r="2020" spans="2:10" x14ac:dyDescent="0.2">
      <c r="B2020" s="92">
        <v>2.7916669999999999</v>
      </c>
      <c r="C2020" s="92">
        <v>705.07730000000004</v>
      </c>
      <c r="D2020" s="92">
        <v>97.693299999999994</v>
      </c>
      <c r="E2020" s="92"/>
      <c r="F2020" s="92">
        <v>2.7916669999999999</v>
      </c>
      <c r="G2020" s="92">
        <v>704.95740000000001</v>
      </c>
      <c r="H2020" s="92">
        <v>97.313999999999993</v>
      </c>
      <c r="I2020" s="92"/>
      <c r="J2020" s="93">
        <f t="shared" si="38"/>
        <v>0.11990000000002965</v>
      </c>
    </row>
    <row r="2021" spans="2:10" x14ac:dyDescent="0.2">
      <c r="B2021" s="92">
        <v>2.793056</v>
      </c>
      <c r="C2021" s="92">
        <v>704.87900000000002</v>
      </c>
      <c r="D2021" s="92">
        <v>97.514799999999994</v>
      </c>
      <c r="E2021" s="92"/>
      <c r="F2021" s="92">
        <v>2.793056</v>
      </c>
      <c r="G2021" s="92">
        <v>704.7364</v>
      </c>
      <c r="H2021" s="92">
        <v>97.138599999999997</v>
      </c>
      <c r="I2021" s="92"/>
      <c r="J2021" s="93">
        <f t="shared" si="38"/>
        <v>0.14260000000001583</v>
      </c>
    </row>
    <row r="2022" spans="2:10" x14ac:dyDescent="0.2">
      <c r="B2022" s="92">
        <v>2.7944439999999999</v>
      </c>
      <c r="C2022" s="92">
        <v>704.65790000000004</v>
      </c>
      <c r="D2022" s="92">
        <v>97.341300000000004</v>
      </c>
      <c r="E2022" s="92"/>
      <c r="F2022" s="92">
        <v>2.7944439999999999</v>
      </c>
      <c r="G2022" s="92">
        <v>704.64570000000003</v>
      </c>
      <c r="H2022" s="92">
        <v>96.954899999999995</v>
      </c>
      <c r="I2022" s="92"/>
      <c r="J2022" s="93">
        <f t="shared" si="38"/>
        <v>1.2200000000007094E-2</v>
      </c>
    </row>
    <row r="2023" spans="2:10" x14ac:dyDescent="0.2">
      <c r="B2023" s="92">
        <v>2.795833</v>
      </c>
      <c r="C2023" s="92">
        <v>704.59259999999995</v>
      </c>
      <c r="D2023" s="92">
        <v>97.156300000000002</v>
      </c>
      <c r="E2023" s="92"/>
      <c r="F2023" s="92">
        <v>2.795833</v>
      </c>
      <c r="G2023" s="92">
        <v>704.52229999999997</v>
      </c>
      <c r="H2023" s="92">
        <v>96.777900000000002</v>
      </c>
      <c r="I2023" s="92"/>
      <c r="J2023" s="93">
        <f t="shared" si="38"/>
        <v>7.0299999999974716E-2</v>
      </c>
    </row>
    <row r="2024" spans="2:10" x14ac:dyDescent="0.2">
      <c r="B2024" s="92">
        <v>2.7972220000000001</v>
      </c>
      <c r="C2024" s="92">
        <v>704.46489999999994</v>
      </c>
      <c r="D2024" s="92">
        <v>96.972899999999996</v>
      </c>
      <c r="E2024" s="92"/>
      <c r="F2024" s="92">
        <v>2.7972220000000001</v>
      </c>
      <c r="G2024" s="92">
        <v>704.37540000000001</v>
      </c>
      <c r="H2024" s="92">
        <v>96.600899999999996</v>
      </c>
      <c r="I2024" s="92"/>
      <c r="J2024" s="93">
        <f t="shared" si="38"/>
        <v>8.9499999999929969E-2</v>
      </c>
    </row>
    <row r="2025" spans="2:10" x14ac:dyDescent="0.2">
      <c r="B2025" s="92">
        <v>2.7986110000000002</v>
      </c>
      <c r="C2025" s="92">
        <v>704.33339999999998</v>
      </c>
      <c r="D2025" s="92">
        <v>96.8125</v>
      </c>
      <c r="E2025" s="92"/>
      <c r="F2025" s="92">
        <v>2.7986110000000002</v>
      </c>
      <c r="G2025" s="92">
        <v>704.26300000000003</v>
      </c>
      <c r="H2025" s="92">
        <v>96.432100000000005</v>
      </c>
      <c r="I2025" s="92"/>
      <c r="J2025" s="93">
        <f t="shared" si="38"/>
        <v>7.0399999999949614E-2</v>
      </c>
    </row>
    <row r="2026" spans="2:10" x14ac:dyDescent="0.2">
      <c r="B2026" s="92">
        <v>2.8</v>
      </c>
      <c r="C2026" s="92">
        <v>704.20899999999995</v>
      </c>
      <c r="D2026" s="92">
        <v>96.640699999999995</v>
      </c>
      <c r="E2026" s="92"/>
      <c r="F2026" s="92">
        <v>2.8</v>
      </c>
      <c r="G2026" s="92">
        <v>704.13319999999999</v>
      </c>
      <c r="H2026" s="92">
        <v>96.271600000000007</v>
      </c>
      <c r="I2026" s="92"/>
      <c r="J2026" s="93">
        <f t="shared" si="38"/>
        <v>7.5799999999958345E-2</v>
      </c>
    </row>
    <row r="2027" spans="2:10" x14ac:dyDescent="0.2">
      <c r="B2027" s="92">
        <v>2.8013889999999999</v>
      </c>
      <c r="C2027" s="92">
        <v>704.05010000000004</v>
      </c>
      <c r="D2027" s="92">
        <v>96.472099999999998</v>
      </c>
      <c r="E2027" s="92"/>
      <c r="F2027" s="92">
        <v>2.8013889999999999</v>
      </c>
      <c r="G2027" s="92">
        <v>703.96609999999998</v>
      </c>
      <c r="H2027" s="92">
        <v>96.117800000000003</v>
      </c>
      <c r="I2027" s="92"/>
      <c r="J2027" s="93">
        <f t="shared" si="38"/>
        <v>8.4000000000060027E-2</v>
      </c>
    </row>
    <row r="2028" spans="2:10" x14ac:dyDescent="0.2">
      <c r="B2028" s="92">
        <v>2.802778</v>
      </c>
      <c r="C2028" s="92">
        <v>703.87090000000001</v>
      </c>
      <c r="D2028" s="92">
        <v>96.311700000000002</v>
      </c>
      <c r="E2028" s="92"/>
      <c r="F2028" s="92">
        <v>2.802778</v>
      </c>
      <c r="G2028" s="92">
        <v>703.82140000000004</v>
      </c>
      <c r="H2028" s="92">
        <v>95.962299999999999</v>
      </c>
      <c r="I2028" s="92"/>
      <c r="J2028" s="93">
        <f t="shared" si="38"/>
        <v>4.9499999999966349E-2</v>
      </c>
    </row>
    <row r="2029" spans="2:10" x14ac:dyDescent="0.2">
      <c r="B2029" s="92">
        <v>2.8041670000000001</v>
      </c>
      <c r="C2029" s="92">
        <v>703.72119999999995</v>
      </c>
      <c r="D2029" s="92">
        <v>96.169399999999996</v>
      </c>
      <c r="E2029" s="92"/>
      <c r="F2029" s="92">
        <v>2.8041670000000001</v>
      </c>
      <c r="G2029" s="92">
        <v>703.68629999999996</v>
      </c>
      <c r="H2029" s="92">
        <v>95.813400000000001</v>
      </c>
      <c r="I2029" s="92"/>
      <c r="J2029" s="93">
        <f t="shared" si="38"/>
        <v>3.489999999999327E-2</v>
      </c>
    </row>
    <row r="2030" spans="2:10" x14ac:dyDescent="0.2">
      <c r="B2030" s="92">
        <v>2.8055560000000002</v>
      </c>
      <c r="C2030" s="92">
        <v>703.57749999999999</v>
      </c>
      <c r="D2030" s="92">
        <v>96.013900000000007</v>
      </c>
      <c r="E2030" s="92"/>
      <c r="F2030" s="92">
        <v>2.8055560000000002</v>
      </c>
      <c r="G2030" s="92">
        <v>703.50049999999999</v>
      </c>
      <c r="H2030" s="92">
        <v>95.659499999999994</v>
      </c>
      <c r="I2030" s="92"/>
      <c r="J2030" s="93">
        <f t="shared" si="38"/>
        <v>7.6999999999998181E-2</v>
      </c>
    </row>
    <row r="2031" spans="2:10" x14ac:dyDescent="0.2">
      <c r="B2031" s="92">
        <v>2.8069440000000001</v>
      </c>
      <c r="C2031" s="92">
        <v>703.4579</v>
      </c>
      <c r="D2031" s="92">
        <v>95.855199999999996</v>
      </c>
      <c r="E2031" s="92"/>
      <c r="F2031" s="92">
        <v>2.8069440000000001</v>
      </c>
      <c r="G2031" s="92">
        <v>703.3605</v>
      </c>
      <c r="H2031" s="92">
        <v>95.504000000000005</v>
      </c>
      <c r="I2031" s="92"/>
      <c r="J2031" s="93">
        <f t="shared" si="38"/>
        <v>9.739999999999327E-2</v>
      </c>
    </row>
    <row r="2032" spans="2:10" x14ac:dyDescent="0.2">
      <c r="B2032" s="92">
        <v>2.8083330000000002</v>
      </c>
      <c r="C2032" s="92">
        <v>703.27959999999996</v>
      </c>
      <c r="D2032" s="92">
        <v>95.703000000000003</v>
      </c>
      <c r="E2032" s="92"/>
      <c r="F2032" s="92">
        <v>2.8083330000000002</v>
      </c>
      <c r="G2032" s="92">
        <v>703.20759999999996</v>
      </c>
      <c r="H2032" s="92">
        <v>95.350200000000001</v>
      </c>
      <c r="I2032" s="92"/>
      <c r="J2032" s="93">
        <f t="shared" si="38"/>
        <v>7.2000000000002728E-2</v>
      </c>
    </row>
    <row r="2033" spans="2:10" x14ac:dyDescent="0.2">
      <c r="B2033" s="92">
        <v>2.8097219999999998</v>
      </c>
      <c r="C2033" s="92">
        <v>703.13070000000005</v>
      </c>
      <c r="D2033" s="92">
        <v>95.547600000000003</v>
      </c>
      <c r="E2033" s="92"/>
      <c r="F2033" s="92">
        <v>2.8097219999999998</v>
      </c>
      <c r="G2033" s="92">
        <v>703.06200000000001</v>
      </c>
      <c r="H2033" s="92">
        <v>95.199600000000004</v>
      </c>
      <c r="I2033" s="92"/>
      <c r="J2033" s="93">
        <f t="shared" si="38"/>
        <v>6.8700000000035288E-2</v>
      </c>
    </row>
    <row r="2034" spans="2:10" x14ac:dyDescent="0.2">
      <c r="B2034" s="92">
        <v>2.8111109999999999</v>
      </c>
      <c r="C2034" s="92">
        <v>702.91309999999999</v>
      </c>
      <c r="D2034" s="92">
        <v>95.392200000000003</v>
      </c>
      <c r="E2034" s="92"/>
      <c r="F2034" s="92">
        <v>2.8111109999999999</v>
      </c>
      <c r="G2034" s="92">
        <v>702.86940000000004</v>
      </c>
      <c r="H2034" s="92">
        <v>95.049099999999996</v>
      </c>
      <c r="I2034" s="92"/>
      <c r="J2034" s="93">
        <f t="shared" si="38"/>
        <v>4.3699999999944339E-2</v>
      </c>
    </row>
    <row r="2035" spans="2:10" x14ac:dyDescent="0.2">
      <c r="B2035" s="92">
        <v>2.8125</v>
      </c>
      <c r="C2035" s="92">
        <v>702.82650000000001</v>
      </c>
      <c r="D2035" s="92">
        <v>95.235200000000006</v>
      </c>
      <c r="E2035" s="92"/>
      <c r="F2035" s="92">
        <v>2.8125</v>
      </c>
      <c r="G2035" s="92">
        <v>702.6952</v>
      </c>
      <c r="H2035" s="92">
        <v>94.885300000000001</v>
      </c>
      <c r="I2035" s="92"/>
      <c r="J2035" s="93">
        <f t="shared" si="38"/>
        <v>0.13130000000001019</v>
      </c>
    </row>
    <row r="2036" spans="2:10" x14ac:dyDescent="0.2">
      <c r="B2036" s="92">
        <v>2.8138890000000001</v>
      </c>
      <c r="C2036" s="92">
        <v>702.65210000000002</v>
      </c>
      <c r="D2036" s="92">
        <v>95.087999999999994</v>
      </c>
      <c r="E2036" s="92"/>
      <c r="F2036" s="92">
        <v>2.8138890000000001</v>
      </c>
      <c r="G2036" s="92">
        <v>702.58439999999996</v>
      </c>
      <c r="H2036" s="92">
        <v>94.724900000000005</v>
      </c>
      <c r="I2036" s="92"/>
      <c r="J2036" s="93">
        <f t="shared" si="38"/>
        <v>6.7700000000058935E-2</v>
      </c>
    </row>
    <row r="2037" spans="2:10" x14ac:dyDescent="0.2">
      <c r="B2037" s="92">
        <v>2.8152780000000002</v>
      </c>
      <c r="C2037" s="92">
        <v>702.53129999999999</v>
      </c>
      <c r="D2037" s="92">
        <v>94.927700000000002</v>
      </c>
      <c r="E2037" s="92"/>
      <c r="F2037" s="92">
        <v>2.8152780000000002</v>
      </c>
      <c r="G2037" s="92">
        <v>702.41819999999996</v>
      </c>
      <c r="H2037" s="92">
        <v>94.584299999999999</v>
      </c>
      <c r="I2037" s="92"/>
      <c r="J2037" s="93">
        <f t="shared" si="38"/>
        <v>0.11310000000003129</v>
      </c>
    </row>
    <row r="2038" spans="2:10" x14ac:dyDescent="0.2">
      <c r="B2038" s="92">
        <v>2.8166669999999998</v>
      </c>
      <c r="C2038" s="92">
        <v>702.3682</v>
      </c>
      <c r="D2038" s="92">
        <v>94.767399999999995</v>
      </c>
      <c r="E2038" s="92"/>
      <c r="F2038" s="92">
        <v>2.8166669999999998</v>
      </c>
      <c r="G2038" s="92">
        <v>702.25459999999998</v>
      </c>
      <c r="H2038" s="92">
        <v>94.422200000000004</v>
      </c>
      <c r="I2038" s="92"/>
      <c r="J2038" s="93">
        <f t="shared" si="38"/>
        <v>0.11360000000001946</v>
      </c>
    </row>
    <row r="2039" spans="2:10" x14ac:dyDescent="0.2">
      <c r="B2039" s="92">
        <v>2.8180559999999999</v>
      </c>
      <c r="C2039" s="92">
        <v>702.20759999999996</v>
      </c>
      <c r="D2039" s="92">
        <v>94.610399999999998</v>
      </c>
      <c r="E2039" s="92"/>
      <c r="F2039" s="92">
        <v>2.8180559999999999</v>
      </c>
      <c r="G2039" s="92">
        <v>702.11159999999995</v>
      </c>
      <c r="H2039" s="92">
        <v>94.274900000000002</v>
      </c>
      <c r="I2039" s="92"/>
      <c r="J2039" s="93">
        <f t="shared" si="38"/>
        <v>9.6000000000003638E-2</v>
      </c>
    </row>
    <row r="2040" spans="2:10" x14ac:dyDescent="0.2">
      <c r="B2040" s="92">
        <v>2.8194439999999998</v>
      </c>
      <c r="C2040" s="92">
        <v>702.03330000000005</v>
      </c>
      <c r="D2040" s="92">
        <v>94.463200000000001</v>
      </c>
      <c r="E2040" s="92"/>
      <c r="F2040" s="92">
        <v>2.8194439999999998</v>
      </c>
      <c r="G2040" s="92">
        <v>701.97059999999999</v>
      </c>
      <c r="H2040" s="92">
        <v>94.117800000000003</v>
      </c>
      <c r="I2040" s="92"/>
      <c r="J2040" s="93">
        <f t="shared" si="38"/>
        <v>6.2700000000063483E-2</v>
      </c>
    </row>
    <row r="2041" spans="2:10" x14ac:dyDescent="0.2">
      <c r="B2041" s="92">
        <v>2.8208329999999999</v>
      </c>
      <c r="C2041" s="92">
        <v>701.86429999999996</v>
      </c>
      <c r="D2041" s="92">
        <v>94.316100000000006</v>
      </c>
      <c r="E2041" s="92"/>
      <c r="F2041" s="92">
        <v>2.8208329999999999</v>
      </c>
      <c r="G2041" s="92">
        <v>701.82889999999998</v>
      </c>
      <c r="H2041" s="92">
        <v>93.972200000000001</v>
      </c>
      <c r="I2041" s="92"/>
      <c r="J2041" s="93">
        <f t="shared" si="38"/>
        <v>3.5399999999981446E-2</v>
      </c>
    </row>
    <row r="2042" spans="2:10" x14ac:dyDescent="0.2">
      <c r="B2042" s="92">
        <v>2.822222</v>
      </c>
      <c r="C2042" s="92">
        <v>701.73270000000002</v>
      </c>
      <c r="D2042" s="92">
        <v>94.162400000000005</v>
      </c>
      <c r="E2042" s="92"/>
      <c r="F2042" s="92">
        <v>2.822222</v>
      </c>
      <c r="G2042" s="92">
        <v>701.67089999999996</v>
      </c>
      <c r="H2042" s="92">
        <v>93.83</v>
      </c>
      <c r="I2042" s="92"/>
      <c r="J2042" s="93">
        <f t="shared" si="38"/>
        <v>6.1800000000062028E-2</v>
      </c>
    </row>
    <row r="2043" spans="2:10" x14ac:dyDescent="0.2">
      <c r="B2043" s="92">
        <v>2.8236110000000001</v>
      </c>
      <c r="C2043" s="92">
        <v>701.61379999999997</v>
      </c>
      <c r="D2043" s="92">
        <v>94.018500000000003</v>
      </c>
      <c r="E2043" s="92"/>
      <c r="F2043" s="92">
        <v>2.8236110000000001</v>
      </c>
      <c r="G2043" s="92">
        <v>701.52670000000001</v>
      </c>
      <c r="H2043" s="92">
        <v>93.681100000000001</v>
      </c>
      <c r="I2043" s="92"/>
      <c r="J2043" s="93">
        <f t="shared" si="38"/>
        <v>8.7099999999963984E-2</v>
      </c>
    </row>
    <row r="2044" spans="2:10" x14ac:dyDescent="0.2">
      <c r="B2044" s="92">
        <v>2.8250000000000002</v>
      </c>
      <c r="C2044" s="92">
        <v>701.43269999999995</v>
      </c>
      <c r="D2044" s="92">
        <v>93.876300000000001</v>
      </c>
      <c r="E2044" s="92"/>
      <c r="F2044" s="92">
        <v>2.8250000000000002</v>
      </c>
      <c r="G2044" s="92">
        <v>701.39290000000005</v>
      </c>
      <c r="H2044" s="92">
        <v>93.527299999999997</v>
      </c>
      <c r="I2044" s="92"/>
      <c r="J2044" s="93">
        <f t="shared" si="38"/>
        <v>3.9799999999900137E-2</v>
      </c>
    </row>
    <row r="2045" spans="2:10" x14ac:dyDescent="0.2">
      <c r="B2045" s="92">
        <v>2.8263889999999998</v>
      </c>
      <c r="C2045" s="92">
        <v>701.30799999999999</v>
      </c>
      <c r="D2045" s="92">
        <v>93.717699999999994</v>
      </c>
      <c r="E2045" s="92"/>
      <c r="F2045" s="92">
        <v>2.8263889999999998</v>
      </c>
      <c r="G2045" s="92">
        <v>701.21379999999999</v>
      </c>
      <c r="H2045" s="92">
        <v>93.381699999999995</v>
      </c>
      <c r="I2045" s="92"/>
      <c r="J2045" s="93">
        <f t="shared" si="38"/>
        <v>9.4200000000000728E-2</v>
      </c>
    </row>
    <row r="2046" spans="2:10" x14ac:dyDescent="0.2">
      <c r="B2046" s="92">
        <v>2.8277779999999999</v>
      </c>
      <c r="C2046" s="92">
        <v>701.11680000000001</v>
      </c>
      <c r="D2046" s="92">
        <v>93.569000000000003</v>
      </c>
      <c r="E2046" s="92"/>
      <c r="F2046" s="92">
        <v>2.8277779999999999</v>
      </c>
      <c r="G2046" s="92">
        <v>701.01199999999994</v>
      </c>
      <c r="H2046" s="92">
        <v>93.224500000000006</v>
      </c>
      <c r="I2046" s="92"/>
      <c r="J2046" s="93">
        <f t="shared" si="38"/>
        <v>0.10480000000006839</v>
      </c>
    </row>
    <row r="2047" spans="2:10" x14ac:dyDescent="0.2">
      <c r="B2047" s="92">
        <v>2.829167</v>
      </c>
      <c r="C2047" s="92">
        <v>700.95429999999999</v>
      </c>
      <c r="D2047" s="92">
        <v>93.402199999999993</v>
      </c>
      <c r="E2047" s="92"/>
      <c r="F2047" s="92">
        <v>2.829167</v>
      </c>
      <c r="G2047" s="92">
        <v>700.87649999999996</v>
      </c>
      <c r="H2047" s="92">
        <v>93.055800000000005</v>
      </c>
      <c r="I2047" s="92"/>
      <c r="J2047" s="93">
        <f t="shared" si="38"/>
        <v>7.7800000000024738E-2</v>
      </c>
    </row>
    <row r="2048" spans="2:10" x14ac:dyDescent="0.2">
      <c r="B2048" s="92">
        <v>2.8305560000000001</v>
      </c>
      <c r="C2048" s="92">
        <v>700.84580000000005</v>
      </c>
      <c r="D2048" s="92">
        <v>93.237200000000001</v>
      </c>
      <c r="E2048" s="92"/>
      <c r="F2048" s="92">
        <v>2.8305560000000001</v>
      </c>
      <c r="G2048" s="92">
        <v>700.77380000000005</v>
      </c>
      <c r="H2048" s="92">
        <v>92.887100000000004</v>
      </c>
      <c r="I2048" s="92"/>
      <c r="J2048" s="93">
        <f t="shared" si="38"/>
        <v>7.2000000000002728E-2</v>
      </c>
    </row>
    <row r="2049" spans="2:10" x14ac:dyDescent="0.2">
      <c r="B2049" s="92">
        <v>2.831944</v>
      </c>
      <c r="C2049" s="92">
        <v>700.70190000000002</v>
      </c>
      <c r="D2049" s="92">
        <v>93.0672</v>
      </c>
      <c r="E2049" s="92"/>
      <c r="F2049" s="92">
        <v>2.831944</v>
      </c>
      <c r="G2049" s="92">
        <v>700.63909999999998</v>
      </c>
      <c r="H2049" s="92">
        <v>92.706800000000001</v>
      </c>
      <c r="I2049" s="92"/>
      <c r="J2049" s="93">
        <f t="shared" si="38"/>
        <v>6.2800000000038381E-2</v>
      </c>
    </row>
    <row r="2050" spans="2:10" x14ac:dyDescent="0.2">
      <c r="B2050" s="92">
        <v>2.8333330000000001</v>
      </c>
      <c r="C2050" s="92">
        <v>700.61120000000005</v>
      </c>
      <c r="D2050" s="92">
        <v>92.890699999999995</v>
      </c>
      <c r="E2050" s="92"/>
      <c r="F2050" s="92">
        <v>2.8333330000000001</v>
      </c>
      <c r="G2050" s="92">
        <v>700.58939999999996</v>
      </c>
      <c r="H2050" s="92">
        <v>92.546400000000006</v>
      </c>
      <c r="I2050" s="92"/>
      <c r="J2050" s="93">
        <f t="shared" si="38"/>
        <v>2.1800000000098407E-2</v>
      </c>
    </row>
    <row r="2051" spans="2:10" x14ac:dyDescent="0.2">
      <c r="B2051" s="92">
        <v>2.8347220000000002</v>
      </c>
      <c r="C2051" s="92">
        <v>700.54459999999995</v>
      </c>
      <c r="D2051" s="92">
        <v>92.732200000000006</v>
      </c>
      <c r="E2051" s="92"/>
      <c r="F2051" s="92">
        <v>2.8347220000000002</v>
      </c>
      <c r="G2051" s="92">
        <v>700.51859999999999</v>
      </c>
      <c r="H2051" s="92">
        <v>92.382599999999996</v>
      </c>
      <c r="I2051" s="92"/>
      <c r="J2051" s="93">
        <f t="shared" si="38"/>
        <v>2.5999999999953616E-2</v>
      </c>
    </row>
    <row r="2052" spans="2:10" x14ac:dyDescent="0.2">
      <c r="B2052" s="92">
        <v>2.8361109999999998</v>
      </c>
      <c r="C2052" s="92">
        <v>700.47789999999998</v>
      </c>
      <c r="D2052" s="92">
        <v>92.573700000000002</v>
      </c>
      <c r="E2052" s="92"/>
      <c r="F2052" s="92">
        <v>2.8361109999999998</v>
      </c>
      <c r="G2052" s="92">
        <v>700.48810000000003</v>
      </c>
      <c r="H2052" s="92">
        <v>92.235399999999998</v>
      </c>
      <c r="I2052" s="92"/>
      <c r="J2052" s="93">
        <f t="shared" si="38"/>
        <v>1.0200000000054388E-2</v>
      </c>
    </row>
    <row r="2053" spans="2:10" x14ac:dyDescent="0.2">
      <c r="B2053" s="92">
        <v>2.8374999999999999</v>
      </c>
      <c r="C2053" s="92">
        <v>700.33640000000003</v>
      </c>
      <c r="D2053" s="92">
        <v>92.434799999999996</v>
      </c>
      <c r="E2053" s="92"/>
      <c r="F2053" s="92">
        <v>2.8374999999999999</v>
      </c>
      <c r="G2053" s="92">
        <v>700.30470000000003</v>
      </c>
      <c r="H2053" s="92">
        <v>92.096500000000006</v>
      </c>
      <c r="I2053" s="92"/>
      <c r="J2053" s="93">
        <f t="shared" si="38"/>
        <v>3.1700000000000728E-2</v>
      </c>
    </row>
    <row r="2054" spans="2:10" x14ac:dyDescent="0.2">
      <c r="B2054" s="92">
        <v>2.838889</v>
      </c>
      <c r="C2054" s="92">
        <v>700.29219999999998</v>
      </c>
      <c r="D2054" s="92">
        <v>92.299199999999999</v>
      </c>
      <c r="E2054" s="92"/>
      <c r="F2054" s="92">
        <v>2.838889</v>
      </c>
      <c r="G2054" s="92">
        <v>700.21519999999998</v>
      </c>
      <c r="H2054" s="92">
        <v>91.964200000000005</v>
      </c>
      <c r="I2054" s="92"/>
      <c r="J2054" s="93">
        <f t="shared" si="38"/>
        <v>7.6999999999998181E-2</v>
      </c>
    </row>
    <row r="2055" spans="2:10" x14ac:dyDescent="0.2">
      <c r="B2055" s="92">
        <v>2.8402780000000001</v>
      </c>
      <c r="C2055" s="92">
        <v>700.18690000000004</v>
      </c>
      <c r="D2055" s="92">
        <v>92.173400000000001</v>
      </c>
      <c r="E2055" s="92"/>
      <c r="F2055" s="92">
        <v>2.8402780000000001</v>
      </c>
      <c r="G2055" s="92">
        <v>700.11689999999999</v>
      </c>
      <c r="H2055" s="92">
        <v>91.845100000000002</v>
      </c>
      <c r="I2055" s="92"/>
      <c r="J2055" s="93">
        <f t="shared" si="38"/>
        <v>7.0000000000050022E-2</v>
      </c>
    </row>
    <row r="2056" spans="2:10" x14ac:dyDescent="0.2">
      <c r="B2056" s="92">
        <v>2.8416670000000002</v>
      </c>
      <c r="C2056" s="92">
        <v>700.05119999999999</v>
      </c>
      <c r="D2056" s="92">
        <v>92.049300000000002</v>
      </c>
      <c r="E2056" s="92"/>
      <c r="F2056" s="92">
        <v>2.8416670000000002</v>
      </c>
      <c r="G2056" s="92">
        <v>700.01459999999997</v>
      </c>
      <c r="H2056" s="92">
        <v>91.714399999999998</v>
      </c>
      <c r="I2056" s="92"/>
      <c r="J2056" s="93">
        <f t="shared" si="38"/>
        <v>3.6600000000021282E-2</v>
      </c>
    </row>
    <row r="2057" spans="2:10" x14ac:dyDescent="0.2">
      <c r="B2057" s="92">
        <v>2.8430559999999998</v>
      </c>
      <c r="C2057" s="92">
        <v>699.96910000000003</v>
      </c>
      <c r="D2057" s="92">
        <v>91.933300000000003</v>
      </c>
      <c r="E2057" s="92"/>
      <c r="F2057" s="92">
        <v>2.8430559999999998</v>
      </c>
      <c r="G2057" s="92">
        <v>699.96870000000001</v>
      </c>
      <c r="H2057" s="92">
        <v>91.590400000000002</v>
      </c>
      <c r="I2057" s="92"/>
      <c r="J2057" s="93">
        <f t="shared" si="38"/>
        <v>4.0000000001327862E-4</v>
      </c>
    </row>
    <row r="2058" spans="2:10" x14ac:dyDescent="0.2">
      <c r="B2058" s="92">
        <v>2.8444440000000002</v>
      </c>
      <c r="C2058" s="92">
        <v>699.87030000000004</v>
      </c>
      <c r="D2058" s="92">
        <v>91.809200000000004</v>
      </c>
      <c r="E2058" s="92"/>
      <c r="F2058" s="92">
        <v>2.8444440000000002</v>
      </c>
      <c r="G2058" s="92">
        <v>699.81799999999998</v>
      </c>
      <c r="H2058" s="92">
        <v>91.476200000000006</v>
      </c>
      <c r="I2058" s="92"/>
      <c r="J2058" s="93">
        <f t="shared" si="38"/>
        <v>5.2300000000059299E-2</v>
      </c>
    </row>
    <row r="2059" spans="2:10" x14ac:dyDescent="0.2">
      <c r="B2059" s="92">
        <v>2.8458329999999998</v>
      </c>
      <c r="C2059" s="92">
        <v>699.76220000000001</v>
      </c>
      <c r="D2059" s="92">
        <v>91.686700000000002</v>
      </c>
      <c r="E2059" s="92"/>
      <c r="F2059" s="92">
        <v>2.8458329999999998</v>
      </c>
      <c r="G2059" s="92">
        <v>699.73339999999996</v>
      </c>
      <c r="H2059" s="92">
        <v>91.350499999999997</v>
      </c>
      <c r="I2059" s="92"/>
      <c r="J2059" s="93">
        <f t="shared" ref="J2059:J2122" si="39">+ABS(G2059-C2059)</f>
        <v>2.8800000000046566E-2</v>
      </c>
    </row>
    <row r="2060" spans="2:10" x14ac:dyDescent="0.2">
      <c r="B2060" s="92">
        <v>2.8472219999999999</v>
      </c>
      <c r="C2060" s="92">
        <v>699.65790000000004</v>
      </c>
      <c r="D2060" s="92">
        <v>91.569100000000006</v>
      </c>
      <c r="E2060" s="92"/>
      <c r="F2060" s="92">
        <v>2.8472219999999999</v>
      </c>
      <c r="G2060" s="92">
        <v>699.63340000000005</v>
      </c>
      <c r="H2060" s="92">
        <v>91.2166</v>
      </c>
      <c r="I2060" s="92"/>
      <c r="J2060" s="93">
        <f t="shared" si="39"/>
        <v>2.4499999999989086E-2</v>
      </c>
    </row>
    <row r="2061" spans="2:10" x14ac:dyDescent="0.2">
      <c r="B2061" s="92">
        <v>2.848611</v>
      </c>
      <c r="C2061" s="92">
        <v>699.65049999999997</v>
      </c>
      <c r="D2061" s="92">
        <v>91.433499999999995</v>
      </c>
      <c r="E2061" s="92"/>
      <c r="F2061" s="92">
        <v>2.848611</v>
      </c>
      <c r="G2061" s="92">
        <v>699.64890000000003</v>
      </c>
      <c r="H2061" s="92">
        <v>91.0809</v>
      </c>
      <c r="I2061" s="92"/>
      <c r="J2061" s="93">
        <f t="shared" si="39"/>
        <v>1.5999999999394277E-3</v>
      </c>
    </row>
    <row r="2062" spans="2:10" x14ac:dyDescent="0.2">
      <c r="B2062" s="92">
        <v>2.85</v>
      </c>
      <c r="C2062" s="92">
        <v>699.54960000000005</v>
      </c>
      <c r="D2062" s="92">
        <v>91.299599999999998</v>
      </c>
      <c r="E2062" s="92"/>
      <c r="F2062" s="92">
        <v>2.85</v>
      </c>
      <c r="G2062" s="92">
        <v>699.60680000000002</v>
      </c>
      <c r="H2062" s="92">
        <v>90.936999999999998</v>
      </c>
      <c r="I2062" s="92"/>
      <c r="J2062" s="93">
        <f t="shared" si="39"/>
        <v>5.7199999999966167E-2</v>
      </c>
    </row>
    <row r="2063" spans="2:10" x14ac:dyDescent="0.2">
      <c r="B2063" s="92">
        <v>2.8513890000000002</v>
      </c>
      <c r="C2063" s="92">
        <v>699.55309999999997</v>
      </c>
      <c r="D2063" s="92">
        <v>91.157499999999999</v>
      </c>
      <c r="E2063" s="92"/>
      <c r="F2063" s="92">
        <v>2.8513890000000002</v>
      </c>
      <c r="G2063" s="92">
        <v>699.55499999999995</v>
      </c>
      <c r="H2063" s="92">
        <v>90.811300000000003</v>
      </c>
      <c r="I2063" s="92"/>
      <c r="J2063" s="93">
        <f t="shared" si="39"/>
        <v>1.8999999999778083E-3</v>
      </c>
    </row>
    <row r="2064" spans="2:10" x14ac:dyDescent="0.2">
      <c r="B2064" s="92">
        <v>2.8527779999999998</v>
      </c>
      <c r="C2064" s="92">
        <v>699.54039999999998</v>
      </c>
      <c r="D2064" s="92">
        <v>91.022000000000006</v>
      </c>
      <c r="E2064" s="92"/>
      <c r="F2064" s="92">
        <v>2.8527779999999998</v>
      </c>
      <c r="G2064" s="92">
        <v>699.52009999999996</v>
      </c>
      <c r="H2064" s="92">
        <v>90.702200000000005</v>
      </c>
      <c r="I2064" s="92"/>
      <c r="J2064" s="93">
        <f t="shared" si="39"/>
        <v>2.0300000000020191E-2</v>
      </c>
    </row>
    <row r="2065" spans="2:10" x14ac:dyDescent="0.2">
      <c r="B2065" s="92">
        <v>2.8541669999999999</v>
      </c>
      <c r="C2065" s="92">
        <v>699.48519999999996</v>
      </c>
      <c r="D2065" s="92">
        <v>90.893000000000001</v>
      </c>
      <c r="E2065" s="92"/>
      <c r="F2065" s="92">
        <v>2.8541669999999999</v>
      </c>
      <c r="G2065" s="92">
        <v>699.51289999999995</v>
      </c>
      <c r="H2065" s="92">
        <v>90.611199999999997</v>
      </c>
      <c r="I2065" s="92"/>
      <c r="J2065" s="93">
        <f t="shared" si="39"/>
        <v>2.7699999999981628E-2</v>
      </c>
    </row>
    <row r="2066" spans="2:10" x14ac:dyDescent="0.2">
      <c r="B2066" s="92">
        <v>2.855556</v>
      </c>
      <c r="C2066" s="92">
        <v>699.4547</v>
      </c>
      <c r="D2066" s="92">
        <v>90.796700000000001</v>
      </c>
      <c r="E2066" s="92"/>
      <c r="F2066" s="92">
        <v>2.855556</v>
      </c>
      <c r="G2066" s="92">
        <v>699.51580000000001</v>
      </c>
      <c r="H2066" s="92">
        <v>90.540099999999995</v>
      </c>
      <c r="I2066" s="92"/>
      <c r="J2066" s="93">
        <f t="shared" si="39"/>
        <v>6.1100000000010368E-2</v>
      </c>
    </row>
    <row r="2067" spans="2:10" x14ac:dyDescent="0.2">
      <c r="B2067" s="92">
        <v>2.8569439999999999</v>
      </c>
      <c r="C2067" s="92">
        <v>699.45719999999994</v>
      </c>
      <c r="D2067" s="92">
        <v>90.723200000000006</v>
      </c>
      <c r="E2067" s="92"/>
      <c r="F2067" s="92">
        <v>2.8569439999999999</v>
      </c>
      <c r="G2067" s="92">
        <v>699.52070000000003</v>
      </c>
      <c r="H2067" s="92">
        <v>90.490499999999997</v>
      </c>
      <c r="I2067" s="92"/>
      <c r="J2067" s="93">
        <f t="shared" si="39"/>
        <v>6.350000000009004E-2</v>
      </c>
    </row>
    <row r="2068" spans="2:10" x14ac:dyDescent="0.2">
      <c r="B2068" s="92">
        <v>2.858333</v>
      </c>
      <c r="C2068" s="92">
        <v>699.46540000000005</v>
      </c>
      <c r="D2068" s="92">
        <v>90.664500000000004</v>
      </c>
      <c r="E2068" s="92"/>
      <c r="F2068" s="92">
        <v>2.858333</v>
      </c>
      <c r="G2068" s="92">
        <v>699.49109999999996</v>
      </c>
      <c r="H2068" s="92">
        <v>90.450800000000001</v>
      </c>
      <c r="I2068" s="92"/>
      <c r="J2068" s="93">
        <f t="shared" si="39"/>
        <v>2.5699999999915235E-2</v>
      </c>
    </row>
    <row r="2069" spans="2:10" x14ac:dyDescent="0.2">
      <c r="B2069" s="92">
        <v>2.8597220000000001</v>
      </c>
      <c r="C2069" s="92">
        <v>699.52</v>
      </c>
      <c r="D2069" s="92">
        <v>90.625299999999996</v>
      </c>
      <c r="E2069" s="92"/>
      <c r="F2069" s="92">
        <v>2.8597220000000001</v>
      </c>
      <c r="G2069" s="92">
        <v>699.50990000000002</v>
      </c>
      <c r="H2069" s="92">
        <v>90.426000000000002</v>
      </c>
      <c r="I2069" s="92"/>
      <c r="J2069" s="93">
        <f t="shared" si="39"/>
        <v>1.0099999999965803E-2</v>
      </c>
    </row>
    <row r="2070" spans="2:10" x14ac:dyDescent="0.2">
      <c r="B2070" s="92">
        <v>2.8611110000000002</v>
      </c>
      <c r="C2070" s="92">
        <v>699.49540000000002</v>
      </c>
      <c r="D2070" s="92">
        <v>90.592600000000004</v>
      </c>
      <c r="E2070" s="92"/>
      <c r="F2070" s="92">
        <v>2.8611110000000002</v>
      </c>
      <c r="G2070" s="92">
        <v>699.48889999999994</v>
      </c>
      <c r="H2070" s="92">
        <v>90.397800000000004</v>
      </c>
      <c r="I2070" s="92"/>
      <c r="J2070" s="93">
        <f t="shared" si="39"/>
        <v>6.5000000000736691E-3</v>
      </c>
    </row>
    <row r="2071" spans="2:10" x14ac:dyDescent="0.2">
      <c r="B2071" s="92">
        <v>2.8624999999999998</v>
      </c>
      <c r="C2071" s="92">
        <v>699.49429999999995</v>
      </c>
      <c r="D2071" s="92">
        <v>90.563199999999995</v>
      </c>
      <c r="E2071" s="92"/>
      <c r="F2071" s="92">
        <v>2.8624999999999998</v>
      </c>
      <c r="G2071" s="92">
        <v>699.4837</v>
      </c>
      <c r="H2071" s="92">
        <v>90.384600000000006</v>
      </c>
      <c r="I2071" s="92"/>
      <c r="J2071" s="93">
        <f t="shared" si="39"/>
        <v>1.059999999995398E-2</v>
      </c>
    </row>
    <row r="2072" spans="2:10" x14ac:dyDescent="0.2">
      <c r="B2072" s="92">
        <v>2.8638889999999999</v>
      </c>
      <c r="C2072" s="92">
        <v>699.4597</v>
      </c>
      <c r="D2072" s="92">
        <v>90.545299999999997</v>
      </c>
      <c r="E2072" s="92"/>
      <c r="F2072" s="92">
        <v>2.8638889999999999</v>
      </c>
      <c r="G2072" s="92">
        <v>699.48659999999995</v>
      </c>
      <c r="H2072" s="92">
        <v>90.369699999999995</v>
      </c>
      <c r="I2072" s="92"/>
      <c r="J2072" s="93">
        <f t="shared" si="39"/>
        <v>2.6899999999955071E-2</v>
      </c>
    </row>
    <row r="2073" spans="2:10" x14ac:dyDescent="0.2">
      <c r="B2073" s="92">
        <v>2.865278</v>
      </c>
      <c r="C2073" s="92">
        <v>699.44619999999998</v>
      </c>
      <c r="D2073" s="92">
        <v>90.527299999999997</v>
      </c>
      <c r="E2073" s="92"/>
      <c r="F2073" s="92">
        <v>2.865278</v>
      </c>
      <c r="G2073" s="92">
        <v>699.53740000000005</v>
      </c>
      <c r="H2073" s="92">
        <v>90.356499999999997</v>
      </c>
      <c r="I2073" s="92"/>
      <c r="J2073" s="93">
        <f t="shared" si="39"/>
        <v>9.1200000000071668E-2</v>
      </c>
    </row>
    <row r="2074" spans="2:10" x14ac:dyDescent="0.2">
      <c r="B2074" s="92">
        <v>2.8666670000000001</v>
      </c>
      <c r="C2074" s="92">
        <v>699.49509999999998</v>
      </c>
      <c r="D2074" s="92">
        <v>90.522400000000005</v>
      </c>
      <c r="E2074" s="92"/>
      <c r="F2074" s="92">
        <v>2.8666670000000001</v>
      </c>
      <c r="G2074" s="92">
        <v>699.49260000000004</v>
      </c>
      <c r="H2074" s="92">
        <v>90.346599999999995</v>
      </c>
      <c r="I2074" s="92"/>
      <c r="J2074" s="93">
        <f t="shared" si="39"/>
        <v>2.4999999999408828E-3</v>
      </c>
    </row>
    <row r="2075" spans="2:10" x14ac:dyDescent="0.2">
      <c r="B2075" s="92">
        <v>2.8680560000000002</v>
      </c>
      <c r="C2075" s="92">
        <v>699.51890000000003</v>
      </c>
      <c r="D2075" s="92">
        <v>90.519199999999998</v>
      </c>
      <c r="E2075" s="92"/>
      <c r="F2075" s="92">
        <v>2.8680560000000002</v>
      </c>
      <c r="G2075" s="92">
        <v>699.50779999999997</v>
      </c>
      <c r="H2075" s="92">
        <v>90.348200000000006</v>
      </c>
      <c r="I2075" s="92"/>
      <c r="J2075" s="93">
        <f t="shared" si="39"/>
        <v>1.1100000000055843E-2</v>
      </c>
    </row>
    <row r="2076" spans="2:10" x14ac:dyDescent="0.2">
      <c r="B2076" s="92">
        <v>2.8694440000000001</v>
      </c>
      <c r="C2076" s="92">
        <v>699.46730000000002</v>
      </c>
      <c r="D2076" s="92">
        <v>90.499600000000001</v>
      </c>
      <c r="E2076" s="92"/>
      <c r="F2076" s="92">
        <v>2.8694440000000001</v>
      </c>
      <c r="G2076" s="92">
        <v>699.51689999999996</v>
      </c>
      <c r="H2076" s="92">
        <v>90.3416</v>
      </c>
      <c r="I2076" s="92"/>
      <c r="J2076" s="93">
        <f t="shared" si="39"/>
        <v>4.9599999999941247E-2</v>
      </c>
    </row>
    <row r="2077" spans="2:10" x14ac:dyDescent="0.2">
      <c r="B2077" s="92">
        <v>2.8708330000000002</v>
      </c>
      <c r="C2077" s="92">
        <v>699.44749999999999</v>
      </c>
      <c r="D2077" s="92">
        <v>90.501199999999997</v>
      </c>
      <c r="E2077" s="92"/>
      <c r="F2077" s="92">
        <v>2.8708330000000002</v>
      </c>
      <c r="G2077" s="92">
        <v>699.53530000000001</v>
      </c>
      <c r="H2077" s="92">
        <v>90.334999999999994</v>
      </c>
      <c r="I2077" s="92"/>
      <c r="J2077" s="93">
        <f t="shared" si="39"/>
        <v>8.7800000000015643E-2</v>
      </c>
    </row>
    <row r="2078" spans="2:10" x14ac:dyDescent="0.2">
      <c r="B2078" s="92">
        <v>2.8722219999999998</v>
      </c>
      <c r="C2078" s="92">
        <v>699.51499999999999</v>
      </c>
      <c r="D2078" s="92">
        <v>90.492999999999995</v>
      </c>
      <c r="E2078" s="92"/>
      <c r="F2078" s="92">
        <v>2.8722219999999998</v>
      </c>
      <c r="G2078" s="92">
        <v>699.54340000000002</v>
      </c>
      <c r="H2078" s="92">
        <v>90.333299999999994</v>
      </c>
      <c r="I2078" s="92"/>
      <c r="J2078" s="93">
        <f t="shared" si="39"/>
        <v>2.8400000000033288E-2</v>
      </c>
    </row>
    <row r="2079" spans="2:10" x14ac:dyDescent="0.2">
      <c r="B2079" s="92">
        <v>2.8736109999999999</v>
      </c>
      <c r="C2079" s="92">
        <v>699.53719999999998</v>
      </c>
      <c r="D2079" s="92">
        <v>90.494699999999995</v>
      </c>
      <c r="E2079" s="92"/>
      <c r="F2079" s="92">
        <v>2.8736109999999999</v>
      </c>
      <c r="G2079" s="92">
        <v>699.52719999999999</v>
      </c>
      <c r="H2079" s="92">
        <v>90.336699999999993</v>
      </c>
      <c r="I2079" s="92"/>
      <c r="J2079" s="93">
        <f t="shared" si="39"/>
        <v>9.9999999999909051E-3</v>
      </c>
    </row>
    <row r="2080" spans="2:10" x14ac:dyDescent="0.2">
      <c r="B2080" s="92">
        <v>2.875</v>
      </c>
      <c r="C2080" s="92">
        <v>699.52639999999997</v>
      </c>
      <c r="D2080" s="92">
        <v>90.501199999999997</v>
      </c>
      <c r="E2080" s="92"/>
      <c r="F2080" s="92">
        <v>2.875</v>
      </c>
      <c r="G2080" s="92">
        <v>699.59479999999996</v>
      </c>
      <c r="H2080" s="92">
        <v>90.333299999999994</v>
      </c>
      <c r="I2080" s="92"/>
      <c r="J2080" s="93">
        <f t="shared" si="39"/>
        <v>6.8399999999996908E-2</v>
      </c>
    </row>
    <row r="2081" spans="2:10" x14ac:dyDescent="0.2">
      <c r="B2081" s="92">
        <v>2.8763890000000001</v>
      </c>
      <c r="C2081" s="92">
        <v>699.55179999999996</v>
      </c>
      <c r="D2081" s="92">
        <v>90.492999999999995</v>
      </c>
      <c r="E2081" s="92"/>
      <c r="F2081" s="92">
        <v>2.8763890000000001</v>
      </c>
      <c r="G2081" s="92">
        <v>699.61720000000003</v>
      </c>
      <c r="H2081" s="92">
        <v>90.338300000000004</v>
      </c>
      <c r="I2081" s="92"/>
      <c r="J2081" s="93">
        <f t="shared" si="39"/>
        <v>6.5400000000067848E-2</v>
      </c>
    </row>
    <row r="2082" spans="2:10" x14ac:dyDescent="0.2">
      <c r="B2082" s="92">
        <v>2.8777780000000002</v>
      </c>
      <c r="C2082" s="92">
        <v>699.55550000000005</v>
      </c>
      <c r="D2082" s="92">
        <v>90.497900000000001</v>
      </c>
      <c r="E2082" s="92"/>
      <c r="F2082" s="92">
        <v>2.8777780000000002</v>
      </c>
      <c r="G2082" s="92">
        <v>699.62180000000001</v>
      </c>
      <c r="H2082" s="92">
        <v>90.338300000000004</v>
      </c>
      <c r="I2082" s="92"/>
      <c r="J2082" s="93">
        <f t="shared" si="39"/>
        <v>6.6299999999955617E-2</v>
      </c>
    </row>
    <row r="2083" spans="2:10" x14ac:dyDescent="0.2">
      <c r="B2083" s="92">
        <v>2.8791669999999998</v>
      </c>
      <c r="C2083" s="92">
        <v>699.55420000000004</v>
      </c>
      <c r="D2083" s="92">
        <v>90.496300000000005</v>
      </c>
      <c r="E2083" s="92"/>
      <c r="F2083" s="92">
        <v>2.8791669999999998</v>
      </c>
      <c r="G2083" s="92">
        <v>699.56679999999994</v>
      </c>
      <c r="H2083" s="92">
        <v>90.333299999999994</v>
      </c>
      <c r="I2083" s="92"/>
      <c r="J2083" s="93">
        <f t="shared" si="39"/>
        <v>1.2599999999906686E-2</v>
      </c>
    </row>
    <row r="2084" spans="2:10" x14ac:dyDescent="0.2">
      <c r="B2084" s="92">
        <v>2.8805559999999999</v>
      </c>
      <c r="C2084" s="92">
        <v>699.56569999999999</v>
      </c>
      <c r="D2084" s="92">
        <v>90.504499999999993</v>
      </c>
      <c r="E2084" s="92"/>
      <c r="F2084" s="92">
        <v>2.8805559999999999</v>
      </c>
      <c r="G2084" s="92">
        <v>699.60310000000004</v>
      </c>
      <c r="H2084" s="92">
        <v>90.338300000000004</v>
      </c>
      <c r="I2084" s="92"/>
      <c r="J2084" s="93">
        <f t="shared" si="39"/>
        <v>3.7400000000047839E-2</v>
      </c>
    </row>
    <row r="2085" spans="2:10" x14ac:dyDescent="0.2">
      <c r="B2085" s="92">
        <v>2.8819439999999998</v>
      </c>
      <c r="C2085" s="92">
        <v>699.60619999999994</v>
      </c>
      <c r="D2085" s="92">
        <v>90.509399999999999</v>
      </c>
      <c r="E2085" s="92"/>
      <c r="F2085" s="92">
        <v>2.8819439999999998</v>
      </c>
      <c r="G2085" s="92">
        <v>699.65790000000004</v>
      </c>
      <c r="H2085" s="92">
        <v>90.336699999999993</v>
      </c>
      <c r="I2085" s="92"/>
      <c r="J2085" s="93">
        <f t="shared" si="39"/>
        <v>5.1700000000096225E-2</v>
      </c>
    </row>
    <row r="2086" spans="2:10" x14ac:dyDescent="0.2">
      <c r="B2086" s="92">
        <v>2.8833329999999999</v>
      </c>
      <c r="C2086" s="92">
        <v>699.6232</v>
      </c>
      <c r="D2086" s="92">
        <v>90.510999999999996</v>
      </c>
      <c r="E2086" s="92"/>
      <c r="F2086" s="92">
        <v>2.8833329999999999</v>
      </c>
      <c r="G2086" s="92">
        <v>699.6069</v>
      </c>
      <c r="H2086" s="92">
        <v>90.343299999999999</v>
      </c>
      <c r="I2086" s="92"/>
      <c r="J2086" s="93">
        <f t="shared" si="39"/>
        <v>1.6300000000001091E-2</v>
      </c>
    </row>
    <row r="2087" spans="2:10" x14ac:dyDescent="0.2">
      <c r="B2087" s="92">
        <v>2.884722</v>
      </c>
      <c r="C2087" s="92">
        <v>699.57579999999996</v>
      </c>
      <c r="D2087" s="92">
        <v>90.510999999999996</v>
      </c>
      <c r="E2087" s="92"/>
      <c r="F2087" s="92">
        <v>2.884722</v>
      </c>
      <c r="G2087" s="92">
        <v>699.66510000000005</v>
      </c>
      <c r="H2087" s="92">
        <v>90.34</v>
      </c>
      <c r="I2087" s="92"/>
      <c r="J2087" s="93">
        <f t="shared" si="39"/>
        <v>8.930000000009386E-2</v>
      </c>
    </row>
    <row r="2088" spans="2:10" x14ac:dyDescent="0.2">
      <c r="B2088" s="92">
        <v>2.8861110000000001</v>
      </c>
      <c r="C2088" s="92">
        <v>699.60490000000004</v>
      </c>
      <c r="D2088" s="92">
        <v>90.5077</v>
      </c>
      <c r="E2088" s="92"/>
      <c r="F2088" s="92">
        <v>2.8861110000000001</v>
      </c>
      <c r="G2088" s="92">
        <v>699.65009999999995</v>
      </c>
      <c r="H2088" s="92">
        <v>90.344899999999996</v>
      </c>
      <c r="I2088" s="92"/>
      <c r="J2088" s="93">
        <f t="shared" si="39"/>
        <v>4.5199999999908869E-2</v>
      </c>
    </row>
    <row r="2089" spans="2:10" x14ac:dyDescent="0.2">
      <c r="B2089" s="92">
        <v>2.8875000000000002</v>
      </c>
      <c r="C2089" s="92">
        <v>699.58109999999999</v>
      </c>
      <c r="D2089" s="92">
        <v>90.510999999999996</v>
      </c>
      <c r="E2089" s="92"/>
      <c r="F2089" s="92">
        <v>2.8875000000000002</v>
      </c>
      <c r="G2089" s="92">
        <v>699.66219999999998</v>
      </c>
      <c r="H2089" s="92">
        <v>90.354799999999997</v>
      </c>
      <c r="I2089" s="92"/>
      <c r="J2089" s="93">
        <f t="shared" si="39"/>
        <v>8.1099999999992178E-2</v>
      </c>
    </row>
    <row r="2090" spans="2:10" x14ac:dyDescent="0.2">
      <c r="B2090" s="92">
        <v>2.8888889999999998</v>
      </c>
      <c r="C2090" s="92">
        <v>699.62559999999996</v>
      </c>
      <c r="D2090" s="92">
        <v>90.514300000000006</v>
      </c>
      <c r="E2090" s="92"/>
      <c r="F2090" s="92">
        <v>2.8888889999999998</v>
      </c>
      <c r="G2090" s="92">
        <v>699.73419999999999</v>
      </c>
      <c r="H2090" s="92">
        <v>90.344899999999996</v>
      </c>
      <c r="I2090" s="92"/>
      <c r="J2090" s="93">
        <f t="shared" si="39"/>
        <v>0.10860000000002401</v>
      </c>
    </row>
    <row r="2091" spans="2:10" x14ac:dyDescent="0.2">
      <c r="B2091" s="92">
        <v>2.8902779999999999</v>
      </c>
      <c r="C2091" s="92">
        <v>699.62220000000002</v>
      </c>
      <c r="D2091" s="92">
        <v>90.530600000000007</v>
      </c>
      <c r="E2091" s="92"/>
      <c r="F2091" s="92">
        <v>2.8902779999999999</v>
      </c>
      <c r="G2091" s="92">
        <v>699.71479999999997</v>
      </c>
      <c r="H2091" s="92">
        <v>90.356499999999997</v>
      </c>
      <c r="I2091" s="92"/>
      <c r="J2091" s="93">
        <f t="shared" si="39"/>
        <v>9.2599999999947613E-2</v>
      </c>
    </row>
    <row r="2092" spans="2:10" x14ac:dyDescent="0.2">
      <c r="B2092" s="92">
        <v>2.891667</v>
      </c>
      <c r="C2092" s="92">
        <v>699.65250000000003</v>
      </c>
      <c r="D2092" s="92">
        <v>90.528999999999996</v>
      </c>
      <c r="E2092" s="92"/>
      <c r="F2092" s="92">
        <v>2.891667</v>
      </c>
      <c r="G2092" s="92">
        <v>694.85419999999999</v>
      </c>
      <c r="H2092" s="92">
        <v>90.356499999999997</v>
      </c>
      <c r="I2092" s="92"/>
      <c r="J2092" s="93">
        <f t="shared" si="39"/>
        <v>4.7983000000000402</v>
      </c>
    </row>
    <row r="2093" spans="2:10" x14ac:dyDescent="0.2">
      <c r="B2093" s="92">
        <v>2.8930560000000001</v>
      </c>
      <c r="C2093" s="92">
        <v>673.93920000000003</v>
      </c>
      <c r="D2093" s="92">
        <v>90.515900000000002</v>
      </c>
      <c r="E2093" s="92"/>
      <c r="F2093" s="92">
        <v>2.8930560000000001</v>
      </c>
      <c r="G2093" s="92">
        <v>604.92219999999998</v>
      </c>
      <c r="H2093" s="92">
        <v>90.316800000000001</v>
      </c>
      <c r="I2093" s="92"/>
      <c r="J2093" s="93">
        <f t="shared" si="39"/>
        <v>69.017000000000053</v>
      </c>
    </row>
    <row r="2094" spans="2:10" x14ac:dyDescent="0.2">
      <c r="B2094" s="92">
        <v>2.894444</v>
      </c>
      <c r="C2094" s="92">
        <v>561.38</v>
      </c>
      <c r="D2094" s="92">
        <v>90.476699999999994</v>
      </c>
      <c r="E2094" s="92"/>
      <c r="F2094" s="92">
        <v>2.894444</v>
      </c>
      <c r="G2094" s="92">
        <v>483.59989999999999</v>
      </c>
      <c r="H2094" s="92">
        <v>90.267200000000003</v>
      </c>
      <c r="I2094" s="92"/>
      <c r="J2094" s="93">
        <f t="shared" si="39"/>
        <v>77.780100000000004</v>
      </c>
    </row>
    <row r="2095" spans="2:10" x14ac:dyDescent="0.2">
      <c r="B2095" s="92">
        <v>2.8958330000000001</v>
      </c>
      <c r="C2095" s="92">
        <v>445.52980000000002</v>
      </c>
      <c r="D2095" s="92">
        <v>90.426100000000005</v>
      </c>
      <c r="E2095" s="92"/>
      <c r="F2095" s="92">
        <v>2.8958330000000001</v>
      </c>
      <c r="G2095" s="92">
        <v>377.1429</v>
      </c>
      <c r="H2095" s="92">
        <v>90.191100000000006</v>
      </c>
      <c r="I2095" s="92"/>
      <c r="J2095" s="93">
        <f t="shared" si="39"/>
        <v>68.386900000000026</v>
      </c>
    </row>
    <row r="2096" spans="2:10" x14ac:dyDescent="0.2">
      <c r="B2096" s="92">
        <v>2.8972220000000002</v>
      </c>
      <c r="C2096" s="92">
        <v>330.81319999999999</v>
      </c>
      <c r="D2096" s="92">
        <v>90.32</v>
      </c>
      <c r="E2096" s="92"/>
      <c r="F2096" s="92">
        <v>2.8972220000000002</v>
      </c>
      <c r="G2096" s="92">
        <v>254.768</v>
      </c>
      <c r="H2096" s="92">
        <v>90.019099999999995</v>
      </c>
      <c r="I2096" s="92"/>
      <c r="J2096" s="93">
        <f t="shared" si="39"/>
        <v>76.045199999999994</v>
      </c>
    </row>
    <row r="2097" spans="2:10" x14ac:dyDescent="0.2">
      <c r="B2097" s="92">
        <v>2.8986109999999998</v>
      </c>
      <c r="C2097" s="92">
        <v>222.53809999999999</v>
      </c>
      <c r="D2097" s="92">
        <v>90.111099999999993</v>
      </c>
      <c r="E2097" s="92"/>
      <c r="F2097" s="92">
        <v>2.8986109999999998</v>
      </c>
      <c r="G2097" s="92">
        <v>149.12620000000001</v>
      </c>
      <c r="H2097" s="92">
        <v>89.751199999999997</v>
      </c>
      <c r="I2097" s="92"/>
      <c r="J2097" s="93">
        <f t="shared" si="39"/>
        <v>73.411899999999974</v>
      </c>
    </row>
    <row r="2098" spans="2:10" x14ac:dyDescent="0.2">
      <c r="B2098" s="92">
        <v>2.9</v>
      </c>
      <c r="C2098" s="92">
        <v>115.8519</v>
      </c>
      <c r="D2098" s="92">
        <v>89.779799999999994</v>
      </c>
      <c r="E2098" s="92"/>
      <c r="F2098" s="92">
        <v>2.9</v>
      </c>
      <c r="G2098" s="92">
        <v>73.096800000000002</v>
      </c>
      <c r="H2098" s="92">
        <v>89.395600000000002</v>
      </c>
      <c r="I2098" s="92"/>
      <c r="J2098" s="93">
        <f t="shared" si="39"/>
        <v>42.755099999999999</v>
      </c>
    </row>
    <row r="2099" spans="2:10" x14ac:dyDescent="0.2">
      <c r="B2099" s="92">
        <v>2.901389</v>
      </c>
      <c r="C2099" s="92">
        <v>56.620199999999997</v>
      </c>
      <c r="D2099" s="92">
        <v>89.378299999999996</v>
      </c>
      <c r="E2099" s="92"/>
      <c r="F2099" s="92">
        <v>2.901389</v>
      </c>
      <c r="G2099" s="92">
        <v>35.043199999999999</v>
      </c>
      <c r="H2099" s="92">
        <v>89.008600000000001</v>
      </c>
      <c r="I2099" s="92"/>
      <c r="J2099" s="93">
        <f t="shared" si="39"/>
        <v>21.576999999999998</v>
      </c>
    </row>
    <row r="2100" spans="2:10" x14ac:dyDescent="0.2">
      <c r="B2100" s="92">
        <v>2.9027780000000001</v>
      </c>
      <c r="C2100" s="92">
        <v>26.8157</v>
      </c>
      <c r="D2100" s="92">
        <v>88.942700000000002</v>
      </c>
      <c r="E2100" s="92"/>
      <c r="F2100" s="92">
        <v>2.9027780000000001</v>
      </c>
      <c r="G2100" s="92">
        <v>17.6677</v>
      </c>
      <c r="H2100" s="92">
        <v>88.605000000000004</v>
      </c>
      <c r="I2100" s="92"/>
      <c r="J2100" s="93">
        <f t="shared" si="39"/>
        <v>9.1479999999999997</v>
      </c>
    </row>
    <row r="2101" spans="2:10" x14ac:dyDescent="0.2">
      <c r="B2101" s="92">
        <v>2.9041670000000002</v>
      </c>
      <c r="C2101" s="92">
        <v>14.836499999999999</v>
      </c>
      <c r="D2101" s="92">
        <v>88.518600000000006</v>
      </c>
      <c r="E2101" s="92"/>
      <c r="F2101" s="92">
        <v>2.9041670000000002</v>
      </c>
      <c r="G2101" s="92">
        <v>13.6731</v>
      </c>
      <c r="H2101" s="92">
        <v>88.249399999999994</v>
      </c>
      <c r="I2101" s="92"/>
      <c r="J2101" s="93">
        <f t="shared" si="39"/>
        <v>1.1633999999999993</v>
      </c>
    </row>
    <row r="2102" spans="2:10" x14ac:dyDescent="0.2">
      <c r="B2102" s="92">
        <v>2.9055559999999998</v>
      </c>
      <c r="C2102" s="92">
        <v>13.4383</v>
      </c>
      <c r="D2102" s="92">
        <v>88.153199999999998</v>
      </c>
      <c r="E2102" s="92"/>
      <c r="F2102" s="92">
        <v>2.9055559999999998</v>
      </c>
      <c r="G2102" s="92">
        <v>13.6485</v>
      </c>
      <c r="H2102" s="92">
        <v>87.948400000000007</v>
      </c>
      <c r="I2102" s="92"/>
      <c r="J2102" s="93">
        <f t="shared" si="39"/>
        <v>0.21020000000000039</v>
      </c>
    </row>
    <row r="2103" spans="2:10" x14ac:dyDescent="0.2">
      <c r="B2103" s="92">
        <v>2.9069440000000002</v>
      </c>
      <c r="C2103" s="92">
        <v>13.4361</v>
      </c>
      <c r="D2103" s="92">
        <v>87.866200000000006</v>
      </c>
      <c r="E2103" s="92"/>
      <c r="F2103" s="92">
        <v>2.9069440000000002</v>
      </c>
      <c r="G2103" s="92">
        <v>13.654299999999999</v>
      </c>
      <c r="H2103" s="92">
        <v>87.725099999999998</v>
      </c>
      <c r="I2103" s="92"/>
      <c r="J2103" s="93">
        <f t="shared" si="39"/>
        <v>0.21819999999999951</v>
      </c>
    </row>
    <row r="2104" spans="2:10" x14ac:dyDescent="0.2">
      <c r="B2104" s="92">
        <v>2.9083329999999998</v>
      </c>
      <c r="C2104" s="92">
        <v>13.482200000000001</v>
      </c>
      <c r="D2104" s="92">
        <v>87.629800000000003</v>
      </c>
      <c r="E2104" s="92"/>
      <c r="F2104" s="92">
        <v>2.9083329999999998</v>
      </c>
      <c r="G2104" s="92">
        <v>13.6882</v>
      </c>
      <c r="H2104" s="92">
        <v>87.553100000000001</v>
      </c>
      <c r="I2104" s="92"/>
      <c r="J2104" s="93">
        <f t="shared" si="39"/>
        <v>0.20599999999999952</v>
      </c>
    </row>
    <row r="2105" spans="2:10" x14ac:dyDescent="0.2">
      <c r="B2105" s="92">
        <v>2.9097219999999999</v>
      </c>
      <c r="C2105" s="92">
        <v>13.4335</v>
      </c>
      <c r="D2105" s="92">
        <v>87.4602</v>
      </c>
      <c r="E2105" s="92"/>
      <c r="F2105" s="92">
        <v>2.9097219999999999</v>
      </c>
      <c r="G2105" s="92">
        <v>13.6953</v>
      </c>
      <c r="H2105" s="92">
        <v>87.4208</v>
      </c>
      <c r="I2105" s="92"/>
      <c r="J2105" s="93">
        <f t="shared" si="39"/>
        <v>0.26179999999999914</v>
      </c>
    </row>
    <row r="2106" spans="2:10" x14ac:dyDescent="0.2">
      <c r="B2106" s="92">
        <v>2.911111</v>
      </c>
      <c r="C2106" s="92">
        <v>13.433999999999999</v>
      </c>
      <c r="D2106" s="92">
        <v>87.329800000000006</v>
      </c>
      <c r="E2106" s="92"/>
      <c r="F2106" s="92">
        <v>2.911111</v>
      </c>
      <c r="G2106" s="92">
        <v>13.6846</v>
      </c>
      <c r="H2106" s="92">
        <v>87.331500000000005</v>
      </c>
      <c r="I2106" s="92"/>
      <c r="J2106" s="93">
        <f t="shared" si="39"/>
        <v>0.25060000000000038</v>
      </c>
    </row>
    <row r="2107" spans="2:10" x14ac:dyDescent="0.2">
      <c r="B2107" s="92">
        <v>2.9125000000000001</v>
      </c>
      <c r="C2107" s="92">
        <v>13.426399999999999</v>
      </c>
      <c r="D2107" s="92">
        <v>87.233599999999996</v>
      </c>
      <c r="E2107" s="92"/>
      <c r="F2107" s="92">
        <v>2.9125000000000001</v>
      </c>
      <c r="G2107" s="92">
        <v>13.6531</v>
      </c>
      <c r="H2107" s="92">
        <v>87.266999999999996</v>
      </c>
      <c r="I2107" s="92"/>
      <c r="J2107" s="93">
        <f t="shared" si="39"/>
        <v>0.22670000000000101</v>
      </c>
    </row>
    <row r="2108" spans="2:10" x14ac:dyDescent="0.2">
      <c r="B2108" s="92">
        <v>2.9138890000000002</v>
      </c>
      <c r="C2108" s="92">
        <v>13.443099999999999</v>
      </c>
      <c r="D2108" s="92">
        <v>87.160200000000003</v>
      </c>
      <c r="E2108" s="92"/>
      <c r="F2108" s="92">
        <v>2.9138890000000002</v>
      </c>
      <c r="G2108" s="92">
        <v>13.684900000000001</v>
      </c>
      <c r="H2108" s="92">
        <v>87.224000000000004</v>
      </c>
      <c r="I2108" s="92"/>
      <c r="J2108" s="93">
        <f t="shared" si="39"/>
        <v>0.24180000000000135</v>
      </c>
    </row>
    <row r="2109" spans="2:10" x14ac:dyDescent="0.2">
      <c r="B2109" s="92">
        <v>2.9152779999999998</v>
      </c>
      <c r="C2109" s="92">
        <v>13.4268</v>
      </c>
      <c r="D2109" s="92">
        <v>87.104799999999997</v>
      </c>
      <c r="E2109" s="92"/>
      <c r="F2109" s="92">
        <v>2.9152779999999998</v>
      </c>
      <c r="G2109" s="92">
        <v>13.6416</v>
      </c>
      <c r="H2109" s="92">
        <v>87.187600000000003</v>
      </c>
      <c r="I2109" s="92"/>
      <c r="J2109" s="93">
        <f t="shared" si="39"/>
        <v>0.21480000000000032</v>
      </c>
    </row>
    <row r="2110" spans="2:10" x14ac:dyDescent="0.2">
      <c r="B2110" s="92">
        <v>2.9166669999999999</v>
      </c>
      <c r="C2110" s="92">
        <v>13.4511</v>
      </c>
      <c r="D2110" s="92">
        <v>87.065700000000007</v>
      </c>
      <c r="E2110" s="92"/>
      <c r="F2110" s="92">
        <v>2.9166669999999999</v>
      </c>
      <c r="G2110" s="92">
        <v>13.671900000000001</v>
      </c>
      <c r="H2110" s="92">
        <v>87.161199999999994</v>
      </c>
      <c r="I2110" s="92"/>
      <c r="J2110" s="93">
        <f t="shared" si="39"/>
        <v>0.22080000000000055</v>
      </c>
    </row>
    <row r="2111" spans="2:10" x14ac:dyDescent="0.2">
      <c r="B2111" s="92">
        <v>2.918056</v>
      </c>
      <c r="C2111" s="92">
        <v>13.447800000000001</v>
      </c>
      <c r="D2111" s="92">
        <v>87.042900000000003</v>
      </c>
      <c r="E2111" s="92"/>
      <c r="F2111" s="92">
        <v>2.918056</v>
      </c>
      <c r="G2111" s="92">
        <v>13.683400000000001</v>
      </c>
      <c r="H2111" s="92">
        <v>87.136300000000006</v>
      </c>
      <c r="I2111" s="92"/>
      <c r="J2111" s="93">
        <f t="shared" si="39"/>
        <v>0.23559999999999981</v>
      </c>
    </row>
    <row r="2112" spans="2:10" x14ac:dyDescent="0.2">
      <c r="B2112" s="92">
        <v>2.9194439999999999</v>
      </c>
      <c r="C2112" s="92">
        <v>13.423400000000001</v>
      </c>
      <c r="D2112" s="92">
        <v>87.021699999999996</v>
      </c>
      <c r="E2112" s="92"/>
      <c r="F2112" s="92">
        <v>2.9194439999999999</v>
      </c>
      <c r="G2112" s="92">
        <v>13.679600000000001</v>
      </c>
      <c r="H2112" s="92">
        <v>87.126400000000004</v>
      </c>
      <c r="I2112" s="92"/>
      <c r="J2112" s="93">
        <f t="shared" si="39"/>
        <v>0.25619999999999976</v>
      </c>
    </row>
    <row r="2113" spans="2:10" x14ac:dyDescent="0.2">
      <c r="B2113" s="92">
        <v>2.920833</v>
      </c>
      <c r="C2113" s="92">
        <v>13.4091</v>
      </c>
      <c r="D2113" s="92">
        <v>87.005399999999995</v>
      </c>
      <c r="E2113" s="92"/>
      <c r="F2113" s="92">
        <v>2.920833</v>
      </c>
      <c r="G2113" s="92">
        <v>13.676600000000001</v>
      </c>
      <c r="H2113" s="92">
        <v>87.108199999999997</v>
      </c>
      <c r="I2113" s="92"/>
      <c r="J2113" s="93">
        <f t="shared" si="39"/>
        <v>0.26750000000000007</v>
      </c>
    </row>
    <row r="2114" spans="2:10" x14ac:dyDescent="0.2">
      <c r="B2114" s="92">
        <v>2.9222220000000001</v>
      </c>
      <c r="C2114" s="92">
        <v>13.435600000000001</v>
      </c>
      <c r="D2114" s="92">
        <v>87.002099999999999</v>
      </c>
      <c r="E2114" s="92"/>
      <c r="F2114" s="92">
        <v>2.9222220000000001</v>
      </c>
      <c r="G2114" s="92">
        <v>13.635899999999999</v>
      </c>
      <c r="H2114" s="92">
        <v>87.094999999999999</v>
      </c>
      <c r="I2114" s="92"/>
      <c r="J2114" s="93">
        <f t="shared" si="39"/>
        <v>0.20029999999999859</v>
      </c>
    </row>
    <row r="2115" spans="2:10" x14ac:dyDescent="0.2">
      <c r="B2115" s="92">
        <v>2.9236110000000002</v>
      </c>
      <c r="C2115" s="92">
        <v>13.411300000000001</v>
      </c>
      <c r="D2115" s="92">
        <v>86.979299999999995</v>
      </c>
      <c r="E2115" s="92"/>
      <c r="F2115" s="92">
        <v>2.9236110000000002</v>
      </c>
      <c r="G2115" s="92">
        <v>13.6836</v>
      </c>
      <c r="H2115" s="92">
        <v>87.081800000000001</v>
      </c>
      <c r="I2115" s="92"/>
      <c r="J2115" s="93">
        <f t="shared" si="39"/>
        <v>0.27229999999999954</v>
      </c>
    </row>
    <row r="2116" spans="2:10" x14ac:dyDescent="0.2">
      <c r="B2116" s="92">
        <v>2.9249999999999998</v>
      </c>
      <c r="C2116" s="92">
        <v>13.4244</v>
      </c>
      <c r="D2116" s="92">
        <v>86.948300000000003</v>
      </c>
      <c r="E2116" s="92"/>
      <c r="F2116" s="92">
        <v>2.9249999999999998</v>
      </c>
      <c r="G2116" s="92">
        <v>13.6678</v>
      </c>
      <c r="H2116" s="92">
        <v>87.050299999999993</v>
      </c>
      <c r="I2116" s="92"/>
      <c r="J2116" s="93">
        <f t="shared" si="39"/>
        <v>0.24339999999999939</v>
      </c>
    </row>
    <row r="2117" spans="2:10" x14ac:dyDescent="0.2">
      <c r="B2117" s="92">
        <v>2.9263889999999999</v>
      </c>
      <c r="C2117" s="92">
        <v>13.413</v>
      </c>
      <c r="D2117" s="92">
        <v>86.897800000000004</v>
      </c>
      <c r="E2117" s="92"/>
      <c r="F2117" s="92">
        <v>2.9263889999999999</v>
      </c>
      <c r="G2117" s="92">
        <v>13.6778</v>
      </c>
      <c r="H2117" s="92">
        <v>86.990799999999993</v>
      </c>
      <c r="I2117" s="92"/>
      <c r="J2117" s="93">
        <f t="shared" si="39"/>
        <v>0.26479999999999926</v>
      </c>
    </row>
    <row r="2118" spans="2:10" x14ac:dyDescent="0.2">
      <c r="B2118" s="92">
        <v>2.927778</v>
      </c>
      <c r="C2118" s="92">
        <v>13.4953</v>
      </c>
      <c r="D2118" s="92">
        <v>86.853800000000007</v>
      </c>
      <c r="E2118" s="92"/>
      <c r="F2118" s="92">
        <v>2.927778</v>
      </c>
      <c r="G2118" s="92">
        <v>13.6693</v>
      </c>
      <c r="H2118" s="92">
        <v>86.929599999999994</v>
      </c>
      <c r="I2118" s="92"/>
      <c r="J2118" s="93">
        <f t="shared" si="39"/>
        <v>0.17399999999999949</v>
      </c>
    </row>
    <row r="2119" spans="2:10" x14ac:dyDescent="0.2">
      <c r="B2119" s="92">
        <v>2.9291670000000001</v>
      </c>
      <c r="C2119" s="92">
        <v>13.4374</v>
      </c>
      <c r="D2119" s="92">
        <v>86.795100000000005</v>
      </c>
      <c r="E2119" s="92"/>
      <c r="F2119" s="92">
        <v>2.9291670000000001</v>
      </c>
      <c r="G2119" s="92">
        <v>13.6851</v>
      </c>
      <c r="H2119" s="92">
        <v>86.856800000000007</v>
      </c>
      <c r="I2119" s="92"/>
      <c r="J2119" s="93">
        <f t="shared" si="39"/>
        <v>0.24770000000000003</v>
      </c>
    </row>
    <row r="2120" spans="2:10" x14ac:dyDescent="0.2">
      <c r="B2120" s="92">
        <v>2.9305560000000002</v>
      </c>
      <c r="C2120" s="92">
        <v>13.436199999999999</v>
      </c>
      <c r="D2120" s="92">
        <v>86.747799999999998</v>
      </c>
      <c r="E2120" s="92"/>
      <c r="F2120" s="92">
        <v>2.9305560000000002</v>
      </c>
      <c r="G2120" s="92">
        <v>13.648999999999999</v>
      </c>
      <c r="H2120" s="92">
        <v>86.792299999999997</v>
      </c>
      <c r="I2120" s="92"/>
      <c r="J2120" s="93">
        <f t="shared" si="39"/>
        <v>0.21279999999999966</v>
      </c>
    </row>
    <row r="2121" spans="2:10" x14ac:dyDescent="0.2">
      <c r="B2121" s="92">
        <v>2.9319440000000001</v>
      </c>
      <c r="C2121" s="92">
        <v>13.4298</v>
      </c>
      <c r="D2121" s="92">
        <v>86.700599999999994</v>
      </c>
      <c r="E2121" s="92"/>
      <c r="F2121" s="92">
        <v>2.9319440000000001</v>
      </c>
      <c r="G2121" s="92">
        <v>13.654500000000001</v>
      </c>
      <c r="H2121" s="92">
        <v>86.731099999999998</v>
      </c>
      <c r="I2121" s="92"/>
      <c r="J2121" s="93">
        <f t="shared" si="39"/>
        <v>0.22470000000000034</v>
      </c>
    </row>
    <row r="2122" spans="2:10" x14ac:dyDescent="0.2">
      <c r="B2122" s="92">
        <v>2.9333330000000002</v>
      </c>
      <c r="C2122" s="92">
        <v>13.463100000000001</v>
      </c>
      <c r="D2122" s="92">
        <v>86.677800000000005</v>
      </c>
      <c r="E2122" s="92"/>
      <c r="F2122" s="92">
        <v>2.9333330000000002</v>
      </c>
      <c r="G2122" s="92">
        <v>13.6395</v>
      </c>
      <c r="H2122" s="92">
        <v>86.691400000000002</v>
      </c>
      <c r="I2122" s="92"/>
      <c r="J2122" s="93">
        <f t="shared" si="39"/>
        <v>0.17639999999999922</v>
      </c>
    </row>
    <row r="2123" spans="2:10" x14ac:dyDescent="0.2">
      <c r="B2123" s="92">
        <v>2.9347219999999998</v>
      </c>
      <c r="C2123" s="92">
        <v>13.386200000000001</v>
      </c>
      <c r="D2123" s="92">
        <v>86.658199999999994</v>
      </c>
      <c r="E2123" s="92"/>
      <c r="F2123" s="92">
        <v>2.9347219999999998</v>
      </c>
      <c r="G2123" s="92">
        <v>13.634600000000001</v>
      </c>
      <c r="H2123" s="92">
        <v>86.641800000000003</v>
      </c>
      <c r="I2123" s="92"/>
      <c r="J2123" s="93">
        <f t="shared" ref="J2123:J2150" si="40">+ABS(G2123-C2123)</f>
        <v>0.24840000000000018</v>
      </c>
    </row>
    <row r="2124" spans="2:10" x14ac:dyDescent="0.2">
      <c r="B2124" s="92">
        <v>2.9361109999999999</v>
      </c>
      <c r="C2124" s="92">
        <v>13.3703</v>
      </c>
      <c r="D2124" s="92">
        <v>86.659800000000004</v>
      </c>
      <c r="E2124" s="92"/>
      <c r="F2124" s="92">
        <v>2.9361109999999999</v>
      </c>
      <c r="G2124" s="92">
        <v>13.6509</v>
      </c>
      <c r="H2124" s="92">
        <v>86.615399999999994</v>
      </c>
      <c r="I2124" s="92"/>
      <c r="J2124" s="93">
        <f t="shared" si="40"/>
        <v>0.28059999999999974</v>
      </c>
    </row>
    <row r="2125" spans="2:10" x14ac:dyDescent="0.2">
      <c r="B2125" s="92">
        <v>2.9375</v>
      </c>
      <c r="C2125" s="92">
        <v>13.4223</v>
      </c>
      <c r="D2125" s="92">
        <v>86.664699999999996</v>
      </c>
      <c r="E2125" s="92"/>
      <c r="F2125" s="92">
        <v>2.9375</v>
      </c>
      <c r="G2125" s="92">
        <v>13.6854</v>
      </c>
      <c r="H2125" s="92">
        <v>86.593900000000005</v>
      </c>
      <c r="I2125" s="92"/>
      <c r="J2125" s="93">
        <f t="shared" si="40"/>
        <v>0.26309999999999967</v>
      </c>
    </row>
    <row r="2126" spans="2:10" x14ac:dyDescent="0.2">
      <c r="B2126" s="92">
        <v>2.9388890000000001</v>
      </c>
      <c r="C2126" s="92">
        <v>13.4156</v>
      </c>
      <c r="D2126" s="92">
        <v>86.682599999999994</v>
      </c>
      <c r="E2126" s="92"/>
      <c r="F2126" s="92">
        <v>2.9388890000000001</v>
      </c>
      <c r="G2126" s="92">
        <v>13.6586</v>
      </c>
      <c r="H2126" s="92">
        <v>86.582300000000004</v>
      </c>
      <c r="I2126" s="92"/>
      <c r="J2126" s="93">
        <f t="shared" si="40"/>
        <v>0.24300000000000033</v>
      </c>
    </row>
    <row r="2127" spans="2:10" x14ac:dyDescent="0.2">
      <c r="B2127" s="92">
        <v>2.9402780000000002</v>
      </c>
      <c r="C2127" s="92">
        <v>13.409599999999999</v>
      </c>
      <c r="D2127" s="92">
        <v>86.690799999999996</v>
      </c>
      <c r="E2127" s="92"/>
      <c r="F2127" s="92">
        <v>2.9402780000000002</v>
      </c>
      <c r="G2127" s="92">
        <v>13.650600000000001</v>
      </c>
      <c r="H2127" s="92">
        <v>86.567400000000006</v>
      </c>
      <c r="I2127" s="92"/>
      <c r="J2127" s="93">
        <f t="shared" si="40"/>
        <v>0.24100000000000144</v>
      </c>
    </row>
    <row r="2128" spans="2:10" x14ac:dyDescent="0.2">
      <c r="B2128" s="92">
        <v>2.9416669999999998</v>
      </c>
      <c r="C2128" s="92">
        <v>13.4655</v>
      </c>
      <c r="D2128" s="92">
        <v>86.712000000000003</v>
      </c>
      <c r="E2128" s="92"/>
      <c r="F2128" s="92">
        <v>2.9416669999999998</v>
      </c>
      <c r="G2128" s="92">
        <v>13.655099999999999</v>
      </c>
      <c r="H2128" s="92">
        <v>86.569100000000006</v>
      </c>
      <c r="I2128" s="92"/>
      <c r="J2128" s="93">
        <f t="shared" si="40"/>
        <v>0.18959999999999866</v>
      </c>
    </row>
    <row r="2129" spans="2:10" x14ac:dyDescent="0.2">
      <c r="B2129" s="92">
        <v>2.9430559999999999</v>
      </c>
      <c r="C2129" s="92">
        <v>13.3904</v>
      </c>
      <c r="D2129" s="92">
        <v>86.731499999999997</v>
      </c>
      <c r="E2129" s="92"/>
      <c r="F2129" s="92">
        <v>2.9430559999999999</v>
      </c>
      <c r="G2129" s="92">
        <v>13.682700000000001</v>
      </c>
      <c r="H2129" s="92">
        <v>86.572400000000002</v>
      </c>
      <c r="I2129" s="92"/>
      <c r="J2129" s="93">
        <f t="shared" si="40"/>
        <v>0.29230000000000089</v>
      </c>
    </row>
    <row r="2130" spans="2:10" x14ac:dyDescent="0.2">
      <c r="B2130" s="92">
        <v>2.9444439999999998</v>
      </c>
      <c r="C2130" s="92">
        <v>13.445</v>
      </c>
      <c r="D2130" s="92">
        <v>86.767399999999995</v>
      </c>
      <c r="E2130" s="92"/>
      <c r="F2130" s="92">
        <v>2.9444439999999998</v>
      </c>
      <c r="G2130" s="92">
        <v>13.6829</v>
      </c>
      <c r="H2130" s="92">
        <v>86.570700000000002</v>
      </c>
      <c r="I2130" s="92"/>
      <c r="J2130" s="93">
        <f t="shared" si="40"/>
        <v>0.23789999999999978</v>
      </c>
    </row>
    <row r="2131" spans="2:10" x14ac:dyDescent="0.2">
      <c r="B2131" s="92">
        <v>2.9458329999999999</v>
      </c>
      <c r="C2131" s="92">
        <v>13.3903</v>
      </c>
      <c r="D2131" s="92">
        <v>86.795100000000005</v>
      </c>
      <c r="E2131" s="92"/>
      <c r="F2131" s="92">
        <v>2.9458329999999999</v>
      </c>
      <c r="G2131" s="92">
        <v>13.6266</v>
      </c>
      <c r="H2131" s="92">
        <v>86.575699999999998</v>
      </c>
      <c r="I2131" s="92"/>
      <c r="J2131" s="93">
        <f t="shared" si="40"/>
        <v>0.23629999999999995</v>
      </c>
    </row>
    <row r="2132" spans="2:10" x14ac:dyDescent="0.2">
      <c r="B2132" s="92">
        <v>2.947222</v>
      </c>
      <c r="C2132" s="92">
        <v>13.419499999999999</v>
      </c>
      <c r="D2132" s="92">
        <v>86.821200000000005</v>
      </c>
      <c r="E2132" s="92"/>
      <c r="F2132" s="92">
        <v>2.947222</v>
      </c>
      <c r="G2132" s="92">
        <v>13.6808</v>
      </c>
      <c r="H2132" s="92">
        <v>86.593900000000005</v>
      </c>
      <c r="I2132" s="92"/>
      <c r="J2132" s="93">
        <f t="shared" si="40"/>
        <v>0.26130000000000031</v>
      </c>
    </row>
    <row r="2133" spans="2:10" x14ac:dyDescent="0.2">
      <c r="B2133" s="92">
        <v>2.9486110000000001</v>
      </c>
      <c r="C2133" s="92">
        <v>13.428599999999999</v>
      </c>
      <c r="D2133" s="92">
        <v>86.837500000000006</v>
      </c>
      <c r="E2133" s="92"/>
      <c r="F2133" s="92">
        <v>2.9486110000000001</v>
      </c>
      <c r="G2133" s="92">
        <v>13.664199999999999</v>
      </c>
      <c r="H2133" s="92">
        <v>86.623599999999996</v>
      </c>
      <c r="I2133" s="92"/>
      <c r="J2133" s="93">
        <f t="shared" si="40"/>
        <v>0.23559999999999981</v>
      </c>
    </row>
    <row r="2134" spans="2:10" x14ac:dyDescent="0.2">
      <c r="B2134" s="92">
        <v>2.95</v>
      </c>
      <c r="C2134" s="92">
        <v>13.416700000000001</v>
      </c>
      <c r="D2134" s="92">
        <v>86.853800000000007</v>
      </c>
      <c r="E2134" s="92"/>
      <c r="F2134" s="92">
        <v>2.95</v>
      </c>
      <c r="G2134" s="92">
        <v>13.6203</v>
      </c>
      <c r="H2134" s="92">
        <v>86.645099999999999</v>
      </c>
      <c r="I2134" s="92"/>
      <c r="J2134" s="93">
        <f t="shared" si="40"/>
        <v>0.20359999999999978</v>
      </c>
    </row>
    <row r="2135" spans="2:10" x14ac:dyDescent="0.2">
      <c r="B2135" s="92">
        <v>2.9513889999999998</v>
      </c>
      <c r="C2135" s="92">
        <v>13.4316</v>
      </c>
      <c r="D2135" s="92">
        <v>86.863600000000005</v>
      </c>
      <c r="E2135" s="92"/>
      <c r="F2135" s="92">
        <v>2.9513889999999998</v>
      </c>
      <c r="G2135" s="92">
        <v>13.610099999999999</v>
      </c>
      <c r="H2135" s="92">
        <v>86.655100000000004</v>
      </c>
      <c r="I2135" s="92"/>
      <c r="J2135" s="93">
        <f t="shared" si="40"/>
        <v>0.17849999999999966</v>
      </c>
    </row>
    <row r="2136" spans="2:10" x14ac:dyDescent="0.2">
      <c r="B2136" s="92">
        <v>2.9527779999999999</v>
      </c>
      <c r="C2136" s="92">
        <v>13.4094</v>
      </c>
      <c r="D2136" s="92">
        <v>86.878200000000007</v>
      </c>
      <c r="E2136" s="92"/>
      <c r="F2136" s="92">
        <v>2.9527779999999999</v>
      </c>
      <c r="G2136" s="92">
        <v>13.659599999999999</v>
      </c>
      <c r="H2136" s="92">
        <v>86.674899999999994</v>
      </c>
      <c r="I2136" s="92"/>
      <c r="J2136" s="93">
        <f t="shared" si="40"/>
        <v>0.25019999999999953</v>
      </c>
    </row>
    <row r="2137" spans="2:10" x14ac:dyDescent="0.2">
      <c r="B2137" s="92">
        <v>2.954167</v>
      </c>
      <c r="C2137" s="92">
        <v>13.450799999999999</v>
      </c>
      <c r="D2137" s="92">
        <v>86.884799999999998</v>
      </c>
      <c r="E2137" s="92"/>
      <c r="F2137" s="92">
        <v>2.954167</v>
      </c>
      <c r="G2137" s="92">
        <v>13.696</v>
      </c>
      <c r="H2137" s="92">
        <v>86.683199999999999</v>
      </c>
      <c r="I2137" s="92"/>
      <c r="J2137" s="93">
        <f t="shared" si="40"/>
        <v>0.24520000000000053</v>
      </c>
    </row>
    <row r="2138" spans="2:10" x14ac:dyDescent="0.2">
      <c r="B2138" s="92">
        <v>2.9555560000000001</v>
      </c>
      <c r="C2138" s="92">
        <v>13.414199999999999</v>
      </c>
      <c r="D2138" s="92">
        <v>86.883099999999999</v>
      </c>
      <c r="E2138" s="92"/>
      <c r="F2138" s="92">
        <v>2.9555560000000001</v>
      </c>
      <c r="G2138" s="92">
        <v>13.6683</v>
      </c>
      <c r="H2138" s="92">
        <v>86.6815</v>
      </c>
      <c r="I2138" s="92"/>
      <c r="J2138" s="93">
        <f t="shared" si="40"/>
        <v>0.2541000000000011</v>
      </c>
    </row>
    <row r="2139" spans="2:10" x14ac:dyDescent="0.2">
      <c r="B2139" s="92">
        <v>2.956944</v>
      </c>
      <c r="C2139" s="92">
        <v>13.388400000000001</v>
      </c>
      <c r="D2139" s="92">
        <v>86.878200000000007</v>
      </c>
      <c r="E2139" s="92"/>
      <c r="F2139" s="92">
        <v>2.956944</v>
      </c>
      <c r="G2139" s="92">
        <v>13.6807</v>
      </c>
      <c r="H2139" s="92">
        <v>86.698099999999997</v>
      </c>
      <c r="I2139" s="92"/>
      <c r="J2139" s="93">
        <f t="shared" si="40"/>
        <v>0.29229999999999912</v>
      </c>
    </row>
    <row r="2140" spans="2:10" x14ac:dyDescent="0.2">
      <c r="B2140" s="92">
        <v>2.9583330000000001</v>
      </c>
      <c r="C2140" s="92">
        <v>13.394600000000001</v>
      </c>
      <c r="D2140" s="92">
        <v>86.866799999999998</v>
      </c>
      <c r="E2140" s="92"/>
      <c r="F2140" s="92">
        <v>2.9583330000000001</v>
      </c>
      <c r="G2140" s="92">
        <v>13.667199999999999</v>
      </c>
      <c r="H2140" s="92">
        <v>86.693100000000001</v>
      </c>
      <c r="I2140" s="92"/>
      <c r="J2140" s="93">
        <f t="shared" si="40"/>
        <v>0.27259999999999884</v>
      </c>
    </row>
    <row r="2141" spans="2:10" x14ac:dyDescent="0.2">
      <c r="B2141" s="92">
        <v>2.9597220000000002</v>
      </c>
      <c r="C2141" s="92">
        <v>13.415900000000001</v>
      </c>
      <c r="D2141" s="92">
        <v>86.863600000000005</v>
      </c>
      <c r="E2141" s="92"/>
      <c r="F2141" s="92">
        <v>2.9597220000000002</v>
      </c>
      <c r="G2141" s="92">
        <v>13.648</v>
      </c>
      <c r="H2141" s="92">
        <v>86.699700000000007</v>
      </c>
      <c r="I2141" s="92"/>
      <c r="J2141" s="93">
        <f t="shared" si="40"/>
        <v>0.23209999999999908</v>
      </c>
    </row>
    <row r="2142" spans="2:10" x14ac:dyDescent="0.2">
      <c r="B2142" s="92">
        <v>2.9611109999999998</v>
      </c>
      <c r="C2142" s="92">
        <v>13.4284</v>
      </c>
      <c r="D2142" s="92">
        <v>86.839100000000002</v>
      </c>
      <c r="E2142" s="92"/>
      <c r="F2142" s="92">
        <v>2.9611109999999998</v>
      </c>
      <c r="G2142" s="92">
        <v>13.626200000000001</v>
      </c>
      <c r="H2142" s="92">
        <v>86.683199999999999</v>
      </c>
      <c r="I2142" s="92"/>
      <c r="J2142" s="93">
        <f t="shared" si="40"/>
        <v>0.19780000000000086</v>
      </c>
    </row>
    <row r="2143" spans="2:10" x14ac:dyDescent="0.2">
      <c r="B2143" s="92">
        <v>2.9624999999999999</v>
      </c>
      <c r="C2143" s="92">
        <v>13.398</v>
      </c>
      <c r="D2143" s="92">
        <v>86.827699999999993</v>
      </c>
      <c r="E2143" s="92"/>
      <c r="F2143" s="92">
        <v>2.9624999999999999</v>
      </c>
      <c r="G2143" s="92">
        <v>13.6648</v>
      </c>
      <c r="H2143" s="92">
        <v>86.668300000000002</v>
      </c>
      <c r="I2143" s="92"/>
      <c r="J2143" s="93">
        <f t="shared" si="40"/>
        <v>0.26679999999999993</v>
      </c>
    </row>
    <row r="2144" spans="2:10" x14ac:dyDescent="0.2">
      <c r="B2144" s="92">
        <v>2.963889</v>
      </c>
      <c r="C2144" s="92">
        <v>13.4109</v>
      </c>
      <c r="D2144" s="92">
        <v>86.798400000000001</v>
      </c>
      <c r="E2144" s="92"/>
      <c r="F2144" s="92">
        <v>2.963889</v>
      </c>
      <c r="G2144" s="92">
        <v>13.6517</v>
      </c>
      <c r="H2144" s="92">
        <v>86.6584</v>
      </c>
      <c r="I2144" s="92"/>
      <c r="J2144" s="93">
        <f t="shared" si="40"/>
        <v>0.24080000000000013</v>
      </c>
    </row>
    <row r="2145" spans="2:10" x14ac:dyDescent="0.2">
      <c r="B2145" s="92">
        <v>2.9652780000000001</v>
      </c>
      <c r="C2145" s="92">
        <v>13.4183</v>
      </c>
      <c r="D2145" s="92">
        <v>86.773899999999998</v>
      </c>
      <c r="E2145" s="92"/>
      <c r="F2145" s="92">
        <v>2.9652780000000001</v>
      </c>
      <c r="G2145" s="92">
        <v>13.6347</v>
      </c>
      <c r="H2145" s="92">
        <v>86.640199999999993</v>
      </c>
      <c r="I2145" s="92"/>
      <c r="J2145" s="93">
        <f t="shared" si="40"/>
        <v>0.21640000000000015</v>
      </c>
    </row>
    <row r="2146" spans="2:10" x14ac:dyDescent="0.2">
      <c r="B2146" s="92">
        <v>2.9666670000000002</v>
      </c>
      <c r="C2146" s="92">
        <v>13.395</v>
      </c>
      <c r="D2146" s="92">
        <v>86.739699999999999</v>
      </c>
      <c r="E2146" s="92"/>
      <c r="F2146" s="92">
        <v>2.9666670000000002</v>
      </c>
      <c r="G2146" s="92">
        <v>13.6837</v>
      </c>
      <c r="H2146" s="92">
        <v>86.613699999999994</v>
      </c>
      <c r="I2146" s="92"/>
      <c r="J2146" s="93">
        <f t="shared" si="40"/>
        <v>0.2887000000000004</v>
      </c>
    </row>
    <row r="2147" spans="2:10" x14ac:dyDescent="0.2">
      <c r="B2147" s="92">
        <v>2.9680559999999998</v>
      </c>
      <c r="C2147" s="92">
        <v>13.4499</v>
      </c>
      <c r="D2147" s="92">
        <v>86.710300000000004</v>
      </c>
      <c r="E2147" s="92"/>
      <c r="F2147" s="92">
        <v>2.9680559999999998</v>
      </c>
      <c r="G2147" s="92">
        <v>13.656499999999999</v>
      </c>
      <c r="H2147" s="92">
        <v>86.605400000000003</v>
      </c>
      <c r="I2147" s="92"/>
      <c r="J2147" s="93">
        <f t="shared" si="40"/>
        <v>0.20659999999999989</v>
      </c>
    </row>
    <row r="2148" spans="2:10" x14ac:dyDescent="0.2">
      <c r="B2148" s="92">
        <v>2.9694440000000002</v>
      </c>
      <c r="C2148" s="92">
        <v>13.415100000000001</v>
      </c>
      <c r="D2148" s="92">
        <v>86.6875</v>
      </c>
      <c r="E2148" s="92"/>
      <c r="F2148" s="92">
        <v>2.9694440000000002</v>
      </c>
      <c r="G2148" s="92">
        <v>13.6404</v>
      </c>
      <c r="H2148" s="92">
        <v>86.577299999999994</v>
      </c>
      <c r="I2148" s="92"/>
      <c r="J2148" s="93">
        <f t="shared" si="40"/>
        <v>0.22529999999999895</v>
      </c>
    </row>
    <row r="2149" spans="2:10" x14ac:dyDescent="0.2">
      <c r="B2149" s="92">
        <v>2.9708329999999998</v>
      </c>
      <c r="C2149" s="92">
        <v>13.4076</v>
      </c>
      <c r="D2149" s="92">
        <v>86.653300000000002</v>
      </c>
      <c r="E2149" s="92"/>
      <c r="F2149" s="92">
        <v>2.9708329999999998</v>
      </c>
      <c r="G2149" s="92">
        <v>13.674300000000001</v>
      </c>
      <c r="H2149" s="92">
        <v>86.562399999999997</v>
      </c>
      <c r="I2149" s="92"/>
      <c r="J2149" s="93">
        <f t="shared" si="40"/>
        <v>0.26670000000000016</v>
      </c>
    </row>
    <row r="2150" spans="2:10" x14ac:dyDescent="0.2">
      <c r="B2150" s="92">
        <v>2.9722219999999999</v>
      </c>
      <c r="C2150" s="92">
        <v>13.414999999999999</v>
      </c>
      <c r="D2150" s="92">
        <v>86.566900000000004</v>
      </c>
      <c r="E2150" s="92"/>
      <c r="F2150" s="92">
        <v>2.9722219999999999</v>
      </c>
      <c r="G2150" s="92">
        <v>13.661799999999999</v>
      </c>
      <c r="H2150" s="92">
        <v>86.545900000000003</v>
      </c>
      <c r="I2150" s="92"/>
      <c r="J2150" s="93">
        <f t="shared" si="40"/>
        <v>0.24680000000000035</v>
      </c>
    </row>
    <row r="2151" spans="2:10" x14ac:dyDescent="0.2">
      <c r="B2151" s="92">
        <v>2.973611</v>
      </c>
      <c r="C2151" s="92">
        <v>13.405200000000001</v>
      </c>
      <c r="D2151" s="92">
        <v>86.374600000000001</v>
      </c>
      <c r="E2151" s="92"/>
      <c r="F2151" s="92"/>
      <c r="G2151" s="92"/>
      <c r="H2151" s="92"/>
      <c r="I2151" s="92"/>
      <c r="J2151" s="93"/>
    </row>
    <row r="2152" spans="2:10" x14ac:dyDescent="0.2">
      <c r="B2152" s="92">
        <v>2.9750000000000001</v>
      </c>
      <c r="C2152" s="92">
        <v>13.4458</v>
      </c>
      <c r="D2152" s="92">
        <v>86.328999999999994</v>
      </c>
      <c r="E2152" s="92"/>
      <c r="F2152" s="92"/>
      <c r="G2152" s="92"/>
      <c r="H2152" s="92"/>
      <c r="I2152" s="92"/>
      <c r="J2152" s="93"/>
    </row>
    <row r="2153" spans="2:10" x14ac:dyDescent="0.2">
      <c r="B2153" s="92">
        <v>2.9763890000000002</v>
      </c>
      <c r="C2153" s="92">
        <v>13.437799999999999</v>
      </c>
      <c r="D2153" s="92">
        <v>86.299700000000001</v>
      </c>
      <c r="E2153" s="92"/>
      <c r="F2153" s="92"/>
      <c r="G2153" s="92"/>
      <c r="H2153" s="92"/>
      <c r="I2153" s="92"/>
      <c r="J2153" s="93"/>
    </row>
  </sheetData>
  <mergeCells count="2">
    <mergeCell ref="B5:D5"/>
    <mergeCell ref="F5:H5"/>
  </mergeCell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autoPageBreaks="0"/>
  </sheetPr>
  <dimension ref="A1:BQ1276"/>
  <sheetViews>
    <sheetView showGridLines="0" zoomScaleNormal="100" workbookViewId="0">
      <selection activeCell="N45" sqref="N45"/>
    </sheetView>
  </sheetViews>
  <sheetFormatPr defaultRowHeight="12" x14ac:dyDescent="0.2"/>
  <cols>
    <col min="1" max="1" width="22" customWidth="1"/>
    <col min="2" max="2" width="5.1640625" style="1" customWidth="1"/>
    <col min="3" max="3" width="1.83203125" customWidth="1"/>
    <col min="4" max="4" width="16.6640625" customWidth="1"/>
    <col min="5" max="5" width="1.83203125" style="85" customWidth="1"/>
    <col min="6" max="6" width="13.6640625" style="47" customWidth="1"/>
    <col min="7" max="10" width="13.6640625" style="80" customWidth="1"/>
    <col min="11" max="11" width="1.83203125" style="80" customWidth="1"/>
    <col min="12" max="12" width="12" style="41" customWidth="1"/>
    <col min="13" max="14" width="12" customWidth="1"/>
    <col min="15" max="15" width="1.83203125" customWidth="1"/>
    <col min="16" max="19" width="12" customWidth="1"/>
    <col min="20" max="21" width="12.33203125" customWidth="1"/>
    <col min="22" max="22" width="17.33203125" customWidth="1"/>
    <col min="23" max="23" width="12.33203125" customWidth="1"/>
    <col min="97" max="98" width="13.83203125" customWidth="1"/>
  </cols>
  <sheetData>
    <row r="1" spans="1:69" x14ac:dyDescent="0.2">
      <c r="L1"/>
    </row>
    <row r="2" spans="1:69" x14ac:dyDescent="0.2">
      <c r="L2"/>
    </row>
    <row r="3" spans="1:69" x14ac:dyDescent="0.2">
      <c r="L3"/>
    </row>
    <row r="4" spans="1:69" x14ac:dyDescent="0.2">
      <c r="L4"/>
      <c r="BP4" s="17"/>
    </row>
    <row r="5" spans="1:69" x14ac:dyDescent="0.2">
      <c r="L5"/>
      <c r="BP5" s="17"/>
    </row>
    <row r="6" spans="1:69" x14ac:dyDescent="0.2">
      <c r="L6"/>
      <c r="BP6" s="17"/>
    </row>
    <row r="7" spans="1:69" x14ac:dyDescent="0.2">
      <c r="L7" s="201" t="s">
        <v>117</v>
      </c>
      <c r="M7" s="202"/>
      <c r="N7" s="202"/>
      <c r="BP7" s="17"/>
    </row>
    <row r="8" spans="1:69" ht="15.75" x14ac:dyDescent="0.25">
      <c r="F8" s="134" t="s">
        <v>142</v>
      </c>
      <c r="L8" s="139" t="s">
        <v>140</v>
      </c>
      <c r="M8" s="140" t="s">
        <v>113</v>
      </c>
      <c r="N8" s="141" t="s">
        <v>114</v>
      </c>
      <c r="BP8" s="17"/>
    </row>
    <row r="9" spans="1:69" x14ac:dyDescent="0.2">
      <c r="A9" s="66" t="s">
        <v>16</v>
      </c>
      <c r="B9" s="26"/>
      <c r="D9" s="67" t="s">
        <v>8</v>
      </c>
      <c r="F9" s="81" t="s">
        <v>113</v>
      </c>
      <c r="G9" s="82" t="s">
        <v>114</v>
      </c>
      <c r="H9" s="82" t="s">
        <v>43</v>
      </c>
      <c r="I9" s="82" t="s">
        <v>115</v>
      </c>
      <c r="J9" s="83" t="s">
        <v>116</v>
      </c>
      <c r="L9" s="135" t="s">
        <v>141</v>
      </c>
      <c r="M9" s="136" t="s">
        <v>31</v>
      </c>
      <c r="N9" s="137" t="s">
        <v>31</v>
      </c>
      <c r="BP9" s="17"/>
    </row>
    <row r="10" spans="1:69" x14ac:dyDescent="0.2">
      <c r="A10" s="71" t="s">
        <v>5</v>
      </c>
      <c r="B10" s="72">
        <v>0</v>
      </c>
      <c r="D10" s="68" t="s">
        <v>108</v>
      </c>
      <c r="E10" s="84"/>
      <c r="F10" s="111">
        <v>0</v>
      </c>
      <c r="G10" s="112">
        <v>0</v>
      </c>
      <c r="H10" s="112">
        <v>283.07</v>
      </c>
      <c r="I10" s="112">
        <v>413435.16</v>
      </c>
      <c r="J10" s="112">
        <v>8124291.3399999999</v>
      </c>
      <c r="L10" s="1">
        <v>1</v>
      </c>
      <c r="M10" s="110">
        <v>0</v>
      </c>
      <c r="N10" s="110">
        <f>FORECAST(M10,$G$10:$G$38,$F$10:$F$38)</f>
        <v>7.078286882425914</v>
      </c>
      <c r="AB10" s="17"/>
      <c r="BP10" s="17"/>
      <c r="BQ10" s="17"/>
    </row>
    <row r="11" spans="1:69" x14ac:dyDescent="0.2">
      <c r="A11" s="73" t="s">
        <v>73</v>
      </c>
      <c r="B11" s="74">
        <v>0</v>
      </c>
      <c r="D11" s="69" t="s">
        <v>109</v>
      </c>
      <c r="E11" s="84"/>
      <c r="F11" s="111">
        <v>118</v>
      </c>
      <c r="G11" s="112">
        <v>117.998</v>
      </c>
      <c r="H11" s="112">
        <v>165.07149999999999</v>
      </c>
      <c r="I11" s="112">
        <v>413434.64</v>
      </c>
      <c r="J11" s="112">
        <v>8124291.3600000003</v>
      </c>
      <c r="L11" s="1">
        <v>2</v>
      </c>
      <c r="M11" s="110">
        <v>249.93600000000001</v>
      </c>
      <c r="N11" s="110">
        <f>FORECAST(M11,$G$10:$G$73,$F$10:$F$73)</f>
        <v>250.18860358503076</v>
      </c>
      <c r="AB11" s="17"/>
      <c r="BP11" s="17"/>
      <c r="BQ11" s="17"/>
    </row>
    <row r="12" spans="1:69" x14ac:dyDescent="0.2">
      <c r="A12" s="75" t="s">
        <v>58</v>
      </c>
      <c r="B12" s="76">
        <v>0</v>
      </c>
      <c r="D12" s="69" t="s">
        <v>110</v>
      </c>
      <c r="E12" s="84"/>
      <c r="F12" s="111">
        <v>131</v>
      </c>
      <c r="G12" s="112">
        <v>130.99700000000001</v>
      </c>
      <c r="H12" s="112">
        <v>152.07249999999999</v>
      </c>
      <c r="I12" s="112">
        <v>413434.53</v>
      </c>
      <c r="J12" s="112">
        <v>8124291.46</v>
      </c>
      <c r="L12" s="1">
        <v>3</v>
      </c>
      <c r="M12" s="110">
        <v>499.87200000000001</v>
      </c>
      <c r="N12" s="110">
        <f t="shared" ref="N12:N15" si="0">FORECAST(M12,$G$10:$G$73,$F$10:$F$73)</f>
        <v>474.24971691357666</v>
      </c>
      <c r="AB12" s="17"/>
      <c r="BP12" s="17"/>
      <c r="BQ12" s="17"/>
    </row>
    <row r="13" spans="1:69" x14ac:dyDescent="0.2">
      <c r="A13" s="73"/>
      <c r="B13" s="74"/>
      <c r="D13" s="69" t="s">
        <v>111</v>
      </c>
      <c r="E13" s="84"/>
      <c r="F13" s="111">
        <v>144</v>
      </c>
      <c r="G13" s="112">
        <v>143.99299999999999</v>
      </c>
      <c r="H13" s="112">
        <v>139.0761</v>
      </c>
      <c r="I13" s="112">
        <v>413434.43</v>
      </c>
      <c r="J13" s="112">
        <v>8124291.7400000002</v>
      </c>
      <c r="L13" s="1">
        <v>4</v>
      </c>
      <c r="M13" s="110">
        <v>750.11279999999999</v>
      </c>
      <c r="N13" s="110">
        <f t="shared" si="0"/>
        <v>698.58407550227923</v>
      </c>
      <c r="AB13" s="17"/>
      <c r="BP13" s="17"/>
      <c r="BQ13" s="17"/>
    </row>
    <row r="14" spans="1:69" x14ac:dyDescent="0.2">
      <c r="A14" s="75"/>
      <c r="B14" s="76"/>
      <c r="D14" s="69" t="s">
        <v>112</v>
      </c>
      <c r="E14" s="84"/>
      <c r="F14" s="111">
        <v>158</v>
      </c>
      <c r="G14" s="112">
        <v>157.98400000000001</v>
      </c>
      <c r="H14" s="112">
        <v>125.0857</v>
      </c>
      <c r="I14" s="112">
        <v>413434.32</v>
      </c>
      <c r="J14" s="112">
        <v>8124292.25</v>
      </c>
      <c r="L14" s="1">
        <v>5</v>
      </c>
      <c r="M14" s="110">
        <v>950.0616</v>
      </c>
      <c r="N14" s="110">
        <f t="shared" si="0"/>
        <v>877.83296616511598</v>
      </c>
      <c r="AB14" s="17"/>
      <c r="BP14" s="17"/>
      <c r="BQ14" s="17"/>
    </row>
    <row r="15" spans="1:69" x14ac:dyDescent="0.2">
      <c r="A15" s="73"/>
      <c r="B15" s="74"/>
      <c r="D15" s="69"/>
      <c r="E15" s="84"/>
      <c r="F15" s="111">
        <v>173</v>
      </c>
      <c r="G15" s="112">
        <v>172.96</v>
      </c>
      <c r="H15" s="112">
        <v>110.10939999999999</v>
      </c>
      <c r="I15" s="112">
        <v>413434.14</v>
      </c>
      <c r="J15" s="112">
        <v>8124293.0599999996</v>
      </c>
      <c r="L15" s="1">
        <v>6</v>
      </c>
      <c r="M15" s="110">
        <v>1097.8896</v>
      </c>
      <c r="N15" s="110">
        <f t="shared" si="0"/>
        <v>1010.3569173411462</v>
      </c>
      <c r="AB15" s="17"/>
      <c r="BP15" s="17"/>
      <c r="BQ15" s="17"/>
    </row>
    <row r="16" spans="1:69" x14ac:dyDescent="0.2">
      <c r="A16" s="75"/>
      <c r="B16" s="76"/>
      <c r="D16" s="69"/>
      <c r="E16" s="84"/>
      <c r="F16" s="111">
        <v>186</v>
      </c>
      <c r="G16" s="112">
        <v>185.923</v>
      </c>
      <c r="H16" s="112">
        <v>97.146100000000004</v>
      </c>
      <c r="I16" s="112">
        <v>413433.95</v>
      </c>
      <c r="J16" s="112">
        <v>8124294.0199999996</v>
      </c>
      <c r="L16" s="1"/>
      <c r="AB16" s="17"/>
      <c r="BP16" s="17"/>
      <c r="BQ16" s="17"/>
    </row>
    <row r="17" spans="1:69" x14ac:dyDescent="0.2">
      <c r="A17" s="73"/>
      <c r="B17" s="74"/>
      <c r="D17" s="69"/>
      <c r="E17" s="84"/>
      <c r="F17" s="111">
        <v>198</v>
      </c>
      <c r="G17" s="112">
        <v>197.87799999999999</v>
      </c>
      <c r="H17" s="112">
        <v>85.191800000000001</v>
      </c>
      <c r="I17" s="112">
        <v>413433.82</v>
      </c>
      <c r="J17" s="112">
        <v>8124295.0599999996</v>
      </c>
      <c r="L17" s="1"/>
      <c r="AB17" s="17"/>
      <c r="BQ17" s="17"/>
    </row>
    <row r="18" spans="1:69" x14ac:dyDescent="0.2">
      <c r="A18" s="75"/>
      <c r="B18" s="76"/>
      <c r="D18" s="69"/>
      <c r="E18" s="84"/>
      <c r="F18" s="111">
        <v>212</v>
      </c>
      <c r="G18" s="112">
        <v>211.80699999999999</v>
      </c>
      <c r="H18" s="112">
        <v>71.262299999999996</v>
      </c>
      <c r="I18" s="112">
        <v>413433.75</v>
      </c>
      <c r="J18" s="112">
        <v>8124296.4500000002</v>
      </c>
      <c r="L18" s="1"/>
      <c r="AB18" s="17"/>
      <c r="BQ18" s="17"/>
    </row>
    <row r="19" spans="1:69" x14ac:dyDescent="0.2">
      <c r="A19" s="73"/>
      <c r="B19" s="74"/>
      <c r="D19" s="69"/>
      <c r="E19" s="84"/>
      <c r="F19" s="111">
        <v>226</v>
      </c>
      <c r="G19" s="112">
        <v>225.70599999999999</v>
      </c>
      <c r="H19" s="112">
        <v>57.363999999999997</v>
      </c>
      <c r="I19" s="112">
        <v>413433.71</v>
      </c>
      <c r="J19" s="112">
        <v>8124298.1399999997</v>
      </c>
      <c r="L19" s="1"/>
      <c r="AB19" s="17"/>
      <c r="BQ19" s="17"/>
    </row>
    <row r="20" spans="1:69" x14ac:dyDescent="0.2">
      <c r="A20" s="75"/>
      <c r="B20" s="76"/>
      <c r="D20" s="69"/>
      <c r="E20" s="84"/>
      <c r="F20" s="111">
        <v>241</v>
      </c>
      <c r="G20" s="112">
        <v>240.54599999999999</v>
      </c>
      <c r="H20" s="112">
        <v>42.523400000000002</v>
      </c>
      <c r="I20" s="112">
        <v>413433.72</v>
      </c>
      <c r="J20" s="112">
        <v>8124300.3099999996</v>
      </c>
      <c r="L20" s="1"/>
      <c r="AB20" s="17"/>
      <c r="BQ20" s="17"/>
    </row>
    <row r="21" spans="1:69" x14ac:dyDescent="0.2">
      <c r="A21" s="77"/>
      <c r="B21" s="74"/>
      <c r="D21" s="69"/>
      <c r="E21" s="84"/>
      <c r="F21" s="111">
        <v>255</v>
      </c>
      <c r="G21" s="112">
        <v>254.339</v>
      </c>
      <c r="H21" s="112">
        <v>28.7301</v>
      </c>
      <c r="I21" s="112">
        <v>413433.85</v>
      </c>
      <c r="J21" s="112">
        <v>8124302.7000000002</v>
      </c>
      <c r="L21" s="1"/>
      <c r="AB21" s="17"/>
      <c r="BQ21" s="17"/>
    </row>
    <row r="22" spans="1:69" x14ac:dyDescent="0.2">
      <c r="A22" s="75"/>
      <c r="B22" s="76"/>
      <c r="D22" s="69"/>
      <c r="E22" s="84"/>
      <c r="F22" s="111">
        <v>270</v>
      </c>
      <c r="G22" s="112">
        <v>269.03800000000001</v>
      </c>
      <c r="H22" s="112">
        <v>14.0318</v>
      </c>
      <c r="I22" s="112">
        <v>413434.04</v>
      </c>
      <c r="J22" s="112">
        <v>8124305.6900000004</v>
      </c>
      <c r="L22" s="1"/>
      <c r="AB22" s="17"/>
      <c r="BQ22" s="17"/>
    </row>
    <row r="23" spans="1:69" x14ac:dyDescent="0.2">
      <c r="A23" s="73"/>
      <c r="B23" s="74"/>
      <c r="D23" s="69"/>
      <c r="E23" s="84"/>
      <c r="F23" s="111">
        <v>284</v>
      </c>
      <c r="G23" s="112">
        <v>282.65899999999999</v>
      </c>
      <c r="H23" s="112">
        <v>0.41070000000000001</v>
      </c>
      <c r="I23" s="112">
        <v>413434.21</v>
      </c>
      <c r="J23" s="112">
        <v>8124308.9199999999</v>
      </c>
      <c r="L23" s="1"/>
      <c r="AB23" s="17"/>
      <c r="BQ23" s="17"/>
    </row>
    <row r="24" spans="1:69" x14ac:dyDescent="0.2">
      <c r="A24" s="75"/>
      <c r="B24" s="76"/>
      <c r="D24" s="69"/>
      <c r="E24" s="84"/>
      <c r="F24" s="111">
        <v>297</v>
      </c>
      <c r="G24" s="112">
        <v>295.20100000000002</v>
      </c>
      <c r="H24" s="112">
        <v>-12.131</v>
      </c>
      <c r="I24" s="112">
        <v>413434.38</v>
      </c>
      <c r="J24" s="112">
        <v>8124312.3300000001</v>
      </c>
      <c r="L24" s="1"/>
      <c r="AB24" s="17"/>
      <c r="BQ24" s="17"/>
    </row>
    <row r="25" spans="1:69" x14ac:dyDescent="0.2">
      <c r="A25" s="73"/>
      <c r="B25" s="74"/>
      <c r="D25" s="69"/>
      <c r="E25" s="84"/>
      <c r="F25" s="111">
        <v>311</v>
      </c>
      <c r="G25" s="112">
        <v>308.613</v>
      </c>
      <c r="H25" s="112">
        <v>-25.543800000000001</v>
      </c>
      <c r="I25" s="112">
        <v>413434.55</v>
      </c>
      <c r="J25" s="112">
        <v>8124316.3399999999</v>
      </c>
      <c r="L25" s="1"/>
      <c r="AB25" s="17"/>
      <c r="BQ25" s="17"/>
    </row>
    <row r="26" spans="1:69" x14ac:dyDescent="0.2">
      <c r="A26" s="75"/>
      <c r="B26" s="76"/>
      <c r="D26" s="69"/>
      <c r="E26" s="84"/>
      <c r="F26" s="111">
        <v>323</v>
      </c>
      <c r="G26" s="112">
        <v>320.048</v>
      </c>
      <c r="H26" s="112">
        <v>-36.9788</v>
      </c>
      <c r="I26" s="112">
        <v>413434.67</v>
      </c>
      <c r="J26" s="112">
        <v>8124319.9800000004</v>
      </c>
      <c r="L26" s="1"/>
      <c r="AB26" s="17"/>
      <c r="BQ26" s="17"/>
    </row>
    <row r="27" spans="1:69" x14ac:dyDescent="0.2">
      <c r="A27" s="73"/>
      <c r="B27" s="74"/>
      <c r="D27" s="69"/>
      <c r="E27" s="84"/>
      <c r="F27" s="111">
        <v>340</v>
      </c>
      <c r="G27" s="112">
        <v>336.16</v>
      </c>
      <c r="H27" s="112">
        <v>-53.090699999999998</v>
      </c>
      <c r="I27" s="112">
        <v>413434.83</v>
      </c>
      <c r="J27" s="112">
        <v>8124325.4000000004</v>
      </c>
      <c r="L27" s="1"/>
      <c r="AB27" s="17"/>
      <c r="BQ27" s="17"/>
    </row>
    <row r="28" spans="1:69" x14ac:dyDescent="0.2">
      <c r="A28" s="75"/>
      <c r="B28" s="76"/>
      <c r="D28" s="69"/>
      <c r="E28" s="84"/>
      <c r="F28" s="111">
        <v>353</v>
      </c>
      <c r="G28" s="112">
        <v>348.399</v>
      </c>
      <c r="H28" s="112">
        <v>-65.329599999999999</v>
      </c>
      <c r="I28" s="112">
        <v>413434.92</v>
      </c>
      <c r="J28" s="112">
        <v>8124329.7800000003</v>
      </c>
      <c r="L28" s="1"/>
      <c r="AB28" s="17"/>
      <c r="BQ28" s="17"/>
    </row>
    <row r="29" spans="1:69" x14ac:dyDescent="0.2">
      <c r="A29" s="73"/>
      <c r="B29" s="74"/>
      <c r="D29" s="69"/>
      <c r="E29" s="84"/>
      <c r="F29" s="111">
        <v>368</v>
      </c>
      <c r="G29" s="112">
        <v>362.43599999999998</v>
      </c>
      <c r="H29" s="112">
        <v>-79.366</v>
      </c>
      <c r="I29" s="112">
        <v>413435.09</v>
      </c>
      <c r="J29" s="112">
        <v>8124335.0599999996</v>
      </c>
      <c r="L29"/>
      <c r="AB29" s="17"/>
      <c r="BQ29" s="17"/>
    </row>
    <row r="30" spans="1:69" x14ac:dyDescent="0.2">
      <c r="A30" s="75"/>
      <c r="B30" s="76"/>
      <c r="D30" s="69"/>
      <c r="E30" s="84"/>
      <c r="F30" s="111">
        <v>380</v>
      </c>
      <c r="G30" s="112">
        <v>373.62700000000001</v>
      </c>
      <c r="H30" s="112">
        <v>-90.557599999999994</v>
      </c>
      <c r="I30" s="112">
        <v>413435.28</v>
      </c>
      <c r="J30" s="112">
        <v>8124339.3899999997</v>
      </c>
      <c r="L30"/>
      <c r="AB30" s="17"/>
      <c r="BQ30" s="17"/>
    </row>
    <row r="31" spans="1:69" x14ac:dyDescent="0.2">
      <c r="A31" s="73"/>
      <c r="B31" s="74"/>
      <c r="D31" s="69"/>
      <c r="E31" s="84"/>
      <c r="F31" s="111">
        <v>394</v>
      </c>
      <c r="G31" s="112">
        <v>386.589</v>
      </c>
      <c r="H31" s="112">
        <v>-103.51900000000001</v>
      </c>
      <c r="I31" s="112">
        <v>413435.52</v>
      </c>
      <c r="J31" s="112">
        <v>8124344.6699999999</v>
      </c>
      <c r="L31"/>
      <c r="AB31" s="17"/>
      <c r="BQ31" s="17"/>
    </row>
    <row r="32" spans="1:69" x14ac:dyDescent="0.2">
      <c r="A32" s="75"/>
      <c r="B32" s="76"/>
      <c r="D32" s="69"/>
      <c r="E32" s="84"/>
      <c r="F32" s="111">
        <v>411</v>
      </c>
      <c r="G32" s="112">
        <v>402.15499999999997</v>
      </c>
      <c r="H32" s="112">
        <v>-119.08499999999999</v>
      </c>
      <c r="I32" s="112">
        <v>413435.88</v>
      </c>
      <c r="J32" s="112">
        <v>8124351.5</v>
      </c>
      <c r="L32"/>
      <c r="AB32" s="17"/>
      <c r="BQ32" s="17"/>
    </row>
    <row r="33" spans="1:69" x14ac:dyDescent="0.2">
      <c r="A33" s="73"/>
      <c r="B33" s="74"/>
      <c r="D33" s="69"/>
      <c r="E33" s="84"/>
      <c r="F33" s="111">
        <v>425</v>
      </c>
      <c r="G33" s="112">
        <v>414.81200000000001</v>
      </c>
      <c r="H33" s="112">
        <v>-131.74100000000001</v>
      </c>
      <c r="I33" s="112">
        <v>413436.2</v>
      </c>
      <c r="J33" s="112">
        <v>8124357.4699999997</v>
      </c>
      <c r="L33"/>
      <c r="AB33" s="17"/>
      <c r="BQ33" s="17"/>
    </row>
    <row r="34" spans="1:69" x14ac:dyDescent="0.2">
      <c r="A34" s="75"/>
      <c r="B34" s="76"/>
      <c r="D34" s="69"/>
      <c r="E34" s="84"/>
      <c r="F34" s="111">
        <v>442</v>
      </c>
      <c r="G34" s="112">
        <v>429.97800000000001</v>
      </c>
      <c r="H34" s="112">
        <v>-146.90799999999999</v>
      </c>
      <c r="I34" s="112">
        <v>413436.59</v>
      </c>
      <c r="J34" s="112">
        <v>8124365.1399999997</v>
      </c>
      <c r="L34"/>
      <c r="AB34" s="17"/>
      <c r="BQ34" s="17"/>
    </row>
    <row r="35" spans="1:69" x14ac:dyDescent="0.2">
      <c r="A35" s="73"/>
      <c r="B35" s="74"/>
      <c r="D35" s="69"/>
      <c r="E35" s="84"/>
      <c r="F35" s="111">
        <v>457</v>
      </c>
      <c r="G35" s="112">
        <v>443.27800000000002</v>
      </c>
      <c r="H35" s="112">
        <v>-160.208</v>
      </c>
      <c r="I35" s="112">
        <v>413436.92</v>
      </c>
      <c r="J35" s="112">
        <v>8124372.0700000003</v>
      </c>
      <c r="L35"/>
      <c r="AB35" s="17"/>
      <c r="BQ35" s="17"/>
    </row>
    <row r="36" spans="1:69" x14ac:dyDescent="0.2">
      <c r="A36" s="75"/>
      <c r="B36" s="76"/>
      <c r="D36" s="69"/>
      <c r="E36" s="84"/>
      <c r="F36" s="111">
        <v>470</v>
      </c>
      <c r="G36" s="112">
        <v>454.80900000000003</v>
      </c>
      <c r="H36" s="112">
        <v>-171.739</v>
      </c>
      <c r="I36" s="112">
        <v>413437.19</v>
      </c>
      <c r="J36" s="112">
        <v>8124378.0599999996</v>
      </c>
      <c r="L36"/>
      <c r="AB36" s="17"/>
      <c r="BQ36" s="17"/>
    </row>
    <row r="37" spans="1:69" x14ac:dyDescent="0.2">
      <c r="A37" s="73"/>
      <c r="B37" s="74"/>
      <c r="D37" s="69"/>
      <c r="E37" s="84"/>
      <c r="F37" s="111">
        <v>485</v>
      </c>
      <c r="G37" s="112">
        <v>468.13200000000001</v>
      </c>
      <c r="H37" s="112">
        <v>-185.06200000000001</v>
      </c>
      <c r="I37" s="112">
        <v>413437.52</v>
      </c>
      <c r="J37" s="112">
        <v>8124384.9500000002</v>
      </c>
      <c r="L37"/>
      <c r="AB37" s="17"/>
      <c r="BQ37" s="17"/>
    </row>
    <row r="38" spans="1:69" x14ac:dyDescent="0.2">
      <c r="A38" s="75"/>
      <c r="B38" s="76"/>
      <c r="D38" s="69"/>
      <c r="E38" s="84"/>
      <c r="F38" s="111">
        <v>499</v>
      </c>
      <c r="G38" s="112">
        <v>480.51</v>
      </c>
      <c r="H38" s="112">
        <v>-197.44</v>
      </c>
      <c r="I38" s="112">
        <v>413437.8</v>
      </c>
      <c r="J38" s="112">
        <v>8124391.4800000004</v>
      </c>
      <c r="L38"/>
      <c r="AB38" s="17"/>
      <c r="BQ38" s="17"/>
    </row>
    <row r="39" spans="1:69" x14ac:dyDescent="0.2">
      <c r="A39" s="73"/>
      <c r="B39" s="74"/>
      <c r="D39" s="69"/>
      <c r="E39" s="84"/>
      <c r="F39" s="111">
        <v>514</v>
      </c>
      <c r="G39" s="112">
        <v>493.69200000000001</v>
      </c>
      <c r="H39" s="112">
        <v>-210.62200000000001</v>
      </c>
      <c r="I39" s="112">
        <v>413438.08</v>
      </c>
      <c r="J39" s="112">
        <v>8124398.6299999999</v>
      </c>
      <c r="L39"/>
      <c r="AB39" s="17"/>
      <c r="BQ39" s="17"/>
    </row>
    <row r="40" spans="1:69" x14ac:dyDescent="0.2">
      <c r="A40" s="75"/>
      <c r="B40" s="76"/>
      <c r="D40" s="69"/>
      <c r="E40" s="84"/>
      <c r="F40" s="111">
        <v>529</v>
      </c>
      <c r="G40" s="112">
        <v>506.86200000000002</v>
      </c>
      <c r="H40" s="112">
        <v>-223.792</v>
      </c>
      <c r="I40" s="112">
        <v>413438.36</v>
      </c>
      <c r="J40" s="112">
        <v>8124405.8099999996</v>
      </c>
      <c r="L40"/>
      <c r="AB40" s="17"/>
      <c r="BQ40" s="17"/>
    </row>
    <row r="41" spans="1:69" x14ac:dyDescent="0.2">
      <c r="A41" s="73"/>
      <c r="B41" s="74"/>
      <c r="D41" s="69"/>
      <c r="E41" s="84"/>
      <c r="F41" s="111">
        <v>544</v>
      </c>
      <c r="G41" s="112">
        <v>520.03200000000004</v>
      </c>
      <c r="H41" s="112">
        <v>-236.96199999999999</v>
      </c>
      <c r="I41" s="112">
        <v>413438.65</v>
      </c>
      <c r="J41" s="112">
        <v>8124412.9800000004</v>
      </c>
      <c r="L41"/>
      <c r="AB41" s="17"/>
      <c r="BQ41" s="17"/>
    </row>
    <row r="42" spans="1:69" x14ac:dyDescent="0.2">
      <c r="A42" s="75"/>
      <c r="B42" s="76"/>
      <c r="D42" s="69"/>
      <c r="E42" s="84"/>
      <c r="F42" s="111">
        <v>557</v>
      </c>
      <c r="G42" s="112">
        <v>531.45699999999999</v>
      </c>
      <c r="H42" s="112">
        <v>-248.387</v>
      </c>
      <c r="I42" s="112">
        <v>413438.9</v>
      </c>
      <c r="J42" s="112">
        <v>8124419.1799999997</v>
      </c>
      <c r="L42"/>
      <c r="AB42" s="17"/>
      <c r="BQ42" s="17"/>
    </row>
    <row r="43" spans="1:69" x14ac:dyDescent="0.2">
      <c r="A43" s="73"/>
      <c r="B43" s="74"/>
      <c r="D43" s="69"/>
      <c r="E43" s="84"/>
      <c r="F43" s="111">
        <v>572</v>
      </c>
      <c r="G43" s="112">
        <v>544.65099999999995</v>
      </c>
      <c r="H43" s="112">
        <v>-261.58100000000002</v>
      </c>
      <c r="I43" s="112">
        <v>413439.13</v>
      </c>
      <c r="J43" s="112">
        <v>8124426.3099999996</v>
      </c>
      <c r="L43"/>
      <c r="AB43" s="17"/>
      <c r="BQ43" s="17"/>
    </row>
    <row r="44" spans="1:69" x14ac:dyDescent="0.2">
      <c r="A44" s="75"/>
      <c r="B44" s="76"/>
      <c r="D44" s="69"/>
      <c r="E44" s="84"/>
      <c r="F44" s="111">
        <v>586</v>
      </c>
      <c r="G44" s="112">
        <v>557.00699999999995</v>
      </c>
      <c r="H44" s="112">
        <v>-273.93700000000001</v>
      </c>
      <c r="I44" s="112">
        <v>413439.29</v>
      </c>
      <c r="J44" s="112">
        <v>8124432.8899999997</v>
      </c>
      <c r="L44"/>
      <c r="AB44" s="17"/>
      <c r="BQ44" s="17"/>
    </row>
    <row r="45" spans="1:69" x14ac:dyDescent="0.2">
      <c r="A45" s="73"/>
      <c r="B45" s="74"/>
      <c r="D45" s="69"/>
      <c r="E45" s="84"/>
      <c r="F45" s="111">
        <v>605</v>
      </c>
      <c r="G45" s="112">
        <v>573.85199999999998</v>
      </c>
      <c r="H45" s="112">
        <v>-290.78199999999998</v>
      </c>
      <c r="I45" s="112">
        <v>413439.58</v>
      </c>
      <c r="J45" s="112">
        <v>8124441.6799999997</v>
      </c>
      <c r="L45"/>
      <c r="AB45" s="17"/>
      <c r="BQ45" s="17"/>
    </row>
    <row r="46" spans="1:69" x14ac:dyDescent="0.2">
      <c r="A46" s="75"/>
      <c r="B46" s="76"/>
      <c r="D46" s="69"/>
      <c r="E46" s="84"/>
      <c r="F46" s="111">
        <v>629</v>
      </c>
      <c r="G46" s="112">
        <v>595.03300000000002</v>
      </c>
      <c r="H46" s="112">
        <v>-311.96300000000002</v>
      </c>
      <c r="I46" s="112">
        <v>413439.94</v>
      </c>
      <c r="J46" s="112">
        <v>8124452.96</v>
      </c>
      <c r="L46"/>
      <c r="AB46" s="17"/>
      <c r="BQ46" s="17"/>
    </row>
    <row r="47" spans="1:69" x14ac:dyDescent="0.2">
      <c r="A47" s="73"/>
      <c r="B47" s="74"/>
      <c r="D47" s="69"/>
      <c r="E47" s="84"/>
      <c r="F47" s="111">
        <v>658</v>
      </c>
      <c r="G47" s="112">
        <v>620.48199999999997</v>
      </c>
      <c r="H47" s="112">
        <v>-337.41199999999998</v>
      </c>
      <c r="I47" s="112">
        <v>413440.29</v>
      </c>
      <c r="J47" s="112">
        <v>8124466.8600000003</v>
      </c>
      <c r="AB47" s="17"/>
      <c r="BQ47" s="17"/>
    </row>
    <row r="48" spans="1:69" x14ac:dyDescent="0.2">
      <c r="A48" s="75"/>
      <c r="B48" s="76"/>
      <c r="D48" s="69"/>
      <c r="E48" s="84"/>
      <c r="F48" s="111">
        <v>668</v>
      </c>
      <c r="G48" s="112">
        <v>629.25800000000004</v>
      </c>
      <c r="H48" s="112">
        <v>-346.18799999999999</v>
      </c>
      <c r="I48" s="112">
        <v>413440.4</v>
      </c>
      <c r="J48" s="112">
        <v>8124471.6500000004</v>
      </c>
      <c r="AB48" s="17"/>
      <c r="BQ48" s="17"/>
    </row>
    <row r="49" spans="1:10" x14ac:dyDescent="0.2">
      <c r="A49" s="78"/>
      <c r="B49" s="79"/>
      <c r="D49" s="70"/>
      <c r="E49" s="84"/>
      <c r="F49" s="111">
        <v>696</v>
      </c>
      <c r="G49" s="112">
        <v>653.79399999999998</v>
      </c>
      <c r="H49" s="112">
        <v>-370.72399999999999</v>
      </c>
      <c r="I49" s="112">
        <v>413440.68</v>
      </c>
      <c r="J49" s="112">
        <v>8124485.1399999997</v>
      </c>
    </row>
    <row r="50" spans="1:10" x14ac:dyDescent="0.2">
      <c r="D50" s="39"/>
      <c r="E50" s="84"/>
      <c r="F50" s="111">
        <v>726</v>
      </c>
      <c r="G50" s="112">
        <v>680.05799999999999</v>
      </c>
      <c r="H50" s="112">
        <v>-396.988</v>
      </c>
      <c r="I50" s="112">
        <v>413440.96</v>
      </c>
      <c r="J50" s="112">
        <v>8124499.6299999999</v>
      </c>
    </row>
    <row r="51" spans="1:10" x14ac:dyDescent="0.2">
      <c r="A51" s="59"/>
      <c r="B51" s="29"/>
      <c r="D51" s="39"/>
      <c r="E51" s="84"/>
      <c r="F51" s="111">
        <v>755</v>
      </c>
      <c r="G51" s="112">
        <v>705.447</v>
      </c>
      <c r="H51" s="112">
        <v>-422.37700000000001</v>
      </c>
      <c r="I51" s="112">
        <v>413441.21</v>
      </c>
      <c r="J51" s="112">
        <v>8124513.6399999997</v>
      </c>
    </row>
    <row r="52" spans="1:10" x14ac:dyDescent="0.2">
      <c r="A52" s="59"/>
      <c r="B52" s="29"/>
      <c r="D52" s="39"/>
      <c r="E52" s="84"/>
      <c r="F52" s="111">
        <v>783</v>
      </c>
      <c r="G52" s="112">
        <v>729.96</v>
      </c>
      <c r="H52" s="112">
        <v>-446.89</v>
      </c>
      <c r="I52" s="112">
        <v>413441.44</v>
      </c>
      <c r="J52" s="112">
        <v>8124527.1699999999</v>
      </c>
    </row>
    <row r="53" spans="1:10" x14ac:dyDescent="0.2">
      <c r="A53" s="59"/>
      <c r="B53" s="29"/>
      <c r="D53" s="39"/>
      <c r="F53" s="111">
        <v>811</v>
      </c>
      <c r="G53" s="112">
        <v>754.47299999999996</v>
      </c>
      <c r="H53" s="112">
        <v>-471.40300000000002</v>
      </c>
      <c r="I53" s="112">
        <v>413441.69</v>
      </c>
      <c r="J53" s="112">
        <v>8124540.7000000002</v>
      </c>
    </row>
    <row r="54" spans="1:10" x14ac:dyDescent="0.2">
      <c r="A54" s="59"/>
      <c r="B54" s="29"/>
      <c r="D54" s="39"/>
      <c r="F54" s="111">
        <v>840</v>
      </c>
      <c r="G54" s="112">
        <v>779.82500000000005</v>
      </c>
      <c r="H54" s="112">
        <v>-496.75400000000002</v>
      </c>
      <c r="I54" s="112">
        <v>413442</v>
      </c>
      <c r="J54" s="112">
        <v>8124554.7800000003</v>
      </c>
    </row>
    <row r="55" spans="1:10" x14ac:dyDescent="0.2">
      <c r="A55" s="59"/>
      <c r="B55" s="29"/>
      <c r="D55" s="38"/>
      <c r="F55" s="111">
        <v>870</v>
      </c>
      <c r="G55" s="112">
        <v>806.01199999999994</v>
      </c>
      <c r="H55" s="112">
        <v>-522.94200000000001</v>
      </c>
      <c r="I55" s="112">
        <v>413442.29</v>
      </c>
      <c r="J55" s="112">
        <v>8124569.4100000001</v>
      </c>
    </row>
    <row r="56" spans="1:10" x14ac:dyDescent="0.2">
      <c r="A56" s="59"/>
      <c r="B56" s="29"/>
      <c r="D56" s="38"/>
      <c r="F56" s="111">
        <v>898</v>
      </c>
      <c r="G56" s="112">
        <v>830.43</v>
      </c>
      <c r="H56" s="112">
        <v>-547.36</v>
      </c>
      <c r="I56" s="112">
        <v>413442.53</v>
      </c>
      <c r="J56" s="112">
        <v>8124583.1200000001</v>
      </c>
    </row>
    <row r="57" spans="1:10" x14ac:dyDescent="0.2">
      <c r="A57" s="59"/>
      <c r="B57" s="29"/>
      <c r="D57" s="38"/>
      <c r="F57" s="111">
        <v>926</v>
      </c>
      <c r="G57" s="112">
        <v>854.81200000000001</v>
      </c>
      <c r="H57" s="112">
        <v>-571.74199999999996</v>
      </c>
      <c r="I57" s="112">
        <v>413442.75</v>
      </c>
      <c r="J57" s="112">
        <v>8124596.8799999999</v>
      </c>
    </row>
    <row r="58" spans="1:10" x14ac:dyDescent="0.2">
      <c r="D58" s="38"/>
      <c r="F58" s="111">
        <v>958</v>
      </c>
      <c r="G58" s="112">
        <v>882.66300000000001</v>
      </c>
      <c r="H58" s="112">
        <v>-599.59299999999996</v>
      </c>
      <c r="I58" s="112">
        <v>413442.91</v>
      </c>
      <c r="J58" s="112">
        <v>8124612.6399999997</v>
      </c>
    </row>
    <row r="59" spans="1:10" x14ac:dyDescent="0.2">
      <c r="D59" s="38"/>
      <c r="F59" s="111">
        <v>977</v>
      </c>
      <c r="G59" s="112">
        <v>899.19200000000001</v>
      </c>
      <c r="H59" s="112">
        <v>-616.12199999999996</v>
      </c>
      <c r="I59" s="112">
        <v>413443.03</v>
      </c>
      <c r="J59" s="112">
        <v>8124622.0099999998</v>
      </c>
    </row>
    <row r="60" spans="1:10" x14ac:dyDescent="0.2">
      <c r="A60" s="41"/>
      <c r="D60" s="38"/>
      <c r="F60" s="111">
        <v>987</v>
      </c>
      <c r="G60" s="112">
        <v>907.91700000000003</v>
      </c>
      <c r="H60" s="112">
        <v>-624.84699999999998</v>
      </c>
      <c r="I60" s="112">
        <v>413443.13</v>
      </c>
      <c r="J60" s="112">
        <v>8124626.8899999997</v>
      </c>
    </row>
    <row r="61" spans="1:10" x14ac:dyDescent="0.2">
      <c r="A61" s="34"/>
      <c r="B61" s="61"/>
      <c r="D61" s="38"/>
      <c r="F61" s="111">
        <v>996</v>
      </c>
      <c r="G61" s="112">
        <v>915.80700000000002</v>
      </c>
      <c r="H61" s="112">
        <v>-632.73699999999997</v>
      </c>
      <c r="I61" s="112">
        <v>413443.26</v>
      </c>
      <c r="J61" s="112">
        <v>8124631.2199999997</v>
      </c>
    </row>
    <row r="62" spans="1:10" x14ac:dyDescent="0.2">
      <c r="A62" s="34"/>
      <c r="B62" s="61"/>
      <c r="D62" s="38"/>
      <c r="F62" s="111">
        <v>1006</v>
      </c>
      <c r="G62" s="112">
        <v>924.58299999999997</v>
      </c>
      <c r="H62" s="112">
        <v>-641.51300000000003</v>
      </c>
      <c r="I62" s="112">
        <v>413443.4</v>
      </c>
      <c r="J62" s="112">
        <v>8124636.0099999998</v>
      </c>
    </row>
    <row r="63" spans="1:10" x14ac:dyDescent="0.2">
      <c r="A63" s="34"/>
      <c r="B63" s="61"/>
      <c r="D63" s="38"/>
      <c r="F63" s="111">
        <v>1027</v>
      </c>
      <c r="G63" s="112">
        <v>943.02200000000005</v>
      </c>
      <c r="H63" s="112">
        <v>-659.952</v>
      </c>
      <c r="I63" s="112">
        <v>413443.71</v>
      </c>
      <c r="J63" s="112">
        <v>8124646.0599999996</v>
      </c>
    </row>
    <row r="64" spans="1:10" x14ac:dyDescent="0.2">
      <c r="A64" s="34"/>
      <c r="B64" s="61"/>
      <c r="D64" s="38"/>
      <c r="F64" s="111">
        <v>1055</v>
      </c>
      <c r="G64" s="112">
        <v>967.77</v>
      </c>
      <c r="H64" s="112">
        <v>-684.7</v>
      </c>
      <c r="I64" s="112">
        <v>413444.09</v>
      </c>
      <c r="J64" s="112">
        <v>8124659.1500000004</v>
      </c>
    </row>
    <row r="65" spans="1:10" x14ac:dyDescent="0.2">
      <c r="A65" s="34"/>
      <c r="B65" s="61"/>
      <c r="D65" s="38"/>
      <c r="F65" s="111">
        <v>1083</v>
      </c>
      <c r="G65" s="112">
        <v>992.66200000000003</v>
      </c>
      <c r="H65" s="112">
        <v>-709.59199999999998</v>
      </c>
      <c r="I65" s="112">
        <v>413444.4</v>
      </c>
      <c r="J65" s="112">
        <v>8124671.96</v>
      </c>
    </row>
    <row r="66" spans="1:10" x14ac:dyDescent="0.2">
      <c r="A66" s="34"/>
      <c r="B66" s="61"/>
      <c r="D66" s="38"/>
      <c r="F66" s="111">
        <v>1112</v>
      </c>
      <c r="G66" s="112">
        <v>1018.52</v>
      </c>
      <c r="H66" s="112">
        <v>-735.45399999999995</v>
      </c>
      <c r="I66" s="112">
        <v>413444.76</v>
      </c>
      <c r="J66" s="112">
        <v>8124685.0800000001</v>
      </c>
    </row>
    <row r="67" spans="1:10" x14ac:dyDescent="0.2">
      <c r="A67" s="34"/>
      <c r="B67" s="61"/>
      <c r="D67" s="38"/>
      <c r="F67" s="111">
        <v>1141</v>
      </c>
      <c r="G67" s="112">
        <v>1044.46</v>
      </c>
      <c r="H67" s="112">
        <v>-761.39599999999996</v>
      </c>
      <c r="I67" s="112">
        <v>413445.21</v>
      </c>
      <c r="J67" s="112">
        <v>8124698.0300000003</v>
      </c>
    </row>
    <row r="68" spans="1:10" x14ac:dyDescent="0.2">
      <c r="A68" s="34"/>
      <c r="B68" s="61"/>
      <c r="D68" s="38"/>
      <c r="F68" s="111">
        <v>1170</v>
      </c>
      <c r="G68" s="112">
        <v>1070.46</v>
      </c>
      <c r="H68" s="112">
        <v>-787.39400000000001</v>
      </c>
      <c r="I68" s="112">
        <v>413445.69</v>
      </c>
      <c r="J68" s="112">
        <v>8124710.8700000001</v>
      </c>
    </row>
    <row r="69" spans="1:10" x14ac:dyDescent="0.2">
      <c r="A69" s="34"/>
      <c r="B69" s="61"/>
      <c r="D69" s="38"/>
      <c r="F69" s="111">
        <v>1199</v>
      </c>
      <c r="G69" s="112">
        <v>1096.57</v>
      </c>
      <c r="H69" s="112">
        <v>-813.50300000000004</v>
      </c>
      <c r="I69" s="112">
        <v>413446.1</v>
      </c>
      <c r="J69" s="112">
        <v>8124723.4900000002</v>
      </c>
    </row>
    <row r="70" spans="1:10" x14ac:dyDescent="0.2">
      <c r="A70" s="34"/>
      <c r="B70" s="61"/>
      <c r="D70" s="38"/>
      <c r="F70" s="111">
        <v>1228</v>
      </c>
      <c r="G70" s="112">
        <v>1122.79</v>
      </c>
      <c r="H70" s="112">
        <v>-839.72199999999998</v>
      </c>
      <c r="I70" s="112">
        <v>413446.48</v>
      </c>
      <c r="J70" s="112">
        <v>8124735.8799999999</v>
      </c>
    </row>
    <row r="71" spans="1:10" x14ac:dyDescent="0.2">
      <c r="A71" s="34"/>
      <c r="B71" s="61"/>
      <c r="D71" s="38"/>
      <c r="F71" s="111">
        <v>1256</v>
      </c>
      <c r="G71" s="112">
        <v>1148.22</v>
      </c>
      <c r="H71" s="112">
        <v>-865.15</v>
      </c>
      <c r="I71" s="112">
        <v>413446.83</v>
      </c>
      <c r="J71" s="112">
        <v>8124747.5899999999</v>
      </c>
    </row>
    <row r="72" spans="1:10" x14ac:dyDescent="0.2">
      <c r="A72" s="34"/>
      <c r="B72" s="61"/>
      <c r="D72" s="38"/>
      <c r="F72" s="111">
        <v>1275</v>
      </c>
      <c r="G72" s="112">
        <v>1165.55</v>
      </c>
      <c r="H72" s="112">
        <v>-882.48</v>
      </c>
      <c r="I72" s="112">
        <v>413447.11</v>
      </c>
      <c r="J72" s="112">
        <v>8124755.3799999999</v>
      </c>
    </row>
    <row r="73" spans="1:10" x14ac:dyDescent="0.2">
      <c r="A73" s="34"/>
      <c r="B73" s="61"/>
      <c r="D73" s="38"/>
      <c r="F73" s="111">
        <v>1290</v>
      </c>
      <c r="G73" s="112">
        <v>1179.26</v>
      </c>
      <c r="H73" s="112">
        <v>-896.19899999999996</v>
      </c>
      <c r="I73" s="112">
        <v>413447.37</v>
      </c>
      <c r="J73" s="112">
        <v>8124761.4400000004</v>
      </c>
    </row>
    <row r="74" spans="1:10" x14ac:dyDescent="0.2">
      <c r="A74" s="34"/>
      <c r="B74" s="61"/>
      <c r="D74" s="38"/>
      <c r="F74" s="111"/>
      <c r="G74" s="112"/>
      <c r="H74" s="112"/>
      <c r="I74" s="112"/>
      <c r="J74" s="112"/>
    </row>
    <row r="75" spans="1:10" x14ac:dyDescent="0.2">
      <c r="A75" s="34"/>
      <c r="B75" s="61"/>
      <c r="D75" s="38"/>
      <c r="F75" s="111"/>
      <c r="G75" s="112"/>
      <c r="H75" s="112"/>
      <c r="I75" s="112"/>
      <c r="J75" s="112"/>
    </row>
    <row r="76" spans="1:10" x14ac:dyDescent="0.2">
      <c r="A76" s="34"/>
      <c r="B76" s="61"/>
      <c r="D76" s="38"/>
      <c r="F76" s="111"/>
      <c r="G76" s="112"/>
      <c r="H76" s="112"/>
      <c r="I76" s="112"/>
      <c r="J76" s="112"/>
    </row>
    <row r="77" spans="1:10" x14ac:dyDescent="0.2">
      <c r="A77" s="34"/>
      <c r="B77" s="61"/>
      <c r="D77" s="38"/>
      <c r="F77" s="111"/>
      <c r="G77" s="112"/>
      <c r="H77" s="112"/>
      <c r="I77" s="112"/>
      <c r="J77" s="112"/>
    </row>
    <row r="78" spans="1:10" x14ac:dyDescent="0.2">
      <c r="A78" s="34"/>
      <c r="B78" s="61"/>
      <c r="D78" s="38"/>
      <c r="F78" s="111"/>
      <c r="G78" s="112"/>
      <c r="H78" s="112"/>
      <c r="I78" s="112"/>
      <c r="J78" s="112"/>
    </row>
    <row r="79" spans="1:10" x14ac:dyDescent="0.2">
      <c r="A79" s="34"/>
      <c r="B79" s="61"/>
      <c r="D79" s="38"/>
      <c r="F79" s="111"/>
      <c r="G79" s="112"/>
      <c r="H79" s="112"/>
      <c r="I79" s="112"/>
      <c r="J79" s="112"/>
    </row>
    <row r="80" spans="1:10" x14ac:dyDescent="0.2">
      <c r="A80" s="34"/>
      <c r="B80" s="61"/>
      <c r="D80" s="38"/>
      <c r="F80" s="111"/>
      <c r="G80" s="112"/>
      <c r="H80" s="112"/>
      <c r="I80" s="112"/>
      <c r="J80" s="112"/>
    </row>
    <row r="81" spans="1:10" x14ac:dyDescent="0.2">
      <c r="A81" s="34"/>
      <c r="B81" s="61"/>
      <c r="D81" s="38"/>
      <c r="F81" s="111"/>
      <c r="G81" s="112"/>
      <c r="H81" s="112"/>
      <c r="I81" s="112"/>
      <c r="J81" s="112"/>
    </row>
    <row r="82" spans="1:10" x14ac:dyDescent="0.2">
      <c r="A82" s="34"/>
      <c r="B82" s="61"/>
      <c r="D82" s="38"/>
      <c r="F82" s="111"/>
      <c r="G82" s="112"/>
      <c r="H82" s="112"/>
      <c r="I82" s="112"/>
      <c r="J82" s="112"/>
    </row>
    <row r="83" spans="1:10" x14ac:dyDescent="0.2">
      <c r="A83" s="34"/>
      <c r="B83" s="61"/>
      <c r="D83" s="38"/>
      <c r="F83" s="111"/>
      <c r="G83" s="112"/>
      <c r="H83" s="112"/>
      <c r="I83" s="112"/>
      <c r="J83" s="112"/>
    </row>
    <row r="84" spans="1:10" x14ac:dyDescent="0.2">
      <c r="A84" s="34"/>
      <c r="B84" s="61"/>
      <c r="D84" s="38"/>
      <c r="F84" s="111"/>
      <c r="G84" s="112"/>
      <c r="H84" s="112"/>
      <c r="I84" s="112"/>
      <c r="J84" s="112"/>
    </row>
    <row r="85" spans="1:10" x14ac:dyDescent="0.2">
      <c r="A85" s="34"/>
      <c r="B85" s="61"/>
      <c r="D85" s="38"/>
      <c r="F85" s="111"/>
      <c r="G85" s="112"/>
      <c r="H85" s="112"/>
      <c r="I85" s="112"/>
      <c r="J85" s="112"/>
    </row>
    <row r="86" spans="1:10" x14ac:dyDescent="0.2">
      <c r="A86" s="34"/>
      <c r="B86" s="61"/>
      <c r="D86" s="38"/>
      <c r="F86" s="111"/>
      <c r="G86" s="112"/>
      <c r="H86" s="112"/>
      <c r="I86" s="112"/>
      <c r="J86" s="112"/>
    </row>
    <row r="87" spans="1:10" x14ac:dyDescent="0.2">
      <c r="A87" s="34"/>
      <c r="B87" s="61"/>
      <c r="D87" s="38"/>
      <c r="F87" s="111"/>
      <c r="G87" s="112"/>
      <c r="H87" s="112"/>
      <c r="I87" s="112"/>
      <c r="J87" s="112"/>
    </row>
    <row r="88" spans="1:10" x14ac:dyDescent="0.2">
      <c r="A88" s="34"/>
      <c r="B88" s="61"/>
      <c r="D88" s="38"/>
      <c r="F88" s="111"/>
      <c r="G88" s="112"/>
      <c r="H88" s="112"/>
      <c r="I88" s="112"/>
      <c r="J88" s="112"/>
    </row>
    <row r="89" spans="1:10" x14ac:dyDescent="0.2">
      <c r="A89" s="34"/>
      <c r="B89" s="61"/>
      <c r="D89" s="38"/>
      <c r="F89" s="111"/>
      <c r="G89" s="112"/>
      <c r="H89" s="112"/>
      <c r="I89" s="112"/>
      <c r="J89" s="112"/>
    </row>
    <row r="90" spans="1:10" x14ac:dyDescent="0.2">
      <c r="A90" s="34"/>
      <c r="B90" s="61"/>
      <c r="D90" s="38"/>
      <c r="F90" s="111"/>
      <c r="G90" s="112"/>
      <c r="H90" s="112"/>
      <c r="I90" s="112"/>
      <c r="J90" s="112"/>
    </row>
    <row r="91" spans="1:10" x14ac:dyDescent="0.2">
      <c r="A91" s="34"/>
      <c r="B91" s="61"/>
      <c r="D91" s="38"/>
      <c r="F91" s="111"/>
      <c r="G91" s="112"/>
      <c r="H91" s="112"/>
      <c r="I91" s="112"/>
      <c r="J91" s="112"/>
    </row>
    <row r="92" spans="1:10" x14ac:dyDescent="0.2">
      <c r="A92" s="34"/>
      <c r="B92" s="61"/>
      <c r="D92" s="38"/>
      <c r="F92" s="111"/>
      <c r="G92" s="112"/>
      <c r="H92" s="112"/>
      <c r="I92" s="112"/>
      <c r="J92" s="112"/>
    </row>
    <row r="93" spans="1:10" x14ac:dyDescent="0.2">
      <c r="A93" s="34"/>
      <c r="B93" s="61"/>
      <c r="D93" s="38"/>
      <c r="F93" s="111"/>
      <c r="G93" s="112"/>
      <c r="H93" s="112"/>
      <c r="I93" s="112"/>
      <c r="J93" s="112"/>
    </row>
    <row r="94" spans="1:10" x14ac:dyDescent="0.2">
      <c r="A94" s="34"/>
      <c r="B94" s="61"/>
      <c r="D94" s="38"/>
      <c r="F94" s="111"/>
      <c r="G94" s="112"/>
      <c r="H94" s="112"/>
      <c r="I94" s="112"/>
      <c r="J94" s="112"/>
    </row>
    <row r="95" spans="1:10" x14ac:dyDescent="0.2">
      <c r="A95" s="34"/>
      <c r="B95" s="61"/>
      <c r="D95" s="38"/>
      <c r="F95" s="111"/>
      <c r="G95" s="112"/>
      <c r="H95" s="112"/>
      <c r="I95" s="112"/>
      <c r="J95" s="112"/>
    </row>
    <row r="96" spans="1:10" x14ac:dyDescent="0.2">
      <c r="A96" s="34"/>
      <c r="B96" s="61"/>
      <c r="D96" s="38"/>
      <c r="F96" s="111"/>
      <c r="G96" s="112"/>
      <c r="H96" s="112"/>
      <c r="I96" s="112"/>
      <c r="J96" s="112"/>
    </row>
    <row r="97" spans="1:10" x14ac:dyDescent="0.2">
      <c r="A97" s="34"/>
      <c r="B97" s="61"/>
      <c r="D97" s="38"/>
      <c r="F97" s="111"/>
      <c r="G97" s="112"/>
      <c r="H97" s="112"/>
      <c r="I97" s="112"/>
      <c r="J97" s="112"/>
    </row>
    <row r="98" spans="1:10" x14ac:dyDescent="0.2">
      <c r="A98" s="34"/>
      <c r="B98" s="61"/>
      <c r="D98" s="38"/>
      <c r="F98" s="111"/>
      <c r="G98" s="112"/>
      <c r="H98" s="112"/>
      <c r="I98" s="112"/>
      <c r="J98" s="112"/>
    </row>
    <row r="99" spans="1:10" x14ac:dyDescent="0.2">
      <c r="A99" s="34"/>
      <c r="B99" s="61"/>
      <c r="D99" s="38"/>
      <c r="F99" s="111"/>
      <c r="G99" s="112"/>
      <c r="H99" s="112"/>
      <c r="I99" s="112"/>
      <c r="J99" s="112"/>
    </row>
    <row r="100" spans="1:10" x14ac:dyDescent="0.2">
      <c r="A100" s="34"/>
      <c r="B100" s="61"/>
      <c r="D100" s="38"/>
      <c r="F100" s="111"/>
      <c r="G100" s="112"/>
      <c r="H100" s="112"/>
      <c r="I100" s="112"/>
      <c r="J100" s="112"/>
    </row>
    <row r="101" spans="1:10" x14ac:dyDescent="0.2">
      <c r="A101" s="34"/>
      <c r="B101" s="61"/>
      <c r="D101" s="38"/>
      <c r="F101" s="111"/>
      <c r="G101" s="112"/>
      <c r="H101" s="112"/>
      <c r="I101" s="112"/>
      <c r="J101" s="112"/>
    </row>
    <row r="102" spans="1:10" x14ac:dyDescent="0.2">
      <c r="A102" s="34"/>
      <c r="B102" s="61"/>
      <c r="D102" s="38"/>
      <c r="F102" s="111"/>
      <c r="G102" s="112"/>
      <c r="H102" s="112"/>
      <c r="I102" s="112"/>
      <c r="J102" s="112"/>
    </row>
    <row r="103" spans="1:10" x14ac:dyDescent="0.2">
      <c r="A103" s="34"/>
      <c r="B103" s="61"/>
      <c r="D103" s="38"/>
      <c r="F103" s="111"/>
      <c r="G103" s="112"/>
      <c r="H103" s="112"/>
      <c r="I103" s="112"/>
      <c r="J103" s="112"/>
    </row>
    <row r="104" spans="1:10" x14ac:dyDescent="0.2">
      <c r="A104" s="34"/>
      <c r="B104" s="61"/>
      <c r="D104" s="38"/>
      <c r="F104" s="111"/>
      <c r="G104" s="112"/>
      <c r="H104" s="112"/>
      <c r="I104" s="112"/>
      <c r="J104" s="112"/>
    </row>
    <row r="105" spans="1:10" x14ac:dyDescent="0.2">
      <c r="A105" s="34"/>
      <c r="B105" s="61"/>
      <c r="D105" s="38"/>
      <c r="F105" s="111"/>
      <c r="G105" s="112"/>
      <c r="H105" s="112"/>
      <c r="I105" s="112"/>
      <c r="J105" s="112"/>
    </row>
    <row r="106" spans="1:10" x14ac:dyDescent="0.2">
      <c r="A106" s="34"/>
      <c r="B106" s="61"/>
      <c r="D106" s="38"/>
      <c r="F106" s="111"/>
      <c r="G106" s="112"/>
      <c r="H106" s="112"/>
      <c r="I106" s="112"/>
      <c r="J106" s="112"/>
    </row>
    <row r="107" spans="1:10" x14ac:dyDescent="0.2">
      <c r="A107" s="34"/>
      <c r="B107" s="61"/>
      <c r="D107" s="38"/>
      <c r="F107" s="111"/>
      <c r="G107" s="112"/>
      <c r="H107" s="112"/>
      <c r="I107" s="112"/>
      <c r="J107" s="112"/>
    </row>
    <row r="108" spans="1:10" x14ac:dyDescent="0.2">
      <c r="A108" s="34"/>
      <c r="B108" s="61"/>
      <c r="D108" s="38"/>
      <c r="F108" s="111"/>
      <c r="G108" s="112"/>
      <c r="H108" s="112"/>
      <c r="I108" s="112"/>
      <c r="J108" s="112"/>
    </row>
    <row r="109" spans="1:10" x14ac:dyDescent="0.2">
      <c r="A109" s="34"/>
      <c r="B109" s="61"/>
      <c r="D109" s="38"/>
      <c r="F109" s="111"/>
      <c r="G109" s="112"/>
      <c r="H109" s="112"/>
      <c r="I109" s="112"/>
      <c r="J109" s="112"/>
    </row>
    <row r="110" spans="1:10" x14ac:dyDescent="0.2">
      <c r="A110" s="34"/>
      <c r="B110" s="61"/>
      <c r="D110" s="38"/>
      <c r="F110" s="111"/>
      <c r="G110" s="112"/>
      <c r="H110" s="112"/>
      <c r="I110" s="112"/>
      <c r="J110" s="112"/>
    </row>
    <row r="111" spans="1:10" x14ac:dyDescent="0.2">
      <c r="A111" s="34"/>
      <c r="B111" s="61"/>
      <c r="D111" s="38"/>
      <c r="F111" s="111"/>
      <c r="G111" s="112"/>
      <c r="H111" s="112"/>
      <c r="I111" s="112"/>
      <c r="J111" s="112"/>
    </row>
    <row r="112" spans="1:10" x14ac:dyDescent="0.2">
      <c r="A112" s="34"/>
      <c r="B112" s="61"/>
      <c r="D112" s="38"/>
      <c r="F112" s="111"/>
      <c r="G112" s="112"/>
      <c r="H112" s="112"/>
      <c r="I112" s="112"/>
      <c r="J112" s="112"/>
    </row>
    <row r="113" spans="1:10" x14ac:dyDescent="0.2">
      <c r="A113" s="34"/>
      <c r="B113" s="61"/>
      <c r="D113" s="38"/>
      <c r="F113" s="111"/>
      <c r="G113" s="112"/>
      <c r="H113" s="112"/>
      <c r="I113" s="112"/>
      <c r="J113" s="112"/>
    </row>
    <row r="114" spans="1:10" x14ac:dyDescent="0.2">
      <c r="A114" s="34"/>
      <c r="B114" s="61"/>
      <c r="D114" s="38"/>
      <c r="F114" s="111"/>
      <c r="G114" s="112"/>
      <c r="H114" s="112"/>
      <c r="I114" s="112"/>
      <c r="J114" s="112"/>
    </row>
    <row r="115" spans="1:10" x14ac:dyDescent="0.2">
      <c r="A115" s="34"/>
      <c r="B115" s="61"/>
      <c r="D115" s="38"/>
      <c r="F115" s="111"/>
      <c r="G115" s="112"/>
      <c r="H115" s="112"/>
      <c r="I115" s="112"/>
      <c r="J115" s="112"/>
    </row>
    <row r="116" spans="1:10" x14ac:dyDescent="0.2">
      <c r="A116" s="34"/>
      <c r="B116" s="61"/>
      <c r="D116" s="38"/>
      <c r="F116" s="111"/>
      <c r="G116" s="112"/>
      <c r="H116" s="112"/>
      <c r="I116" s="112"/>
      <c r="J116" s="112"/>
    </row>
    <row r="117" spans="1:10" x14ac:dyDescent="0.2">
      <c r="A117" s="34"/>
      <c r="B117" s="61"/>
      <c r="D117" s="38"/>
      <c r="F117" s="111"/>
      <c r="G117" s="112"/>
      <c r="H117" s="112"/>
      <c r="I117" s="112"/>
      <c r="J117" s="112"/>
    </row>
    <row r="118" spans="1:10" x14ac:dyDescent="0.2">
      <c r="A118" s="34"/>
      <c r="B118" s="61"/>
      <c r="D118" s="38"/>
      <c r="F118" s="111"/>
      <c r="G118" s="112"/>
      <c r="H118" s="112"/>
      <c r="I118" s="112"/>
      <c r="J118" s="112"/>
    </row>
    <row r="119" spans="1:10" x14ac:dyDescent="0.2">
      <c r="A119" s="34"/>
      <c r="B119" s="61"/>
      <c r="D119" s="38"/>
      <c r="F119" s="111"/>
      <c r="G119" s="112"/>
      <c r="H119" s="112"/>
      <c r="I119" s="112"/>
      <c r="J119" s="112"/>
    </row>
    <row r="120" spans="1:10" x14ac:dyDescent="0.2">
      <c r="A120" s="34"/>
      <c r="B120" s="61"/>
      <c r="D120" s="38"/>
      <c r="F120" s="111"/>
      <c r="G120" s="112"/>
      <c r="H120" s="112"/>
      <c r="I120" s="112"/>
      <c r="J120" s="112"/>
    </row>
    <row r="121" spans="1:10" x14ac:dyDescent="0.2">
      <c r="A121" s="34"/>
      <c r="B121" s="61"/>
      <c r="D121" s="38"/>
      <c r="F121" s="111"/>
      <c r="G121" s="112"/>
      <c r="H121" s="112"/>
      <c r="I121" s="112"/>
      <c r="J121" s="112"/>
    </row>
    <row r="122" spans="1:10" x14ac:dyDescent="0.2">
      <c r="A122" s="34"/>
      <c r="B122" s="61"/>
      <c r="D122" s="38"/>
      <c r="F122" s="111"/>
      <c r="G122" s="112"/>
      <c r="H122" s="112"/>
      <c r="I122" s="112"/>
      <c r="J122" s="112"/>
    </row>
    <row r="123" spans="1:10" x14ac:dyDescent="0.2">
      <c r="A123" s="34"/>
      <c r="B123" s="61"/>
      <c r="D123" s="38"/>
      <c r="F123" s="111"/>
      <c r="G123" s="112"/>
      <c r="H123" s="112"/>
      <c r="I123" s="112"/>
      <c r="J123" s="112"/>
    </row>
    <row r="124" spans="1:10" x14ac:dyDescent="0.2">
      <c r="A124" s="34"/>
      <c r="B124" s="61"/>
      <c r="D124" s="38"/>
      <c r="F124" s="111"/>
      <c r="G124" s="112"/>
      <c r="H124" s="112"/>
      <c r="I124" s="112"/>
      <c r="J124" s="112"/>
    </row>
    <row r="125" spans="1:10" x14ac:dyDescent="0.2">
      <c r="A125" s="34"/>
      <c r="B125" s="61"/>
      <c r="D125" s="38"/>
      <c r="F125" s="111"/>
      <c r="G125" s="112"/>
      <c r="H125" s="112"/>
      <c r="I125" s="112"/>
      <c r="J125" s="112"/>
    </row>
    <row r="126" spans="1:10" x14ac:dyDescent="0.2">
      <c r="A126" s="34"/>
      <c r="B126" s="61"/>
      <c r="D126" s="38"/>
      <c r="F126" s="111"/>
      <c r="G126" s="112"/>
      <c r="H126" s="112"/>
      <c r="I126" s="112"/>
      <c r="J126" s="112"/>
    </row>
    <row r="127" spans="1:10" x14ac:dyDescent="0.2">
      <c r="A127" s="34"/>
      <c r="B127" s="61"/>
      <c r="D127" s="38"/>
      <c r="F127" s="111"/>
      <c r="G127" s="112"/>
      <c r="H127" s="112"/>
      <c r="I127" s="112"/>
      <c r="J127" s="112"/>
    </row>
    <row r="128" spans="1:10" x14ac:dyDescent="0.2">
      <c r="A128" s="34"/>
      <c r="B128" s="61"/>
      <c r="D128" s="38"/>
      <c r="F128" s="111"/>
      <c r="G128" s="112"/>
      <c r="H128" s="112"/>
      <c r="I128" s="112"/>
      <c r="J128" s="112"/>
    </row>
    <row r="129" spans="1:10" x14ac:dyDescent="0.2">
      <c r="A129" s="34"/>
      <c r="B129" s="61"/>
      <c r="D129" s="38"/>
      <c r="F129" s="111"/>
      <c r="G129" s="112"/>
      <c r="H129" s="112"/>
      <c r="I129" s="112"/>
      <c r="J129" s="112"/>
    </row>
    <row r="130" spans="1:10" x14ac:dyDescent="0.2">
      <c r="A130" s="34"/>
      <c r="B130" s="61"/>
      <c r="D130" s="38"/>
      <c r="F130" s="111"/>
      <c r="G130" s="112"/>
      <c r="H130" s="112"/>
      <c r="I130" s="112"/>
      <c r="J130" s="112"/>
    </row>
    <row r="131" spans="1:10" x14ac:dyDescent="0.2">
      <c r="A131" s="34"/>
      <c r="B131" s="61"/>
      <c r="D131" s="38"/>
      <c r="F131" s="111"/>
      <c r="G131" s="112"/>
      <c r="H131" s="112"/>
      <c r="I131" s="112"/>
      <c r="J131" s="112"/>
    </row>
    <row r="132" spans="1:10" x14ac:dyDescent="0.2">
      <c r="A132" s="34"/>
      <c r="B132" s="61"/>
      <c r="D132" s="38"/>
      <c r="F132" s="111"/>
      <c r="G132" s="112"/>
      <c r="H132" s="112"/>
      <c r="I132" s="112"/>
      <c r="J132" s="112"/>
    </row>
    <row r="133" spans="1:10" x14ac:dyDescent="0.2">
      <c r="A133" s="34"/>
      <c r="B133" s="61"/>
      <c r="D133" s="38"/>
      <c r="F133" s="111"/>
      <c r="G133" s="112"/>
      <c r="H133" s="112"/>
      <c r="I133" s="112"/>
      <c r="J133" s="112"/>
    </row>
    <row r="134" spans="1:10" x14ac:dyDescent="0.2">
      <c r="A134" s="34"/>
      <c r="B134" s="61"/>
      <c r="D134" s="38"/>
      <c r="F134" s="111"/>
      <c r="G134" s="112"/>
      <c r="H134" s="112"/>
      <c r="I134" s="112"/>
      <c r="J134" s="112"/>
    </row>
    <row r="135" spans="1:10" x14ac:dyDescent="0.2">
      <c r="A135" s="34"/>
      <c r="B135" s="61"/>
      <c r="D135" s="38"/>
      <c r="F135" s="111"/>
      <c r="G135" s="112"/>
      <c r="H135" s="112"/>
      <c r="I135" s="112"/>
      <c r="J135" s="112"/>
    </row>
    <row r="136" spans="1:10" x14ac:dyDescent="0.2">
      <c r="A136" s="34"/>
      <c r="B136" s="61"/>
      <c r="D136" s="38"/>
      <c r="F136" s="111"/>
      <c r="G136" s="112"/>
      <c r="H136" s="112"/>
      <c r="I136" s="112"/>
      <c r="J136" s="112"/>
    </row>
    <row r="137" spans="1:10" x14ac:dyDescent="0.2">
      <c r="A137" s="34"/>
      <c r="B137" s="61"/>
      <c r="D137" s="38"/>
      <c r="F137" s="111"/>
      <c r="G137" s="112"/>
      <c r="H137" s="112"/>
      <c r="I137" s="112"/>
      <c r="J137" s="112"/>
    </row>
    <row r="138" spans="1:10" x14ac:dyDescent="0.2">
      <c r="A138" s="34"/>
      <c r="B138" s="61"/>
      <c r="D138" s="38"/>
      <c r="F138" s="111"/>
      <c r="G138" s="112"/>
      <c r="H138" s="112"/>
      <c r="I138" s="112"/>
      <c r="J138" s="112"/>
    </row>
    <row r="139" spans="1:10" x14ac:dyDescent="0.2">
      <c r="A139" s="34"/>
      <c r="B139" s="61"/>
      <c r="D139" s="38"/>
      <c r="F139" s="111"/>
      <c r="G139" s="112"/>
      <c r="H139" s="112"/>
      <c r="I139" s="112"/>
      <c r="J139" s="112"/>
    </row>
    <row r="140" spans="1:10" x14ac:dyDescent="0.2">
      <c r="A140" s="34"/>
      <c r="B140" s="61"/>
      <c r="D140" s="38"/>
      <c r="F140" s="111"/>
      <c r="G140" s="112"/>
      <c r="H140" s="112"/>
      <c r="I140" s="112"/>
      <c r="J140" s="112"/>
    </row>
    <row r="141" spans="1:10" x14ac:dyDescent="0.2">
      <c r="A141" s="34"/>
      <c r="B141" s="61"/>
      <c r="D141" s="38"/>
      <c r="F141" s="111"/>
      <c r="G141" s="112"/>
      <c r="H141" s="112"/>
      <c r="I141" s="112"/>
      <c r="J141" s="112"/>
    </row>
    <row r="142" spans="1:10" x14ac:dyDescent="0.2">
      <c r="A142" s="34"/>
      <c r="B142" s="61"/>
      <c r="D142" s="38"/>
      <c r="F142" s="111"/>
      <c r="G142" s="112"/>
      <c r="H142" s="112"/>
      <c r="I142" s="112"/>
      <c r="J142" s="112"/>
    </row>
    <row r="143" spans="1:10" x14ac:dyDescent="0.2">
      <c r="A143" s="34"/>
      <c r="B143" s="61"/>
      <c r="D143" s="38"/>
      <c r="F143" s="111"/>
      <c r="G143" s="112"/>
      <c r="H143" s="112"/>
      <c r="I143" s="112"/>
      <c r="J143" s="112"/>
    </row>
    <row r="144" spans="1:10" x14ac:dyDescent="0.2">
      <c r="A144" s="34"/>
      <c r="B144" s="61"/>
      <c r="D144" s="38"/>
      <c r="F144" s="111"/>
      <c r="G144" s="112"/>
      <c r="H144" s="112"/>
      <c r="I144" s="112"/>
      <c r="J144" s="112"/>
    </row>
    <row r="145" spans="1:10" x14ac:dyDescent="0.2">
      <c r="A145" s="34"/>
      <c r="B145" s="61"/>
      <c r="D145" s="38"/>
      <c r="F145" s="111"/>
      <c r="G145" s="112"/>
      <c r="H145" s="112"/>
      <c r="I145" s="112"/>
      <c r="J145" s="112"/>
    </row>
    <row r="146" spans="1:10" x14ac:dyDescent="0.2">
      <c r="A146" s="34"/>
      <c r="B146" s="61"/>
      <c r="D146" s="38"/>
      <c r="F146" s="111"/>
      <c r="G146" s="112"/>
      <c r="H146" s="112"/>
      <c r="I146" s="112"/>
      <c r="J146" s="112"/>
    </row>
    <row r="147" spans="1:10" x14ac:dyDescent="0.2">
      <c r="A147" s="34"/>
      <c r="B147" s="61"/>
      <c r="D147" s="38"/>
      <c r="F147" s="111"/>
      <c r="G147" s="112"/>
      <c r="H147" s="112"/>
      <c r="I147" s="112"/>
      <c r="J147" s="112"/>
    </row>
    <row r="148" spans="1:10" x14ac:dyDescent="0.2">
      <c r="A148" s="34"/>
      <c r="B148" s="61"/>
      <c r="D148" s="38"/>
      <c r="F148" s="111"/>
      <c r="G148" s="112"/>
      <c r="H148" s="112"/>
      <c r="I148" s="112"/>
      <c r="J148" s="112"/>
    </row>
    <row r="149" spans="1:10" x14ac:dyDescent="0.2">
      <c r="A149" s="34"/>
      <c r="B149" s="61"/>
      <c r="D149" s="38"/>
      <c r="F149" s="111"/>
      <c r="G149" s="112"/>
      <c r="H149" s="112"/>
      <c r="I149" s="112"/>
      <c r="J149" s="112"/>
    </row>
    <row r="150" spans="1:10" x14ac:dyDescent="0.2">
      <c r="A150" s="34"/>
      <c r="B150" s="61"/>
      <c r="D150" s="38"/>
      <c r="F150" s="111"/>
      <c r="G150" s="112"/>
      <c r="H150" s="112"/>
      <c r="I150" s="112"/>
      <c r="J150" s="112"/>
    </row>
    <row r="151" spans="1:10" x14ac:dyDescent="0.2">
      <c r="A151" s="34"/>
      <c r="B151" s="61"/>
      <c r="D151" s="38"/>
      <c r="F151" s="111"/>
      <c r="G151" s="112"/>
      <c r="H151" s="112"/>
      <c r="I151" s="112"/>
      <c r="J151" s="112"/>
    </row>
    <row r="152" spans="1:10" x14ac:dyDescent="0.2">
      <c r="A152" s="34"/>
      <c r="B152" s="61"/>
      <c r="D152" s="38"/>
      <c r="F152" s="111"/>
      <c r="G152" s="112"/>
      <c r="H152" s="112"/>
      <c r="I152" s="112"/>
      <c r="J152" s="112"/>
    </row>
    <row r="153" spans="1:10" x14ac:dyDescent="0.2">
      <c r="A153" s="34"/>
      <c r="B153" s="61"/>
      <c r="D153" s="38"/>
      <c r="F153" s="111"/>
      <c r="G153" s="112"/>
      <c r="H153" s="112"/>
      <c r="I153" s="112"/>
      <c r="J153" s="112"/>
    </row>
    <row r="154" spans="1:10" x14ac:dyDescent="0.2">
      <c r="A154" s="34"/>
      <c r="B154" s="61"/>
      <c r="D154" s="38"/>
      <c r="F154" s="111"/>
      <c r="G154" s="112"/>
      <c r="H154" s="112"/>
      <c r="I154" s="112"/>
      <c r="J154" s="112"/>
    </row>
    <row r="155" spans="1:10" x14ac:dyDescent="0.2">
      <c r="A155" s="34"/>
      <c r="B155" s="61"/>
      <c r="D155" s="38"/>
      <c r="F155" s="111"/>
      <c r="G155" s="112"/>
      <c r="H155" s="112"/>
      <c r="I155" s="112"/>
      <c r="J155" s="112"/>
    </row>
    <row r="156" spans="1:10" x14ac:dyDescent="0.2">
      <c r="A156" s="34"/>
      <c r="B156" s="61"/>
      <c r="D156" s="38"/>
      <c r="F156" s="111"/>
      <c r="G156" s="112"/>
      <c r="H156" s="112"/>
      <c r="I156" s="112"/>
      <c r="J156" s="112"/>
    </row>
    <row r="157" spans="1:10" x14ac:dyDescent="0.2">
      <c r="A157" s="34"/>
      <c r="B157" s="61"/>
      <c r="D157" s="38"/>
      <c r="F157" s="111"/>
      <c r="G157" s="112"/>
      <c r="H157" s="112"/>
      <c r="I157" s="112"/>
      <c r="J157" s="112"/>
    </row>
    <row r="158" spans="1:10" x14ac:dyDescent="0.2">
      <c r="A158" s="34"/>
      <c r="B158" s="61"/>
      <c r="D158" s="38"/>
      <c r="F158" s="111"/>
      <c r="G158" s="112"/>
      <c r="H158" s="112"/>
      <c r="I158" s="112"/>
      <c r="J158" s="112"/>
    </row>
    <row r="159" spans="1:10" x14ac:dyDescent="0.2">
      <c r="A159" s="34"/>
      <c r="B159" s="61"/>
      <c r="D159" s="38"/>
      <c r="F159" s="111"/>
      <c r="G159" s="112"/>
      <c r="H159" s="112"/>
      <c r="I159" s="112"/>
      <c r="J159" s="112"/>
    </row>
    <row r="160" spans="1:10" x14ac:dyDescent="0.2">
      <c r="A160" s="34"/>
      <c r="B160" s="61"/>
      <c r="D160" s="38"/>
      <c r="F160" s="111"/>
      <c r="G160" s="112"/>
      <c r="H160" s="112"/>
      <c r="I160" s="112"/>
      <c r="J160" s="112"/>
    </row>
    <row r="161" spans="1:10" x14ac:dyDescent="0.2">
      <c r="A161" s="34"/>
      <c r="B161" s="61"/>
      <c r="D161" s="38"/>
      <c r="F161" s="111"/>
      <c r="G161" s="112"/>
      <c r="H161" s="112"/>
      <c r="I161" s="112"/>
      <c r="J161" s="112"/>
    </row>
    <row r="162" spans="1:10" x14ac:dyDescent="0.2">
      <c r="A162" s="34"/>
      <c r="B162" s="61"/>
      <c r="D162" s="38"/>
      <c r="F162" s="111"/>
      <c r="G162" s="112"/>
      <c r="H162" s="112"/>
      <c r="I162" s="112"/>
      <c r="J162" s="112"/>
    </row>
    <row r="163" spans="1:10" x14ac:dyDescent="0.2">
      <c r="A163" s="34"/>
      <c r="B163" s="61"/>
      <c r="D163" s="38"/>
      <c r="F163" s="111"/>
      <c r="G163" s="112"/>
      <c r="H163" s="112"/>
      <c r="I163" s="112"/>
      <c r="J163" s="112"/>
    </row>
    <row r="164" spans="1:10" x14ac:dyDescent="0.2">
      <c r="A164" s="34"/>
      <c r="B164" s="61"/>
      <c r="D164" s="38"/>
      <c r="F164" s="111"/>
      <c r="G164" s="112"/>
      <c r="H164" s="112"/>
      <c r="I164" s="112"/>
      <c r="J164" s="112"/>
    </row>
    <row r="165" spans="1:10" x14ac:dyDescent="0.2">
      <c r="A165" s="34"/>
      <c r="B165" s="61"/>
      <c r="D165" s="38"/>
      <c r="F165" s="111"/>
      <c r="G165" s="112"/>
      <c r="H165" s="112"/>
      <c r="I165" s="112"/>
      <c r="J165" s="112"/>
    </row>
    <row r="166" spans="1:10" x14ac:dyDescent="0.2">
      <c r="A166" s="34"/>
      <c r="B166" s="61"/>
      <c r="D166" s="38"/>
      <c r="F166" s="111"/>
      <c r="G166" s="112"/>
      <c r="H166" s="112"/>
      <c r="I166" s="112"/>
      <c r="J166" s="112"/>
    </row>
    <row r="167" spans="1:10" x14ac:dyDescent="0.2">
      <c r="A167" s="34"/>
      <c r="B167" s="61"/>
      <c r="D167" s="38"/>
      <c r="F167" s="111"/>
      <c r="G167" s="112"/>
      <c r="H167" s="112"/>
      <c r="I167" s="112"/>
      <c r="J167" s="112"/>
    </row>
    <row r="168" spans="1:10" x14ac:dyDescent="0.2">
      <c r="A168" s="34"/>
      <c r="B168" s="61"/>
      <c r="D168" s="38"/>
      <c r="F168" s="111"/>
      <c r="G168" s="112"/>
      <c r="H168" s="112"/>
      <c r="I168" s="112"/>
      <c r="J168" s="112"/>
    </row>
    <row r="169" spans="1:10" x14ac:dyDescent="0.2">
      <c r="A169" s="34"/>
      <c r="B169" s="61"/>
      <c r="D169" s="38"/>
      <c r="F169" s="111"/>
      <c r="G169" s="112"/>
      <c r="H169" s="112"/>
      <c r="I169" s="112"/>
      <c r="J169" s="112"/>
    </row>
    <row r="170" spans="1:10" x14ac:dyDescent="0.2">
      <c r="A170" s="34"/>
      <c r="B170" s="61"/>
      <c r="D170" s="38"/>
      <c r="F170" s="111"/>
      <c r="G170" s="112"/>
      <c r="H170" s="112"/>
      <c r="I170" s="112"/>
      <c r="J170" s="112"/>
    </row>
    <row r="171" spans="1:10" x14ac:dyDescent="0.2">
      <c r="A171" s="34"/>
      <c r="B171" s="61"/>
      <c r="D171" s="63"/>
      <c r="F171" s="111"/>
      <c r="G171" s="112"/>
      <c r="H171" s="112"/>
      <c r="I171" s="112"/>
      <c r="J171" s="112"/>
    </row>
    <row r="172" spans="1:10" x14ac:dyDescent="0.2">
      <c r="A172" s="34"/>
      <c r="B172" s="61"/>
      <c r="D172" s="38"/>
      <c r="F172" s="111"/>
      <c r="G172" s="112"/>
      <c r="H172" s="112"/>
      <c r="I172" s="112"/>
      <c r="J172" s="112"/>
    </row>
    <row r="173" spans="1:10" x14ac:dyDescent="0.2">
      <c r="A173" s="34"/>
      <c r="B173" s="61"/>
      <c r="D173" s="38"/>
      <c r="F173" s="111"/>
      <c r="G173" s="112"/>
      <c r="H173" s="112"/>
      <c r="I173" s="112"/>
      <c r="J173" s="112"/>
    </row>
    <row r="174" spans="1:10" x14ac:dyDescent="0.2">
      <c r="A174" s="34"/>
      <c r="B174" s="61"/>
      <c r="D174" s="38"/>
      <c r="F174" s="111"/>
      <c r="G174" s="112"/>
      <c r="H174" s="112"/>
      <c r="I174" s="112"/>
      <c r="J174" s="112"/>
    </row>
    <row r="175" spans="1:10" x14ac:dyDescent="0.2">
      <c r="A175" s="34"/>
      <c r="B175" s="61"/>
      <c r="D175" s="38"/>
      <c r="F175" s="111"/>
      <c r="G175" s="112"/>
      <c r="H175" s="112"/>
      <c r="I175" s="112"/>
      <c r="J175" s="112"/>
    </row>
    <row r="176" spans="1:10" x14ac:dyDescent="0.2">
      <c r="A176" s="34"/>
      <c r="B176" s="61"/>
      <c r="D176" s="38"/>
      <c r="F176" s="111"/>
      <c r="G176" s="112"/>
      <c r="H176" s="112"/>
      <c r="I176" s="112"/>
      <c r="J176" s="112"/>
    </row>
    <row r="177" spans="1:10" x14ac:dyDescent="0.2">
      <c r="A177" s="34"/>
      <c r="B177" s="61"/>
      <c r="D177" s="38"/>
      <c r="F177" s="111"/>
      <c r="G177" s="112"/>
      <c r="H177" s="112"/>
      <c r="I177" s="112"/>
      <c r="J177" s="112"/>
    </row>
    <row r="178" spans="1:10" x14ac:dyDescent="0.2">
      <c r="A178" s="34"/>
      <c r="B178" s="61"/>
      <c r="D178" s="38"/>
      <c r="F178" s="111"/>
      <c r="G178" s="112"/>
      <c r="H178" s="112"/>
      <c r="I178" s="112"/>
      <c r="J178" s="112"/>
    </row>
    <row r="179" spans="1:10" x14ac:dyDescent="0.2">
      <c r="A179" s="34"/>
      <c r="B179" s="61"/>
      <c r="D179" s="38"/>
      <c r="F179" s="111"/>
      <c r="G179" s="112"/>
      <c r="H179" s="112"/>
      <c r="I179" s="112"/>
      <c r="J179" s="112"/>
    </row>
    <row r="180" spans="1:10" x14ac:dyDescent="0.2">
      <c r="A180" s="34"/>
      <c r="B180" s="61"/>
      <c r="D180" s="38"/>
      <c r="F180" s="111"/>
      <c r="G180" s="112"/>
      <c r="H180" s="112"/>
      <c r="I180" s="112"/>
      <c r="J180" s="112"/>
    </row>
    <row r="181" spans="1:10" x14ac:dyDescent="0.2">
      <c r="A181" s="34"/>
      <c r="B181" s="61"/>
      <c r="D181" s="38"/>
      <c r="F181" s="111"/>
      <c r="G181" s="112"/>
      <c r="H181" s="112"/>
      <c r="I181" s="112"/>
      <c r="J181" s="112"/>
    </row>
    <row r="182" spans="1:10" x14ac:dyDescent="0.2">
      <c r="A182" s="34"/>
      <c r="B182" s="61"/>
      <c r="D182" s="38"/>
      <c r="F182" s="111"/>
      <c r="G182" s="112"/>
      <c r="H182" s="112"/>
      <c r="I182" s="112"/>
      <c r="J182" s="112"/>
    </row>
    <row r="183" spans="1:10" x14ac:dyDescent="0.2">
      <c r="A183" s="34"/>
      <c r="B183" s="61"/>
      <c r="D183" s="38"/>
      <c r="F183" s="111"/>
      <c r="G183" s="112"/>
      <c r="H183" s="112"/>
      <c r="I183" s="112"/>
      <c r="J183" s="112"/>
    </row>
    <row r="184" spans="1:10" x14ac:dyDescent="0.2">
      <c r="A184" s="34"/>
      <c r="B184" s="61"/>
      <c r="D184" s="38"/>
      <c r="F184" s="111"/>
      <c r="G184" s="112"/>
      <c r="H184" s="112"/>
      <c r="I184" s="112"/>
      <c r="J184" s="112"/>
    </row>
    <row r="185" spans="1:10" x14ac:dyDescent="0.2">
      <c r="A185" s="34"/>
      <c r="B185" s="61"/>
      <c r="D185" s="38"/>
      <c r="F185" s="111"/>
      <c r="G185" s="112"/>
      <c r="H185" s="112"/>
      <c r="I185" s="112"/>
      <c r="J185" s="112"/>
    </row>
    <row r="186" spans="1:10" x14ac:dyDescent="0.2">
      <c r="A186" s="34"/>
      <c r="B186" s="61"/>
      <c r="D186" s="38"/>
      <c r="F186" s="111"/>
      <c r="G186" s="112"/>
      <c r="H186" s="112"/>
      <c r="I186" s="112"/>
      <c r="J186" s="112"/>
    </row>
    <row r="187" spans="1:10" x14ac:dyDescent="0.2">
      <c r="A187" s="34"/>
      <c r="B187" s="61"/>
      <c r="D187" s="38"/>
      <c r="F187" s="111"/>
      <c r="G187" s="112"/>
      <c r="H187" s="112"/>
      <c r="I187" s="112"/>
      <c r="J187" s="112"/>
    </row>
    <row r="188" spans="1:10" x14ac:dyDescent="0.2">
      <c r="A188" s="34"/>
      <c r="B188" s="61"/>
      <c r="D188" s="38"/>
      <c r="F188" s="111"/>
      <c r="G188" s="112"/>
      <c r="H188" s="112"/>
      <c r="I188" s="112"/>
      <c r="J188" s="112"/>
    </row>
    <row r="189" spans="1:10" x14ac:dyDescent="0.2">
      <c r="A189" s="34"/>
      <c r="B189" s="61"/>
      <c r="D189" s="38"/>
      <c r="F189" s="111"/>
      <c r="G189" s="112"/>
      <c r="H189" s="112"/>
      <c r="I189" s="112"/>
      <c r="J189" s="112"/>
    </row>
    <row r="190" spans="1:10" x14ac:dyDescent="0.2">
      <c r="A190" s="34"/>
      <c r="B190" s="61"/>
      <c r="D190" s="38"/>
      <c r="F190" s="111"/>
      <c r="G190" s="112"/>
      <c r="H190" s="112"/>
      <c r="I190" s="112"/>
      <c r="J190" s="112"/>
    </row>
    <row r="191" spans="1:10" x14ac:dyDescent="0.2">
      <c r="A191" s="34"/>
      <c r="B191" s="61"/>
      <c r="D191" s="38"/>
      <c r="F191" s="111"/>
      <c r="G191" s="112"/>
      <c r="H191" s="112"/>
      <c r="I191" s="112"/>
      <c r="J191" s="112"/>
    </row>
    <row r="192" spans="1:10" x14ac:dyDescent="0.2">
      <c r="A192" s="34"/>
      <c r="B192" s="61"/>
      <c r="D192" s="38"/>
      <c r="F192" s="111"/>
      <c r="G192" s="112"/>
      <c r="H192" s="112"/>
      <c r="I192" s="112"/>
      <c r="J192" s="112"/>
    </row>
    <row r="193" spans="1:10" x14ac:dyDescent="0.2">
      <c r="A193" s="34"/>
      <c r="B193" s="61"/>
      <c r="D193" s="38"/>
      <c r="F193" s="111"/>
      <c r="G193" s="112"/>
      <c r="H193" s="112"/>
      <c r="I193" s="112"/>
      <c r="J193" s="112"/>
    </row>
    <row r="194" spans="1:10" x14ac:dyDescent="0.2">
      <c r="A194" s="34"/>
      <c r="B194" s="61"/>
      <c r="D194" s="38"/>
      <c r="F194" s="111"/>
      <c r="G194" s="112"/>
      <c r="H194" s="112"/>
      <c r="I194" s="112"/>
      <c r="J194" s="112"/>
    </row>
    <row r="195" spans="1:10" x14ac:dyDescent="0.2">
      <c r="A195" s="34"/>
      <c r="B195" s="61"/>
      <c r="D195" s="38"/>
      <c r="F195" s="111"/>
      <c r="G195" s="112"/>
      <c r="H195" s="112"/>
      <c r="I195" s="112"/>
      <c r="J195" s="112"/>
    </row>
    <row r="196" spans="1:10" x14ac:dyDescent="0.2">
      <c r="A196" s="34"/>
      <c r="B196" s="61"/>
      <c r="D196" s="38"/>
      <c r="F196" s="111"/>
      <c r="G196" s="112"/>
      <c r="H196" s="112"/>
      <c r="I196" s="112"/>
      <c r="J196" s="112"/>
    </row>
    <row r="197" spans="1:10" x14ac:dyDescent="0.2">
      <c r="A197" s="34"/>
      <c r="B197" s="61"/>
      <c r="D197" s="38"/>
      <c r="F197" s="111"/>
      <c r="G197" s="112"/>
      <c r="H197" s="112"/>
      <c r="I197" s="112"/>
      <c r="J197" s="112"/>
    </row>
    <row r="198" spans="1:10" x14ac:dyDescent="0.2">
      <c r="A198" s="34"/>
      <c r="B198" s="61"/>
      <c r="D198" s="38"/>
      <c r="F198" s="111"/>
      <c r="G198" s="112"/>
      <c r="H198" s="112"/>
      <c r="I198" s="112"/>
      <c r="J198" s="112"/>
    </row>
    <row r="199" spans="1:10" x14ac:dyDescent="0.2">
      <c r="A199" s="34"/>
      <c r="B199" s="61"/>
      <c r="D199" s="38"/>
      <c r="F199" s="111"/>
      <c r="G199" s="112"/>
      <c r="H199" s="112"/>
      <c r="I199" s="112"/>
      <c r="J199" s="112"/>
    </row>
    <row r="200" spans="1:10" x14ac:dyDescent="0.2">
      <c r="A200" s="34"/>
      <c r="B200" s="61"/>
      <c r="D200" s="38"/>
      <c r="F200" s="111"/>
      <c r="G200" s="112"/>
      <c r="H200" s="112"/>
      <c r="I200" s="112"/>
      <c r="J200" s="112"/>
    </row>
    <row r="201" spans="1:10" x14ac:dyDescent="0.2">
      <c r="A201" s="34"/>
      <c r="B201" s="61"/>
      <c r="D201" s="38"/>
      <c r="F201" s="111"/>
      <c r="G201" s="112"/>
      <c r="H201" s="112"/>
      <c r="I201" s="112"/>
      <c r="J201" s="112"/>
    </row>
    <row r="202" spans="1:10" x14ac:dyDescent="0.2">
      <c r="A202" s="34"/>
      <c r="B202" s="61"/>
      <c r="D202" s="38"/>
      <c r="F202" s="111"/>
      <c r="G202" s="112"/>
      <c r="H202" s="112"/>
      <c r="I202" s="112"/>
      <c r="J202" s="112"/>
    </row>
    <row r="203" spans="1:10" x14ac:dyDescent="0.2">
      <c r="A203" s="34"/>
      <c r="B203" s="61"/>
      <c r="D203" s="38"/>
      <c r="F203" s="111"/>
      <c r="G203" s="112"/>
      <c r="H203" s="112"/>
      <c r="I203" s="112"/>
      <c r="J203" s="112"/>
    </row>
    <row r="204" spans="1:10" x14ac:dyDescent="0.2">
      <c r="A204" s="34"/>
      <c r="B204" s="61"/>
      <c r="D204" s="38"/>
      <c r="F204" s="111"/>
      <c r="G204" s="112"/>
      <c r="H204" s="112"/>
      <c r="I204" s="112"/>
      <c r="J204" s="112"/>
    </row>
    <row r="205" spans="1:10" x14ac:dyDescent="0.2">
      <c r="A205" s="34"/>
      <c r="B205" s="61"/>
      <c r="D205" s="38"/>
      <c r="F205" s="111"/>
      <c r="G205" s="112"/>
      <c r="H205" s="112"/>
      <c r="I205" s="112"/>
      <c r="J205" s="112"/>
    </row>
    <row r="206" spans="1:10" x14ac:dyDescent="0.2">
      <c r="A206" s="34"/>
      <c r="B206" s="61"/>
      <c r="D206" s="38"/>
      <c r="F206" s="111"/>
      <c r="G206" s="112"/>
      <c r="H206" s="112"/>
      <c r="I206" s="112"/>
      <c r="J206" s="112"/>
    </row>
    <row r="207" spans="1:10" x14ac:dyDescent="0.2">
      <c r="A207" s="34"/>
      <c r="B207" s="61"/>
      <c r="D207" s="38"/>
      <c r="F207" s="111"/>
      <c r="G207" s="112"/>
      <c r="H207" s="112"/>
      <c r="I207" s="112"/>
      <c r="J207" s="112"/>
    </row>
    <row r="208" spans="1:10" x14ac:dyDescent="0.2">
      <c r="A208" s="34"/>
      <c r="B208" s="61"/>
      <c r="D208" s="38"/>
      <c r="F208" s="111"/>
      <c r="G208" s="112"/>
      <c r="H208" s="112"/>
      <c r="I208" s="112"/>
      <c r="J208" s="112"/>
    </row>
    <row r="209" spans="1:10" x14ac:dyDescent="0.2">
      <c r="A209" s="34"/>
      <c r="B209" s="61"/>
      <c r="D209" s="38"/>
      <c r="F209" s="111"/>
      <c r="G209" s="112"/>
      <c r="H209" s="112"/>
      <c r="I209" s="112"/>
      <c r="J209" s="112"/>
    </row>
    <row r="210" spans="1:10" x14ac:dyDescent="0.2">
      <c r="A210" s="34"/>
      <c r="B210" s="61"/>
      <c r="D210" s="38"/>
      <c r="F210" s="111"/>
      <c r="G210" s="112"/>
      <c r="H210" s="112"/>
      <c r="I210" s="112"/>
      <c r="J210" s="112"/>
    </row>
    <row r="211" spans="1:10" x14ac:dyDescent="0.2">
      <c r="A211" s="34"/>
      <c r="B211" s="61"/>
      <c r="D211" s="38"/>
      <c r="F211" s="111"/>
      <c r="G211" s="112"/>
      <c r="H211" s="112"/>
      <c r="I211" s="112"/>
      <c r="J211" s="112"/>
    </row>
    <row r="212" spans="1:10" x14ac:dyDescent="0.2">
      <c r="A212" s="34"/>
      <c r="B212" s="61"/>
      <c r="D212" s="38"/>
      <c r="F212" s="111"/>
      <c r="G212" s="112"/>
      <c r="H212" s="112"/>
      <c r="I212" s="112"/>
      <c r="J212" s="112"/>
    </row>
    <row r="213" spans="1:10" x14ac:dyDescent="0.2">
      <c r="A213" s="34"/>
      <c r="B213" s="61"/>
      <c r="D213" s="38"/>
      <c r="F213" s="111"/>
      <c r="G213" s="112"/>
      <c r="H213" s="112"/>
      <c r="I213" s="112"/>
      <c r="J213" s="112"/>
    </row>
    <row r="214" spans="1:10" x14ac:dyDescent="0.2">
      <c r="A214" s="34"/>
      <c r="B214" s="61"/>
      <c r="D214" s="38"/>
      <c r="F214" s="111"/>
      <c r="G214" s="112"/>
      <c r="H214" s="112"/>
      <c r="I214" s="112"/>
      <c r="J214" s="112"/>
    </row>
    <row r="215" spans="1:10" x14ac:dyDescent="0.2">
      <c r="A215" s="34"/>
      <c r="B215" s="61"/>
      <c r="D215" s="38"/>
      <c r="F215" s="111"/>
      <c r="G215" s="112"/>
      <c r="H215" s="112"/>
      <c r="I215" s="112"/>
      <c r="J215" s="112"/>
    </row>
    <row r="216" spans="1:10" x14ac:dyDescent="0.2">
      <c r="A216" s="34"/>
      <c r="B216" s="61"/>
      <c r="D216" s="38"/>
      <c r="F216" s="111"/>
      <c r="G216" s="112"/>
      <c r="H216" s="112"/>
      <c r="I216" s="112"/>
      <c r="J216" s="112"/>
    </row>
    <row r="217" spans="1:10" x14ac:dyDescent="0.2">
      <c r="A217" s="34"/>
      <c r="B217" s="61"/>
      <c r="D217" s="38"/>
      <c r="F217" s="111"/>
      <c r="G217" s="112"/>
      <c r="H217" s="112"/>
      <c r="I217" s="112"/>
      <c r="J217" s="112"/>
    </row>
    <row r="218" spans="1:10" x14ac:dyDescent="0.2">
      <c r="A218" s="34"/>
      <c r="B218" s="61"/>
      <c r="D218" s="38"/>
      <c r="F218" s="111"/>
      <c r="G218" s="112"/>
      <c r="H218" s="112"/>
      <c r="I218" s="112"/>
      <c r="J218" s="112"/>
    </row>
    <row r="219" spans="1:10" x14ac:dyDescent="0.2">
      <c r="A219" s="34"/>
      <c r="B219" s="61"/>
      <c r="D219" s="38"/>
      <c r="F219" s="111"/>
      <c r="G219" s="112"/>
      <c r="H219" s="112"/>
      <c r="I219" s="112"/>
      <c r="J219" s="112"/>
    </row>
    <row r="220" spans="1:10" x14ac:dyDescent="0.2">
      <c r="A220" s="34"/>
      <c r="B220" s="61"/>
      <c r="D220" s="38"/>
      <c r="F220" s="111"/>
      <c r="G220" s="112"/>
      <c r="H220" s="112"/>
      <c r="I220" s="112"/>
      <c r="J220" s="112"/>
    </row>
    <row r="221" spans="1:10" x14ac:dyDescent="0.2">
      <c r="A221" s="34"/>
      <c r="B221" s="61"/>
      <c r="D221" s="38"/>
      <c r="F221" s="111"/>
      <c r="G221" s="112"/>
      <c r="H221" s="112"/>
      <c r="I221" s="112"/>
      <c r="J221" s="112"/>
    </row>
    <row r="222" spans="1:10" x14ac:dyDescent="0.2">
      <c r="A222" s="34"/>
      <c r="B222" s="61"/>
      <c r="D222" s="38"/>
      <c r="F222" s="111"/>
      <c r="G222" s="112"/>
      <c r="H222" s="112"/>
      <c r="I222" s="112"/>
      <c r="J222" s="112"/>
    </row>
    <row r="223" spans="1:10" x14ac:dyDescent="0.2">
      <c r="A223" s="34"/>
      <c r="B223" s="61"/>
      <c r="D223" s="38"/>
      <c r="F223" s="111"/>
      <c r="G223" s="112"/>
      <c r="H223" s="112"/>
      <c r="I223" s="112"/>
      <c r="J223" s="112"/>
    </row>
    <row r="224" spans="1:10" x14ac:dyDescent="0.2">
      <c r="A224" s="34"/>
      <c r="B224" s="61"/>
      <c r="D224" s="38"/>
      <c r="F224" s="111"/>
      <c r="G224" s="112"/>
      <c r="H224" s="112"/>
      <c r="I224" s="112"/>
      <c r="J224" s="112"/>
    </row>
    <row r="225" spans="1:10" x14ac:dyDescent="0.2">
      <c r="A225" s="34"/>
      <c r="B225" s="61"/>
      <c r="D225" s="38"/>
      <c r="F225" s="111"/>
      <c r="G225" s="112"/>
      <c r="H225" s="112"/>
      <c r="I225" s="112"/>
      <c r="J225" s="112"/>
    </row>
    <row r="226" spans="1:10" x14ac:dyDescent="0.2">
      <c r="A226" s="34"/>
      <c r="B226" s="61"/>
      <c r="D226" s="38"/>
      <c r="F226" s="111"/>
      <c r="G226" s="112"/>
      <c r="H226" s="112"/>
      <c r="I226" s="112"/>
      <c r="J226" s="112"/>
    </row>
    <row r="227" spans="1:10" x14ac:dyDescent="0.2">
      <c r="A227" s="34"/>
      <c r="B227" s="61"/>
      <c r="D227" s="38"/>
      <c r="F227" s="111"/>
      <c r="G227" s="112"/>
      <c r="H227" s="112"/>
      <c r="I227" s="112"/>
      <c r="J227" s="112"/>
    </row>
    <row r="228" spans="1:10" x14ac:dyDescent="0.2">
      <c r="A228" s="34"/>
      <c r="B228" s="61"/>
      <c r="D228" s="38"/>
      <c r="F228" s="111"/>
      <c r="G228" s="112"/>
      <c r="H228" s="112"/>
      <c r="I228" s="112"/>
      <c r="J228" s="112"/>
    </row>
    <row r="229" spans="1:10" x14ac:dyDescent="0.2">
      <c r="A229" s="34"/>
      <c r="B229" s="61"/>
      <c r="D229" s="38"/>
      <c r="F229" s="111"/>
      <c r="G229" s="112"/>
      <c r="H229" s="112"/>
      <c r="I229" s="112"/>
      <c r="J229" s="112"/>
    </row>
    <row r="230" spans="1:10" x14ac:dyDescent="0.2">
      <c r="A230" s="34"/>
      <c r="B230" s="61"/>
      <c r="D230" s="38"/>
      <c r="F230" s="111"/>
      <c r="G230" s="112"/>
      <c r="H230" s="112"/>
      <c r="I230" s="112"/>
      <c r="J230" s="112"/>
    </row>
    <row r="231" spans="1:10" x14ac:dyDescent="0.2">
      <c r="A231" s="34"/>
      <c r="B231" s="61"/>
      <c r="D231" s="38"/>
      <c r="F231" s="111"/>
      <c r="G231" s="112"/>
      <c r="H231" s="112"/>
      <c r="I231" s="112"/>
      <c r="J231" s="112"/>
    </row>
    <row r="232" spans="1:10" x14ac:dyDescent="0.2">
      <c r="A232" s="34"/>
      <c r="B232" s="61"/>
      <c r="D232" s="38"/>
      <c r="F232" s="111"/>
      <c r="G232" s="112"/>
      <c r="H232" s="112"/>
      <c r="I232" s="112"/>
      <c r="J232" s="112"/>
    </row>
    <row r="233" spans="1:10" x14ac:dyDescent="0.2">
      <c r="A233" s="34"/>
      <c r="B233" s="61"/>
      <c r="D233" s="38"/>
      <c r="F233" s="111"/>
      <c r="G233" s="112"/>
      <c r="H233" s="112"/>
      <c r="I233" s="112"/>
      <c r="J233" s="112"/>
    </row>
    <row r="234" spans="1:10" x14ac:dyDescent="0.2">
      <c r="A234" s="34"/>
      <c r="B234" s="61"/>
      <c r="D234" s="38"/>
      <c r="F234" s="111"/>
      <c r="G234" s="112"/>
      <c r="H234" s="112"/>
      <c r="I234" s="112"/>
      <c r="J234" s="112"/>
    </row>
    <row r="235" spans="1:10" x14ac:dyDescent="0.2">
      <c r="A235" s="34"/>
      <c r="B235" s="61"/>
      <c r="D235" s="38"/>
      <c r="F235" s="111"/>
      <c r="G235" s="112"/>
      <c r="H235" s="112"/>
      <c r="I235" s="112"/>
      <c r="J235" s="112"/>
    </row>
    <row r="236" spans="1:10" x14ac:dyDescent="0.2">
      <c r="A236" s="34"/>
      <c r="B236" s="61"/>
      <c r="D236" s="38"/>
      <c r="F236" s="111"/>
      <c r="G236" s="112"/>
      <c r="H236" s="112"/>
      <c r="I236" s="112"/>
      <c r="J236" s="112"/>
    </row>
    <row r="237" spans="1:10" x14ac:dyDescent="0.2">
      <c r="D237" s="38"/>
      <c r="F237" s="111"/>
      <c r="G237" s="112"/>
      <c r="H237" s="112"/>
      <c r="I237" s="112"/>
      <c r="J237" s="112"/>
    </row>
    <row r="238" spans="1:10" x14ac:dyDescent="0.2">
      <c r="D238" s="38"/>
      <c r="F238" s="111"/>
      <c r="G238" s="112"/>
      <c r="H238" s="112"/>
      <c r="I238" s="112"/>
      <c r="J238" s="112"/>
    </row>
    <row r="239" spans="1:10" x14ac:dyDescent="0.2">
      <c r="D239" s="38"/>
      <c r="F239" s="111"/>
      <c r="G239" s="112"/>
      <c r="H239" s="112"/>
      <c r="I239" s="112"/>
      <c r="J239" s="112"/>
    </row>
    <row r="240" spans="1:10" x14ac:dyDescent="0.2">
      <c r="D240" s="38"/>
      <c r="F240" s="111"/>
      <c r="G240" s="112"/>
      <c r="H240" s="112"/>
      <c r="I240" s="112"/>
      <c r="J240" s="112"/>
    </row>
    <row r="241" spans="4:10" x14ac:dyDescent="0.2">
      <c r="D241" s="38"/>
      <c r="F241" s="111"/>
      <c r="G241" s="112"/>
      <c r="H241" s="112"/>
      <c r="I241" s="112"/>
      <c r="J241" s="112"/>
    </row>
    <row r="242" spans="4:10" x14ac:dyDescent="0.2">
      <c r="D242" s="38"/>
      <c r="F242" s="111"/>
      <c r="G242" s="112"/>
      <c r="H242" s="112"/>
      <c r="I242" s="112"/>
      <c r="J242" s="112"/>
    </row>
    <row r="243" spans="4:10" x14ac:dyDescent="0.2">
      <c r="D243" s="38"/>
      <c r="F243" s="111"/>
      <c r="G243" s="112"/>
      <c r="H243" s="112"/>
      <c r="I243" s="112"/>
      <c r="J243" s="112"/>
    </row>
    <row r="244" spans="4:10" x14ac:dyDescent="0.2">
      <c r="D244" s="38"/>
      <c r="F244" s="111"/>
      <c r="G244" s="112"/>
      <c r="H244" s="112"/>
      <c r="I244" s="112"/>
      <c r="J244" s="112"/>
    </row>
    <row r="245" spans="4:10" x14ac:dyDescent="0.2">
      <c r="D245" s="38"/>
      <c r="F245" s="111"/>
      <c r="G245" s="112"/>
      <c r="H245" s="112"/>
      <c r="I245" s="112"/>
      <c r="J245" s="112"/>
    </row>
    <row r="246" spans="4:10" x14ac:dyDescent="0.2">
      <c r="D246" s="38"/>
      <c r="F246" s="111"/>
      <c r="G246" s="112"/>
      <c r="H246" s="112"/>
      <c r="I246" s="112"/>
      <c r="J246" s="112"/>
    </row>
    <row r="247" spans="4:10" x14ac:dyDescent="0.2">
      <c r="D247" s="38"/>
      <c r="F247" s="111"/>
      <c r="G247" s="112"/>
      <c r="H247" s="112"/>
      <c r="I247" s="112"/>
      <c r="J247" s="112"/>
    </row>
    <row r="248" spans="4:10" x14ac:dyDescent="0.2">
      <c r="D248" s="38"/>
      <c r="F248" s="111"/>
      <c r="G248" s="112"/>
      <c r="H248" s="112"/>
      <c r="I248" s="112"/>
      <c r="J248" s="112"/>
    </row>
    <row r="249" spans="4:10" x14ac:dyDescent="0.2">
      <c r="D249" s="38"/>
      <c r="F249" s="111"/>
      <c r="G249" s="112"/>
      <c r="H249" s="112"/>
      <c r="I249" s="112"/>
      <c r="J249" s="112"/>
    </row>
    <row r="250" spans="4:10" x14ac:dyDescent="0.2">
      <c r="D250" s="38"/>
      <c r="F250" s="111"/>
      <c r="G250" s="112"/>
      <c r="H250" s="112"/>
      <c r="I250" s="112"/>
      <c r="J250" s="112"/>
    </row>
    <row r="251" spans="4:10" x14ac:dyDescent="0.2">
      <c r="D251" s="38"/>
      <c r="F251" s="111"/>
      <c r="G251" s="112"/>
      <c r="H251" s="112"/>
      <c r="I251" s="112"/>
      <c r="J251" s="112"/>
    </row>
    <row r="252" spans="4:10" x14ac:dyDescent="0.2">
      <c r="D252" s="38"/>
      <c r="F252" s="111"/>
      <c r="G252" s="112"/>
      <c r="H252" s="112"/>
      <c r="I252" s="112"/>
      <c r="J252" s="112"/>
    </row>
    <row r="253" spans="4:10" x14ac:dyDescent="0.2">
      <c r="D253" s="38"/>
      <c r="F253" s="111"/>
      <c r="G253" s="112"/>
      <c r="H253" s="112"/>
      <c r="I253" s="112"/>
      <c r="J253" s="112"/>
    </row>
    <row r="254" spans="4:10" x14ac:dyDescent="0.2">
      <c r="D254" s="38"/>
      <c r="F254" s="111"/>
      <c r="G254" s="112"/>
      <c r="H254" s="112"/>
      <c r="I254" s="112"/>
      <c r="J254" s="112"/>
    </row>
    <row r="255" spans="4:10" x14ac:dyDescent="0.2">
      <c r="D255" s="38"/>
      <c r="F255" s="111"/>
      <c r="G255" s="112"/>
      <c r="H255" s="112"/>
      <c r="I255" s="112"/>
      <c r="J255" s="112"/>
    </row>
    <row r="256" spans="4:10" x14ac:dyDescent="0.2">
      <c r="D256" s="38"/>
      <c r="F256" s="111"/>
      <c r="G256" s="112"/>
      <c r="H256" s="112"/>
      <c r="I256" s="112"/>
      <c r="J256" s="112"/>
    </row>
    <row r="257" spans="4:10" x14ac:dyDescent="0.2">
      <c r="D257" s="38"/>
      <c r="F257" s="111"/>
      <c r="G257" s="112"/>
      <c r="H257" s="112"/>
      <c r="I257" s="112"/>
      <c r="J257" s="112"/>
    </row>
    <row r="258" spans="4:10" x14ac:dyDescent="0.2">
      <c r="D258" s="38"/>
      <c r="F258" s="111"/>
      <c r="G258" s="112"/>
      <c r="H258" s="112"/>
      <c r="I258" s="112"/>
      <c r="J258" s="112"/>
    </row>
    <row r="259" spans="4:10" x14ac:dyDescent="0.2">
      <c r="D259" s="38"/>
      <c r="F259" s="111"/>
      <c r="G259" s="112"/>
      <c r="H259" s="112"/>
      <c r="I259" s="112"/>
      <c r="J259" s="112"/>
    </row>
    <row r="260" spans="4:10" x14ac:dyDescent="0.2">
      <c r="D260" s="38"/>
      <c r="F260" s="111"/>
      <c r="G260" s="112"/>
      <c r="H260" s="112"/>
      <c r="I260" s="112"/>
      <c r="J260" s="112"/>
    </row>
    <row r="261" spans="4:10" x14ac:dyDescent="0.2">
      <c r="D261" s="38"/>
      <c r="F261" s="111"/>
      <c r="G261" s="112"/>
      <c r="H261" s="112"/>
      <c r="I261" s="112"/>
      <c r="J261" s="112"/>
    </row>
    <row r="262" spans="4:10" x14ac:dyDescent="0.2">
      <c r="D262" s="38"/>
      <c r="F262" s="111"/>
      <c r="G262" s="112"/>
      <c r="H262" s="112"/>
      <c r="I262" s="112"/>
      <c r="J262" s="112"/>
    </row>
    <row r="263" spans="4:10" x14ac:dyDescent="0.2">
      <c r="D263" s="38"/>
      <c r="F263" s="111"/>
      <c r="G263" s="112"/>
      <c r="H263" s="112"/>
      <c r="I263" s="112"/>
      <c r="J263" s="112"/>
    </row>
    <row r="264" spans="4:10" x14ac:dyDescent="0.2">
      <c r="D264" s="38"/>
      <c r="F264" s="111"/>
      <c r="G264" s="112"/>
      <c r="H264" s="112"/>
      <c r="I264" s="112"/>
      <c r="J264" s="112"/>
    </row>
    <row r="265" spans="4:10" x14ac:dyDescent="0.2">
      <c r="D265" s="38"/>
      <c r="F265" s="111"/>
      <c r="G265" s="112"/>
      <c r="H265" s="112"/>
      <c r="I265" s="112"/>
      <c r="J265" s="112"/>
    </row>
    <row r="266" spans="4:10" x14ac:dyDescent="0.2">
      <c r="D266" s="38"/>
      <c r="F266" s="111"/>
      <c r="G266" s="112"/>
      <c r="H266" s="112"/>
      <c r="I266" s="112"/>
      <c r="J266" s="112"/>
    </row>
    <row r="267" spans="4:10" x14ac:dyDescent="0.2">
      <c r="D267" s="38"/>
      <c r="F267" s="111"/>
      <c r="G267" s="112"/>
      <c r="H267" s="112"/>
      <c r="I267" s="112"/>
      <c r="J267" s="112"/>
    </row>
    <row r="268" spans="4:10" x14ac:dyDescent="0.2">
      <c r="D268" s="38"/>
      <c r="F268" s="111"/>
      <c r="G268" s="112"/>
      <c r="H268" s="112"/>
      <c r="I268" s="112"/>
      <c r="J268" s="112"/>
    </row>
    <row r="269" spans="4:10" x14ac:dyDescent="0.2">
      <c r="D269" s="38"/>
      <c r="F269" s="111"/>
      <c r="G269" s="112"/>
      <c r="H269" s="112"/>
      <c r="I269" s="112"/>
      <c r="J269" s="112"/>
    </row>
    <row r="270" spans="4:10" x14ac:dyDescent="0.2">
      <c r="D270" s="38"/>
      <c r="F270" s="111"/>
      <c r="G270" s="112"/>
      <c r="H270" s="112"/>
      <c r="I270" s="112"/>
      <c r="J270" s="112"/>
    </row>
    <row r="271" spans="4:10" x14ac:dyDescent="0.2">
      <c r="D271" s="38"/>
      <c r="F271" s="111"/>
      <c r="G271" s="112"/>
      <c r="H271" s="112"/>
      <c r="I271" s="112"/>
      <c r="J271" s="112"/>
    </row>
    <row r="272" spans="4:10" x14ac:dyDescent="0.2">
      <c r="D272" s="38"/>
      <c r="F272" s="111"/>
      <c r="G272" s="112"/>
      <c r="H272" s="112"/>
      <c r="I272" s="112"/>
      <c r="J272" s="112"/>
    </row>
    <row r="273" spans="4:10" x14ac:dyDescent="0.2">
      <c r="D273" s="38"/>
      <c r="F273" s="111"/>
      <c r="G273" s="112"/>
      <c r="H273" s="112"/>
      <c r="I273" s="112"/>
      <c r="J273" s="112"/>
    </row>
    <row r="274" spans="4:10" x14ac:dyDescent="0.2">
      <c r="D274" s="38"/>
      <c r="F274" s="111"/>
      <c r="G274" s="112"/>
      <c r="H274" s="112"/>
      <c r="I274" s="112"/>
      <c r="J274" s="112"/>
    </row>
    <row r="275" spans="4:10" x14ac:dyDescent="0.2">
      <c r="D275" s="38"/>
      <c r="F275" s="111"/>
      <c r="G275" s="112"/>
      <c r="H275" s="112"/>
      <c r="I275" s="112"/>
      <c r="J275" s="112"/>
    </row>
    <row r="276" spans="4:10" x14ac:dyDescent="0.2">
      <c r="D276" s="38"/>
      <c r="F276" s="111"/>
      <c r="G276" s="112"/>
      <c r="H276" s="112"/>
      <c r="I276" s="112"/>
      <c r="J276" s="112"/>
    </row>
    <row r="277" spans="4:10" x14ac:dyDescent="0.2">
      <c r="D277" s="38"/>
      <c r="F277" s="111"/>
      <c r="G277" s="112"/>
      <c r="H277" s="112"/>
      <c r="I277" s="112"/>
      <c r="J277" s="112"/>
    </row>
    <row r="278" spans="4:10" x14ac:dyDescent="0.2">
      <c r="D278" s="38"/>
      <c r="F278" s="111"/>
      <c r="G278" s="112"/>
      <c r="H278" s="112"/>
      <c r="I278" s="112"/>
      <c r="J278" s="112"/>
    </row>
    <row r="279" spans="4:10" x14ac:dyDescent="0.2">
      <c r="D279" s="38"/>
      <c r="F279" s="111"/>
      <c r="G279" s="112"/>
      <c r="H279" s="112"/>
      <c r="I279" s="112"/>
      <c r="J279" s="112"/>
    </row>
    <row r="280" spans="4:10" x14ac:dyDescent="0.2">
      <c r="D280" s="38"/>
      <c r="F280" s="111"/>
      <c r="G280" s="112"/>
      <c r="H280" s="112"/>
      <c r="I280" s="112"/>
      <c r="J280" s="112"/>
    </row>
    <row r="281" spans="4:10" x14ac:dyDescent="0.2">
      <c r="D281" s="38"/>
      <c r="F281" s="111"/>
      <c r="G281" s="112"/>
      <c r="H281" s="112"/>
      <c r="I281" s="112"/>
      <c r="J281" s="112"/>
    </row>
    <row r="282" spans="4:10" x14ac:dyDescent="0.2">
      <c r="D282" s="38"/>
      <c r="F282" s="111"/>
      <c r="G282" s="112"/>
      <c r="H282" s="112"/>
      <c r="I282" s="112"/>
      <c r="J282" s="112"/>
    </row>
    <row r="283" spans="4:10" x14ac:dyDescent="0.2">
      <c r="D283" s="38"/>
      <c r="F283" s="111"/>
      <c r="G283" s="112"/>
      <c r="H283" s="112"/>
      <c r="I283" s="112"/>
      <c r="J283" s="112"/>
    </row>
    <row r="284" spans="4:10" x14ac:dyDescent="0.2">
      <c r="D284" s="38"/>
      <c r="F284" s="111"/>
      <c r="G284" s="112"/>
      <c r="H284" s="112"/>
      <c r="I284" s="112"/>
      <c r="J284" s="112"/>
    </row>
    <row r="285" spans="4:10" x14ac:dyDescent="0.2">
      <c r="D285" s="38"/>
      <c r="F285" s="111"/>
      <c r="G285" s="112"/>
      <c r="H285" s="112"/>
      <c r="I285" s="112"/>
      <c r="J285" s="112"/>
    </row>
    <row r="286" spans="4:10" x14ac:dyDescent="0.2">
      <c r="D286" s="38"/>
      <c r="F286" s="111"/>
      <c r="G286" s="112"/>
      <c r="H286" s="112"/>
      <c r="I286" s="112"/>
      <c r="J286" s="112"/>
    </row>
    <row r="287" spans="4:10" x14ac:dyDescent="0.2">
      <c r="D287" s="38"/>
      <c r="F287" s="111"/>
      <c r="G287" s="112"/>
      <c r="H287" s="112"/>
      <c r="I287" s="112"/>
      <c r="J287" s="112"/>
    </row>
    <row r="288" spans="4:10" x14ac:dyDescent="0.2">
      <c r="D288" s="38"/>
      <c r="F288" s="111"/>
      <c r="G288" s="112"/>
      <c r="H288" s="112"/>
      <c r="I288" s="112"/>
      <c r="J288" s="112"/>
    </row>
    <row r="289" spans="4:10" x14ac:dyDescent="0.2">
      <c r="D289" s="38"/>
      <c r="F289" s="111"/>
      <c r="G289" s="112"/>
      <c r="H289" s="112"/>
      <c r="I289" s="112"/>
      <c r="J289" s="112"/>
    </row>
    <row r="290" spans="4:10" x14ac:dyDescent="0.2">
      <c r="D290" s="38"/>
      <c r="F290" s="111"/>
      <c r="G290" s="112"/>
      <c r="H290" s="112"/>
      <c r="I290" s="112"/>
      <c r="J290" s="112"/>
    </row>
    <row r="291" spans="4:10" x14ac:dyDescent="0.2">
      <c r="D291" s="38"/>
      <c r="F291" s="111"/>
      <c r="G291" s="112"/>
      <c r="H291" s="112"/>
      <c r="I291" s="112"/>
      <c r="J291" s="112"/>
    </row>
    <row r="292" spans="4:10" x14ac:dyDescent="0.2">
      <c r="D292" s="38"/>
      <c r="F292" s="111"/>
      <c r="G292" s="112"/>
      <c r="H292" s="112"/>
      <c r="I292" s="112"/>
      <c r="J292" s="112"/>
    </row>
    <row r="293" spans="4:10" x14ac:dyDescent="0.2">
      <c r="D293" s="38"/>
      <c r="F293" s="111"/>
      <c r="G293" s="112"/>
      <c r="H293" s="112"/>
      <c r="I293" s="112"/>
      <c r="J293" s="112"/>
    </row>
    <row r="294" spans="4:10" x14ac:dyDescent="0.2">
      <c r="D294" s="38"/>
      <c r="F294" s="111"/>
      <c r="G294" s="112"/>
      <c r="H294" s="112"/>
      <c r="I294" s="112"/>
      <c r="J294" s="112"/>
    </row>
    <row r="295" spans="4:10" x14ac:dyDescent="0.2">
      <c r="D295" s="38"/>
      <c r="F295" s="111"/>
      <c r="G295" s="112"/>
      <c r="H295" s="112"/>
      <c r="I295" s="112"/>
      <c r="J295" s="112"/>
    </row>
    <row r="296" spans="4:10" x14ac:dyDescent="0.2">
      <c r="D296" s="38"/>
      <c r="F296" s="111"/>
      <c r="G296" s="112"/>
      <c r="H296" s="112"/>
      <c r="I296" s="112"/>
      <c r="J296" s="112"/>
    </row>
    <row r="297" spans="4:10" x14ac:dyDescent="0.2">
      <c r="D297" s="38"/>
      <c r="F297" s="111"/>
      <c r="G297" s="112"/>
      <c r="H297" s="112"/>
      <c r="I297" s="112"/>
      <c r="J297" s="112"/>
    </row>
    <row r="298" spans="4:10" x14ac:dyDescent="0.2">
      <c r="D298" s="38"/>
      <c r="F298" s="111"/>
      <c r="G298" s="112"/>
      <c r="H298" s="112"/>
      <c r="I298" s="112"/>
      <c r="J298" s="112"/>
    </row>
    <row r="299" spans="4:10" x14ac:dyDescent="0.2">
      <c r="D299" s="38"/>
      <c r="F299" s="111"/>
      <c r="G299" s="112"/>
      <c r="H299" s="112"/>
      <c r="I299" s="112"/>
      <c r="J299" s="112"/>
    </row>
    <row r="300" spans="4:10" x14ac:dyDescent="0.2">
      <c r="D300" s="38"/>
      <c r="F300" s="111"/>
      <c r="G300" s="112"/>
      <c r="H300" s="112"/>
      <c r="I300" s="112"/>
      <c r="J300" s="112"/>
    </row>
    <row r="301" spans="4:10" x14ac:dyDescent="0.2">
      <c r="D301" s="38"/>
      <c r="F301" s="111"/>
      <c r="G301" s="112"/>
      <c r="H301" s="112"/>
      <c r="I301" s="112"/>
      <c r="J301" s="112"/>
    </row>
    <row r="302" spans="4:10" x14ac:dyDescent="0.2">
      <c r="D302" s="38"/>
      <c r="F302" s="111"/>
      <c r="G302" s="112"/>
      <c r="H302" s="112"/>
      <c r="I302" s="112"/>
      <c r="J302" s="112"/>
    </row>
    <row r="303" spans="4:10" x14ac:dyDescent="0.2">
      <c r="D303" s="38"/>
      <c r="F303" s="111"/>
      <c r="G303" s="112"/>
      <c r="H303" s="112"/>
      <c r="I303" s="112"/>
      <c r="J303" s="112"/>
    </row>
    <row r="304" spans="4:10" x14ac:dyDescent="0.2">
      <c r="D304" s="38"/>
      <c r="F304" s="111"/>
      <c r="G304" s="112"/>
      <c r="H304" s="112"/>
      <c r="I304" s="112"/>
      <c r="J304" s="112"/>
    </row>
    <row r="305" spans="4:10" x14ac:dyDescent="0.2">
      <c r="D305" s="38"/>
      <c r="F305" s="111"/>
      <c r="G305" s="112"/>
      <c r="H305" s="112"/>
      <c r="I305" s="112"/>
      <c r="J305" s="112"/>
    </row>
    <row r="306" spans="4:10" x14ac:dyDescent="0.2">
      <c r="D306" s="38"/>
      <c r="F306" s="111"/>
      <c r="G306" s="112"/>
      <c r="H306" s="112"/>
      <c r="I306" s="112"/>
      <c r="J306" s="112"/>
    </row>
    <row r="307" spans="4:10" x14ac:dyDescent="0.2">
      <c r="D307" s="38"/>
      <c r="F307" s="111"/>
      <c r="G307" s="112"/>
      <c r="H307" s="112"/>
      <c r="I307" s="112"/>
      <c r="J307" s="112"/>
    </row>
    <row r="308" spans="4:10" x14ac:dyDescent="0.2">
      <c r="D308" s="38"/>
      <c r="F308" s="111"/>
      <c r="G308" s="112"/>
      <c r="H308" s="112"/>
      <c r="I308" s="112"/>
      <c r="J308" s="112"/>
    </row>
    <row r="309" spans="4:10" x14ac:dyDescent="0.2">
      <c r="D309" s="38"/>
      <c r="F309" s="111"/>
      <c r="G309" s="112"/>
      <c r="H309" s="112"/>
      <c r="I309" s="112"/>
      <c r="J309" s="112"/>
    </row>
    <row r="310" spans="4:10" x14ac:dyDescent="0.2">
      <c r="D310" s="38"/>
      <c r="F310" s="111"/>
      <c r="G310" s="112"/>
      <c r="H310" s="112"/>
      <c r="I310" s="112"/>
      <c r="J310" s="112"/>
    </row>
    <row r="311" spans="4:10" x14ac:dyDescent="0.2">
      <c r="D311" s="38"/>
      <c r="F311" s="111"/>
      <c r="G311" s="112"/>
      <c r="H311" s="112"/>
      <c r="I311" s="112"/>
      <c r="J311" s="112"/>
    </row>
    <row r="312" spans="4:10" x14ac:dyDescent="0.2">
      <c r="D312" s="38"/>
      <c r="F312" s="111"/>
      <c r="G312" s="112"/>
      <c r="H312" s="112"/>
      <c r="I312" s="112"/>
      <c r="J312" s="112"/>
    </row>
    <row r="313" spans="4:10" x14ac:dyDescent="0.2">
      <c r="D313" s="38"/>
      <c r="F313" s="111"/>
      <c r="G313" s="112"/>
      <c r="H313" s="112"/>
      <c r="I313" s="112"/>
      <c r="J313" s="112"/>
    </row>
    <row r="314" spans="4:10" x14ac:dyDescent="0.2">
      <c r="D314" s="38"/>
      <c r="F314" s="111"/>
      <c r="G314" s="112"/>
      <c r="H314" s="112"/>
      <c r="I314" s="112"/>
      <c r="J314" s="112"/>
    </row>
    <row r="315" spans="4:10" x14ac:dyDescent="0.2">
      <c r="D315" s="38"/>
      <c r="F315" s="111"/>
      <c r="G315" s="112"/>
      <c r="H315" s="112"/>
      <c r="I315" s="112"/>
      <c r="J315" s="112"/>
    </row>
    <row r="316" spans="4:10" x14ac:dyDescent="0.2">
      <c r="D316" s="38"/>
      <c r="F316" s="111"/>
      <c r="G316" s="112"/>
      <c r="H316" s="112"/>
      <c r="I316" s="112"/>
      <c r="J316" s="112"/>
    </row>
    <row r="317" spans="4:10" x14ac:dyDescent="0.2">
      <c r="D317" s="38"/>
      <c r="F317" s="111"/>
      <c r="G317" s="112"/>
      <c r="H317" s="112"/>
      <c r="I317" s="112"/>
      <c r="J317" s="112"/>
    </row>
    <row r="318" spans="4:10" x14ac:dyDescent="0.2">
      <c r="D318" s="38"/>
      <c r="F318" s="111"/>
      <c r="G318" s="112"/>
      <c r="H318" s="112"/>
      <c r="I318" s="112"/>
      <c r="J318" s="112"/>
    </row>
    <row r="319" spans="4:10" x14ac:dyDescent="0.2">
      <c r="D319" s="38"/>
      <c r="F319" s="111"/>
      <c r="G319" s="112"/>
      <c r="H319" s="112"/>
      <c r="I319" s="112"/>
      <c r="J319" s="112"/>
    </row>
    <row r="320" spans="4:10" x14ac:dyDescent="0.2">
      <c r="D320" s="38"/>
      <c r="F320" s="111"/>
      <c r="G320" s="112"/>
      <c r="H320" s="112"/>
      <c r="I320" s="112"/>
      <c r="J320" s="112"/>
    </row>
    <row r="321" spans="4:10" x14ac:dyDescent="0.2">
      <c r="D321" s="38"/>
      <c r="F321" s="111"/>
      <c r="G321" s="112"/>
      <c r="H321" s="112"/>
      <c r="I321" s="112"/>
      <c r="J321" s="112"/>
    </row>
    <row r="322" spans="4:10" x14ac:dyDescent="0.2">
      <c r="D322" s="38"/>
      <c r="F322" s="111"/>
      <c r="G322" s="112"/>
      <c r="H322" s="112"/>
      <c r="I322" s="112"/>
      <c r="J322" s="112"/>
    </row>
    <row r="323" spans="4:10" x14ac:dyDescent="0.2">
      <c r="D323" s="38"/>
      <c r="F323" s="111"/>
      <c r="G323" s="112"/>
      <c r="H323" s="112"/>
      <c r="I323" s="112"/>
      <c r="J323" s="112"/>
    </row>
    <row r="324" spans="4:10" x14ac:dyDescent="0.2">
      <c r="D324" s="38"/>
      <c r="F324" s="111"/>
      <c r="G324" s="112"/>
      <c r="H324" s="112"/>
      <c r="I324" s="112"/>
      <c r="J324" s="112"/>
    </row>
    <row r="325" spans="4:10" x14ac:dyDescent="0.2">
      <c r="D325" s="38"/>
      <c r="F325" s="111"/>
      <c r="G325" s="112"/>
      <c r="H325" s="112"/>
      <c r="I325" s="112"/>
      <c r="J325" s="112"/>
    </row>
    <row r="326" spans="4:10" x14ac:dyDescent="0.2">
      <c r="D326" s="38"/>
      <c r="F326" s="111"/>
      <c r="G326" s="112"/>
      <c r="H326" s="112"/>
      <c r="I326" s="112"/>
      <c r="J326" s="112"/>
    </row>
    <row r="327" spans="4:10" x14ac:dyDescent="0.2">
      <c r="D327" s="38"/>
      <c r="F327" s="111"/>
      <c r="G327" s="112"/>
      <c r="H327" s="112"/>
      <c r="I327" s="112"/>
      <c r="J327" s="112"/>
    </row>
    <row r="328" spans="4:10" x14ac:dyDescent="0.2">
      <c r="D328" s="38"/>
      <c r="F328" s="111"/>
      <c r="G328" s="112"/>
      <c r="H328" s="112"/>
      <c r="I328" s="112"/>
      <c r="J328" s="112"/>
    </row>
    <row r="329" spans="4:10" x14ac:dyDescent="0.2">
      <c r="D329" s="38"/>
      <c r="F329" s="111"/>
      <c r="G329" s="112"/>
      <c r="H329" s="112"/>
      <c r="I329" s="112"/>
      <c r="J329" s="112"/>
    </row>
    <row r="330" spans="4:10" x14ac:dyDescent="0.2">
      <c r="D330" s="38"/>
      <c r="F330" s="111"/>
      <c r="G330" s="112"/>
      <c r="H330" s="112"/>
      <c r="I330" s="112"/>
      <c r="J330" s="112"/>
    </row>
    <row r="331" spans="4:10" x14ac:dyDescent="0.2">
      <c r="D331" s="38"/>
      <c r="F331" s="111"/>
      <c r="G331" s="112"/>
      <c r="H331" s="112"/>
      <c r="I331" s="112"/>
      <c r="J331" s="112"/>
    </row>
    <row r="332" spans="4:10" x14ac:dyDescent="0.2">
      <c r="D332" s="38"/>
      <c r="F332" s="111"/>
      <c r="G332" s="112"/>
      <c r="H332" s="112"/>
      <c r="I332" s="112"/>
      <c r="J332" s="112"/>
    </row>
    <row r="333" spans="4:10" x14ac:dyDescent="0.2">
      <c r="D333" s="38"/>
      <c r="F333" s="111"/>
      <c r="G333" s="112"/>
      <c r="H333" s="112"/>
      <c r="I333" s="112"/>
      <c r="J333" s="112"/>
    </row>
    <row r="334" spans="4:10" x14ac:dyDescent="0.2">
      <c r="D334" s="38"/>
      <c r="F334" s="111"/>
      <c r="G334" s="112"/>
      <c r="H334" s="112"/>
      <c r="I334" s="112"/>
      <c r="J334" s="112"/>
    </row>
    <row r="335" spans="4:10" x14ac:dyDescent="0.2">
      <c r="D335" s="38"/>
      <c r="F335" s="111"/>
      <c r="G335" s="112"/>
      <c r="H335" s="112"/>
      <c r="I335" s="112"/>
      <c r="J335" s="112"/>
    </row>
    <row r="336" spans="4:10" x14ac:dyDescent="0.2">
      <c r="D336" s="38"/>
      <c r="F336" s="111"/>
      <c r="G336" s="112"/>
      <c r="H336" s="112"/>
      <c r="I336" s="112"/>
      <c r="J336" s="112"/>
    </row>
    <row r="337" spans="4:10" x14ac:dyDescent="0.2">
      <c r="D337" s="38"/>
      <c r="F337" s="111"/>
      <c r="G337" s="112"/>
      <c r="H337" s="112"/>
      <c r="I337" s="112"/>
      <c r="J337" s="112"/>
    </row>
    <row r="338" spans="4:10" x14ac:dyDescent="0.2">
      <c r="D338" s="38"/>
      <c r="F338" s="111"/>
      <c r="G338" s="112"/>
      <c r="H338" s="112"/>
      <c r="I338" s="112"/>
      <c r="J338" s="112"/>
    </row>
    <row r="339" spans="4:10" x14ac:dyDescent="0.2">
      <c r="D339" s="38"/>
      <c r="F339" s="111"/>
      <c r="G339" s="112"/>
      <c r="H339" s="112"/>
      <c r="I339" s="112"/>
      <c r="J339" s="112"/>
    </row>
    <row r="340" spans="4:10" x14ac:dyDescent="0.2">
      <c r="D340" s="38"/>
      <c r="F340" s="111"/>
      <c r="G340" s="112"/>
      <c r="H340" s="112"/>
      <c r="I340" s="112"/>
      <c r="J340" s="112"/>
    </row>
    <row r="341" spans="4:10" x14ac:dyDescent="0.2">
      <c r="D341" s="38"/>
      <c r="F341" s="111"/>
      <c r="G341" s="112"/>
      <c r="H341" s="112"/>
      <c r="I341" s="112"/>
      <c r="J341" s="112"/>
    </row>
    <row r="342" spans="4:10" x14ac:dyDescent="0.2">
      <c r="D342" s="38"/>
      <c r="F342" s="111"/>
      <c r="G342" s="112"/>
      <c r="H342" s="112"/>
      <c r="I342" s="112"/>
      <c r="J342" s="112"/>
    </row>
    <row r="343" spans="4:10" x14ac:dyDescent="0.2">
      <c r="D343" s="38"/>
      <c r="F343" s="111"/>
      <c r="G343" s="112"/>
      <c r="H343" s="112"/>
      <c r="I343" s="112"/>
      <c r="J343" s="112"/>
    </row>
    <row r="344" spans="4:10" x14ac:dyDescent="0.2">
      <c r="D344" s="38"/>
      <c r="F344" s="111"/>
      <c r="G344" s="112"/>
      <c r="H344" s="112"/>
      <c r="I344" s="112"/>
      <c r="J344" s="112"/>
    </row>
    <row r="345" spans="4:10" x14ac:dyDescent="0.2">
      <c r="D345" s="38"/>
      <c r="F345" s="111"/>
      <c r="G345" s="112"/>
      <c r="H345" s="112"/>
      <c r="I345" s="112"/>
      <c r="J345" s="112"/>
    </row>
    <row r="346" spans="4:10" x14ac:dyDescent="0.2">
      <c r="D346" s="38"/>
      <c r="F346" s="111"/>
      <c r="G346" s="112"/>
      <c r="H346" s="112"/>
      <c r="I346" s="112"/>
      <c r="J346" s="112"/>
    </row>
    <row r="347" spans="4:10" x14ac:dyDescent="0.2">
      <c r="D347" s="38"/>
      <c r="F347" s="111"/>
      <c r="G347" s="112"/>
      <c r="H347" s="112"/>
      <c r="I347" s="112"/>
      <c r="J347" s="112"/>
    </row>
    <row r="348" spans="4:10" x14ac:dyDescent="0.2">
      <c r="D348" s="38"/>
      <c r="F348" s="111"/>
      <c r="G348" s="112"/>
      <c r="H348" s="112"/>
      <c r="I348" s="112"/>
      <c r="J348" s="112"/>
    </row>
    <row r="349" spans="4:10" x14ac:dyDescent="0.2">
      <c r="D349" s="38"/>
      <c r="F349" s="111"/>
      <c r="G349" s="112"/>
      <c r="H349" s="112"/>
      <c r="I349" s="112"/>
      <c r="J349" s="112"/>
    </row>
    <row r="350" spans="4:10" x14ac:dyDescent="0.2">
      <c r="D350" s="38"/>
      <c r="F350" s="111"/>
      <c r="G350" s="112"/>
      <c r="H350" s="112"/>
      <c r="I350" s="112"/>
      <c r="J350" s="112"/>
    </row>
    <row r="351" spans="4:10" x14ac:dyDescent="0.2">
      <c r="D351" s="38"/>
      <c r="F351" s="111"/>
      <c r="G351" s="112"/>
      <c r="H351" s="112"/>
      <c r="I351" s="112"/>
      <c r="J351" s="112"/>
    </row>
    <row r="352" spans="4:10" x14ac:dyDescent="0.2">
      <c r="D352" s="38"/>
      <c r="F352" s="111"/>
      <c r="G352" s="112"/>
      <c r="H352" s="112"/>
      <c r="I352" s="112"/>
      <c r="J352" s="112"/>
    </row>
    <row r="353" spans="4:10" x14ac:dyDescent="0.2">
      <c r="D353" s="38"/>
      <c r="F353" s="111"/>
      <c r="G353" s="112"/>
      <c r="H353" s="112"/>
      <c r="I353" s="112"/>
      <c r="J353" s="112"/>
    </row>
    <row r="354" spans="4:10" x14ac:dyDescent="0.2">
      <c r="D354" s="38"/>
      <c r="F354" s="111"/>
      <c r="G354" s="112"/>
      <c r="H354" s="112"/>
      <c r="I354" s="112"/>
      <c r="J354" s="112"/>
    </row>
    <row r="355" spans="4:10" x14ac:dyDescent="0.2">
      <c r="D355" s="38"/>
      <c r="F355" s="111"/>
      <c r="G355" s="112"/>
      <c r="H355" s="112"/>
      <c r="I355" s="112"/>
      <c r="J355" s="112"/>
    </row>
    <row r="356" spans="4:10" x14ac:dyDescent="0.2">
      <c r="D356" s="38"/>
      <c r="F356" s="111"/>
      <c r="G356" s="112"/>
      <c r="H356" s="112"/>
      <c r="I356" s="112"/>
      <c r="J356" s="112"/>
    </row>
    <row r="357" spans="4:10" x14ac:dyDescent="0.2">
      <c r="D357" s="38"/>
      <c r="F357" s="111"/>
      <c r="G357" s="112"/>
      <c r="H357" s="112"/>
      <c r="I357" s="112"/>
      <c r="J357" s="112"/>
    </row>
    <row r="358" spans="4:10" x14ac:dyDescent="0.2">
      <c r="D358" s="38"/>
      <c r="F358" s="111"/>
      <c r="G358" s="112"/>
      <c r="H358" s="112"/>
      <c r="I358" s="112"/>
      <c r="J358" s="112"/>
    </row>
    <row r="359" spans="4:10" x14ac:dyDescent="0.2">
      <c r="D359" s="38"/>
      <c r="F359" s="111"/>
      <c r="G359" s="112"/>
      <c r="H359" s="112"/>
      <c r="I359" s="112"/>
      <c r="J359" s="112"/>
    </row>
    <row r="360" spans="4:10" x14ac:dyDescent="0.2">
      <c r="D360" s="38"/>
      <c r="F360" s="111"/>
      <c r="G360" s="112"/>
      <c r="H360" s="112"/>
      <c r="I360" s="112"/>
      <c r="J360" s="112"/>
    </row>
    <row r="361" spans="4:10" x14ac:dyDescent="0.2">
      <c r="D361" s="38"/>
      <c r="F361" s="111"/>
      <c r="G361" s="112"/>
      <c r="H361" s="112"/>
      <c r="I361" s="112"/>
      <c r="J361" s="112"/>
    </row>
    <row r="362" spans="4:10" x14ac:dyDescent="0.2">
      <c r="D362" s="38"/>
      <c r="F362" s="111"/>
      <c r="G362" s="112"/>
      <c r="H362" s="112"/>
      <c r="I362" s="112"/>
      <c r="J362" s="112"/>
    </row>
    <row r="363" spans="4:10" x14ac:dyDescent="0.2">
      <c r="D363" s="38"/>
      <c r="F363" s="111"/>
      <c r="G363" s="112"/>
      <c r="H363" s="112"/>
      <c r="I363" s="112"/>
      <c r="J363" s="112"/>
    </row>
    <row r="364" spans="4:10" x14ac:dyDescent="0.2">
      <c r="D364" s="38"/>
      <c r="F364" s="111"/>
      <c r="G364" s="112"/>
      <c r="H364" s="112"/>
      <c r="I364" s="112"/>
      <c r="J364" s="112"/>
    </row>
    <row r="365" spans="4:10" x14ac:dyDescent="0.2">
      <c r="D365" s="38"/>
      <c r="F365" s="111"/>
      <c r="G365" s="112"/>
      <c r="H365" s="112"/>
      <c r="I365" s="112"/>
      <c r="J365" s="112"/>
    </row>
    <row r="366" spans="4:10" x14ac:dyDescent="0.2">
      <c r="D366" s="38"/>
      <c r="F366" s="111"/>
      <c r="G366" s="112"/>
      <c r="H366" s="112"/>
      <c r="I366" s="112"/>
      <c r="J366" s="112"/>
    </row>
    <row r="367" spans="4:10" x14ac:dyDescent="0.2">
      <c r="D367" s="38"/>
      <c r="F367" s="111"/>
      <c r="G367" s="112"/>
      <c r="H367" s="112"/>
      <c r="I367" s="112"/>
      <c r="J367" s="112"/>
    </row>
    <row r="368" spans="4:10" x14ac:dyDescent="0.2">
      <c r="D368" s="38"/>
      <c r="F368" s="111"/>
      <c r="G368" s="112"/>
      <c r="H368" s="112"/>
      <c r="I368" s="112"/>
      <c r="J368" s="112"/>
    </row>
    <row r="369" spans="4:10" x14ac:dyDescent="0.2">
      <c r="D369" s="38"/>
      <c r="F369" s="111"/>
      <c r="G369" s="112"/>
      <c r="H369" s="112"/>
      <c r="I369" s="112"/>
      <c r="J369" s="112"/>
    </row>
    <row r="370" spans="4:10" x14ac:dyDescent="0.2">
      <c r="D370" s="38"/>
      <c r="F370" s="111"/>
      <c r="G370" s="112"/>
      <c r="H370" s="112"/>
      <c r="I370" s="112"/>
      <c r="J370" s="112"/>
    </row>
    <row r="371" spans="4:10" x14ac:dyDescent="0.2">
      <c r="D371" s="38"/>
      <c r="F371" s="111"/>
      <c r="G371" s="112"/>
      <c r="H371" s="112"/>
      <c r="I371" s="112"/>
      <c r="J371" s="112"/>
    </row>
    <row r="372" spans="4:10" x14ac:dyDescent="0.2">
      <c r="D372" s="38"/>
      <c r="F372" s="111"/>
      <c r="G372" s="112"/>
      <c r="H372" s="112"/>
      <c r="I372" s="112"/>
      <c r="J372" s="112"/>
    </row>
    <row r="373" spans="4:10" x14ac:dyDescent="0.2">
      <c r="D373" s="38"/>
      <c r="F373" s="111"/>
      <c r="G373" s="112"/>
      <c r="H373" s="112"/>
      <c r="I373" s="112"/>
      <c r="J373" s="112"/>
    </row>
    <row r="374" spans="4:10" x14ac:dyDescent="0.2">
      <c r="D374" s="38"/>
      <c r="F374" s="111"/>
      <c r="G374" s="112"/>
      <c r="H374" s="112"/>
      <c r="I374" s="112"/>
      <c r="J374" s="112"/>
    </row>
    <row r="375" spans="4:10" x14ac:dyDescent="0.2">
      <c r="D375" s="38"/>
      <c r="F375" s="111"/>
      <c r="G375" s="112"/>
      <c r="H375" s="112"/>
      <c r="I375" s="112"/>
      <c r="J375" s="112"/>
    </row>
    <row r="376" spans="4:10" x14ac:dyDescent="0.2">
      <c r="D376" s="38"/>
      <c r="F376" s="111"/>
      <c r="G376" s="112"/>
      <c r="H376" s="112"/>
      <c r="I376" s="112"/>
      <c r="J376" s="112"/>
    </row>
    <row r="377" spans="4:10" x14ac:dyDescent="0.2">
      <c r="D377" s="38"/>
      <c r="F377" s="111"/>
      <c r="G377" s="112"/>
      <c r="H377" s="112"/>
      <c r="I377" s="112"/>
      <c r="J377" s="112"/>
    </row>
    <row r="378" spans="4:10" x14ac:dyDescent="0.2">
      <c r="D378" s="38"/>
      <c r="F378" s="111"/>
      <c r="G378" s="112"/>
      <c r="H378" s="112"/>
      <c r="I378" s="112"/>
      <c r="J378" s="112"/>
    </row>
    <row r="379" spans="4:10" x14ac:dyDescent="0.2">
      <c r="D379" s="38"/>
      <c r="F379" s="111"/>
      <c r="G379" s="112"/>
      <c r="H379" s="112"/>
      <c r="I379" s="112"/>
      <c r="J379" s="112"/>
    </row>
    <row r="380" spans="4:10" x14ac:dyDescent="0.2">
      <c r="D380" s="38"/>
      <c r="F380" s="111"/>
      <c r="G380" s="112"/>
      <c r="H380" s="112"/>
      <c r="I380" s="112"/>
      <c r="J380" s="112"/>
    </row>
    <row r="381" spans="4:10" x14ac:dyDescent="0.2">
      <c r="D381" s="38"/>
      <c r="F381" s="111"/>
      <c r="G381" s="112"/>
      <c r="H381" s="112"/>
      <c r="I381" s="112"/>
      <c r="J381" s="112"/>
    </row>
    <row r="382" spans="4:10" x14ac:dyDescent="0.2">
      <c r="D382" s="38"/>
      <c r="F382" s="111"/>
      <c r="G382" s="112"/>
      <c r="H382" s="112"/>
      <c r="I382" s="112"/>
      <c r="J382" s="112"/>
    </row>
    <row r="383" spans="4:10" x14ac:dyDescent="0.2">
      <c r="D383" s="38"/>
      <c r="F383" s="111"/>
      <c r="G383" s="112"/>
      <c r="H383" s="112"/>
      <c r="I383" s="112"/>
      <c r="J383" s="112"/>
    </row>
    <row r="384" spans="4:10" x14ac:dyDescent="0.2">
      <c r="D384" s="38"/>
      <c r="F384" s="111"/>
      <c r="G384" s="112"/>
      <c r="H384" s="112"/>
      <c r="I384" s="112"/>
      <c r="J384" s="112"/>
    </row>
    <row r="385" spans="4:10" x14ac:dyDescent="0.2">
      <c r="D385" s="38"/>
      <c r="F385" s="111"/>
      <c r="G385" s="112"/>
      <c r="H385" s="112"/>
      <c r="I385" s="112"/>
      <c r="J385" s="112"/>
    </row>
    <row r="386" spans="4:10" x14ac:dyDescent="0.2">
      <c r="D386" s="38"/>
      <c r="F386" s="111"/>
      <c r="G386" s="112"/>
      <c r="H386" s="112"/>
      <c r="I386" s="112"/>
      <c r="J386" s="112"/>
    </row>
    <row r="387" spans="4:10" x14ac:dyDescent="0.2">
      <c r="D387" s="38"/>
      <c r="F387" s="111"/>
      <c r="G387" s="112"/>
      <c r="H387" s="112"/>
      <c r="I387" s="112"/>
      <c r="J387" s="112"/>
    </row>
    <row r="388" spans="4:10" x14ac:dyDescent="0.2">
      <c r="D388" s="38"/>
      <c r="F388" s="111"/>
      <c r="G388" s="112"/>
      <c r="H388" s="112"/>
      <c r="I388" s="112"/>
      <c r="J388" s="112"/>
    </row>
    <row r="389" spans="4:10" x14ac:dyDescent="0.2">
      <c r="D389" s="38"/>
      <c r="F389" s="111"/>
      <c r="G389" s="112"/>
      <c r="H389" s="112"/>
      <c r="I389" s="112"/>
      <c r="J389" s="112"/>
    </row>
    <row r="390" spans="4:10" x14ac:dyDescent="0.2">
      <c r="D390" s="38"/>
      <c r="F390" s="111"/>
      <c r="G390" s="112"/>
      <c r="H390" s="112"/>
      <c r="I390" s="112"/>
      <c r="J390" s="112"/>
    </row>
    <row r="391" spans="4:10" x14ac:dyDescent="0.2">
      <c r="D391" s="38"/>
      <c r="F391" s="111"/>
      <c r="G391" s="112"/>
      <c r="H391" s="112"/>
      <c r="I391" s="112"/>
      <c r="J391" s="112"/>
    </row>
    <row r="392" spans="4:10" x14ac:dyDescent="0.2">
      <c r="D392" s="38"/>
      <c r="F392" s="111"/>
      <c r="G392" s="112"/>
      <c r="H392" s="112"/>
      <c r="I392" s="112"/>
      <c r="J392" s="112"/>
    </row>
    <row r="393" spans="4:10" x14ac:dyDescent="0.2">
      <c r="D393" s="38"/>
      <c r="F393" s="111"/>
      <c r="G393" s="112"/>
      <c r="H393" s="112"/>
      <c r="I393" s="112"/>
      <c r="J393" s="112"/>
    </row>
    <row r="394" spans="4:10" x14ac:dyDescent="0.2">
      <c r="D394" s="38"/>
      <c r="F394" s="111"/>
      <c r="G394" s="112"/>
      <c r="H394" s="112"/>
      <c r="I394" s="112"/>
      <c r="J394" s="112"/>
    </row>
    <row r="395" spans="4:10" x14ac:dyDescent="0.2">
      <c r="D395" s="38"/>
      <c r="F395" s="111"/>
      <c r="G395" s="112"/>
      <c r="H395" s="112"/>
      <c r="I395" s="112"/>
      <c r="J395" s="112"/>
    </row>
    <row r="396" spans="4:10" x14ac:dyDescent="0.2">
      <c r="D396" s="38"/>
      <c r="F396" s="111"/>
      <c r="G396" s="112"/>
      <c r="H396" s="112"/>
      <c r="I396" s="112"/>
      <c r="J396" s="112"/>
    </row>
    <row r="397" spans="4:10" x14ac:dyDescent="0.2">
      <c r="D397" s="38"/>
      <c r="F397" s="111"/>
      <c r="G397" s="112"/>
      <c r="H397" s="112"/>
      <c r="I397" s="112"/>
      <c r="J397" s="112"/>
    </row>
    <row r="398" spans="4:10" x14ac:dyDescent="0.2">
      <c r="D398" s="38"/>
      <c r="F398" s="111"/>
      <c r="G398" s="112"/>
      <c r="H398" s="112"/>
      <c r="I398" s="112"/>
      <c r="J398" s="112"/>
    </row>
    <row r="399" spans="4:10" x14ac:dyDescent="0.2">
      <c r="D399" s="38"/>
      <c r="F399" s="111"/>
      <c r="G399" s="112"/>
      <c r="H399" s="112"/>
      <c r="I399" s="112"/>
      <c r="J399" s="112"/>
    </row>
    <row r="400" spans="4:10" x14ac:dyDescent="0.2">
      <c r="D400" s="38"/>
      <c r="F400" s="111"/>
      <c r="G400" s="112"/>
      <c r="H400" s="112"/>
      <c r="I400" s="112"/>
      <c r="J400" s="112"/>
    </row>
    <row r="401" spans="4:10" x14ac:dyDescent="0.2">
      <c r="D401" s="38"/>
      <c r="F401" s="111"/>
      <c r="G401" s="112"/>
      <c r="H401" s="112"/>
      <c r="I401" s="112"/>
      <c r="J401" s="112"/>
    </row>
    <row r="402" spans="4:10" x14ac:dyDescent="0.2">
      <c r="D402" s="38"/>
      <c r="F402" s="111"/>
      <c r="G402" s="112"/>
      <c r="H402" s="112"/>
      <c r="I402" s="112"/>
      <c r="J402" s="112"/>
    </row>
    <row r="403" spans="4:10" x14ac:dyDescent="0.2">
      <c r="D403" s="38"/>
      <c r="F403" s="111"/>
      <c r="G403" s="112"/>
      <c r="H403" s="112"/>
      <c r="I403" s="112"/>
      <c r="J403" s="112"/>
    </row>
    <row r="404" spans="4:10" x14ac:dyDescent="0.2">
      <c r="D404" s="38"/>
      <c r="F404" s="111"/>
      <c r="G404" s="112"/>
      <c r="H404" s="112"/>
      <c r="I404" s="112"/>
      <c r="J404" s="112"/>
    </row>
    <row r="405" spans="4:10" x14ac:dyDescent="0.2">
      <c r="D405" s="38"/>
      <c r="F405" s="111"/>
      <c r="G405" s="112"/>
      <c r="H405" s="112"/>
      <c r="I405" s="112"/>
      <c r="J405" s="112"/>
    </row>
    <row r="406" spans="4:10" x14ac:dyDescent="0.2">
      <c r="D406" s="38"/>
      <c r="F406" s="111"/>
      <c r="G406" s="112"/>
      <c r="H406" s="112"/>
      <c r="I406" s="112"/>
      <c r="J406" s="112"/>
    </row>
    <row r="407" spans="4:10" x14ac:dyDescent="0.2">
      <c r="D407" s="38"/>
      <c r="F407" s="111"/>
      <c r="G407" s="112"/>
      <c r="H407" s="112"/>
      <c r="I407" s="112"/>
      <c r="J407" s="112"/>
    </row>
    <row r="408" spans="4:10" x14ac:dyDescent="0.2">
      <c r="D408" s="38"/>
      <c r="F408" s="111"/>
      <c r="G408" s="112"/>
      <c r="H408" s="112"/>
      <c r="I408" s="112"/>
      <c r="J408" s="112"/>
    </row>
    <row r="409" spans="4:10" x14ac:dyDescent="0.2">
      <c r="D409" s="38"/>
      <c r="F409" s="111"/>
      <c r="G409" s="112"/>
      <c r="H409" s="112"/>
      <c r="I409" s="112"/>
      <c r="J409" s="112"/>
    </row>
    <row r="410" spans="4:10" x14ac:dyDescent="0.2">
      <c r="D410" s="38"/>
      <c r="F410" s="111"/>
      <c r="G410" s="112"/>
      <c r="H410" s="112"/>
      <c r="I410" s="112"/>
      <c r="J410" s="112"/>
    </row>
    <row r="411" spans="4:10" x14ac:dyDescent="0.2">
      <c r="D411" s="38"/>
      <c r="F411" s="111"/>
      <c r="G411" s="112"/>
      <c r="H411" s="112"/>
      <c r="I411" s="112"/>
      <c r="J411" s="112"/>
    </row>
    <row r="412" spans="4:10" x14ac:dyDescent="0.2">
      <c r="D412" s="38"/>
      <c r="F412" s="111"/>
      <c r="G412" s="112"/>
      <c r="H412" s="112"/>
      <c r="I412" s="112"/>
      <c r="J412" s="112"/>
    </row>
    <row r="413" spans="4:10" x14ac:dyDescent="0.2">
      <c r="D413" s="38"/>
      <c r="F413" s="111"/>
      <c r="G413" s="112"/>
      <c r="H413" s="112"/>
      <c r="I413" s="112"/>
      <c r="J413" s="112"/>
    </row>
    <row r="414" spans="4:10" x14ac:dyDescent="0.2">
      <c r="D414" s="38"/>
      <c r="F414" s="111"/>
      <c r="G414" s="112"/>
      <c r="H414" s="112"/>
      <c r="I414" s="112"/>
      <c r="J414" s="112"/>
    </row>
    <row r="415" spans="4:10" x14ac:dyDescent="0.2">
      <c r="D415" s="38"/>
      <c r="F415" s="111"/>
      <c r="G415" s="112"/>
      <c r="H415" s="112"/>
      <c r="I415" s="112"/>
      <c r="J415" s="112"/>
    </row>
    <row r="416" spans="4:10" x14ac:dyDescent="0.2">
      <c r="D416" s="38"/>
      <c r="F416" s="111"/>
      <c r="G416" s="112"/>
      <c r="H416" s="112"/>
      <c r="I416" s="112"/>
      <c r="J416" s="112"/>
    </row>
    <row r="417" spans="4:10" x14ac:dyDescent="0.2">
      <c r="D417" s="38"/>
      <c r="F417" s="111"/>
      <c r="G417" s="112"/>
      <c r="H417" s="112"/>
      <c r="I417" s="112"/>
      <c r="J417" s="112"/>
    </row>
    <row r="418" spans="4:10" x14ac:dyDescent="0.2">
      <c r="D418" s="38"/>
      <c r="F418" s="111"/>
      <c r="G418" s="112"/>
      <c r="H418" s="112"/>
      <c r="I418" s="112"/>
      <c r="J418" s="112"/>
    </row>
    <row r="419" spans="4:10" x14ac:dyDescent="0.2">
      <c r="D419" s="38"/>
      <c r="F419" s="111"/>
      <c r="G419" s="112"/>
      <c r="H419" s="112"/>
      <c r="I419" s="112"/>
      <c r="J419" s="112"/>
    </row>
    <row r="420" spans="4:10" x14ac:dyDescent="0.2">
      <c r="D420" s="38"/>
      <c r="F420" s="111"/>
      <c r="G420" s="112"/>
      <c r="H420" s="112"/>
      <c r="I420" s="112"/>
      <c r="J420" s="112"/>
    </row>
    <row r="421" spans="4:10" x14ac:dyDescent="0.2">
      <c r="D421" s="38"/>
      <c r="F421" s="111"/>
      <c r="G421" s="112"/>
      <c r="H421" s="112"/>
      <c r="I421" s="112"/>
      <c r="J421" s="112"/>
    </row>
    <row r="422" spans="4:10" x14ac:dyDescent="0.2">
      <c r="D422" s="38"/>
      <c r="F422" s="111"/>
      <c r="G422" s="112"/>
      <c r="H422" s="112"/>
      <c r="I422" s="112"/>
      <c r="J422" s="112"/>
    </row>
    <row r="423" spans="4:10" x14ac:dyDescent="0.2">
      <c r="D423" s="38"/>
      <c r="F423" s="111"/>
      <c r="G423" s="112"/>
      <c r="H423" s="112"/>
      <c r="I423" s="112"/>
      <c r="J423" s="112"/>
    </row>
    <row r="424" spans="4:10" x14ac:dyDescent="0.2">
      <c r="D424" s="38"/>
      <c r="F424" s="111"/>
      <c r="G424" s="112"/>
      <c r="H424" s="112"/>
      <c r="I424" s="112"/>
      <c r="J424" s="112"/>
    </row>
    <row r="425" spans="4:10" x14ac:dyDescent="0.2">
      <c r="D425" s="38"/>
      <c r="F425" s="111"/>
      <c r="G425" s="112"/>
      <c r="H425" s="112"/>
      <c r="I425" s="112"/>
      <c r="J425" s="112"/>
    </row>
    <row r="426" spans="4:10" x14ac:dyDescent="0.2">
      <c r="D426" s="38"/>
      <c r="F426" s="111"/>
      <c r="G426" s="112"/>
      <c r="H426" s="112"/>
      <c r="I426" s="112"/>
      <c r="J426" s="112"/>
    </row>
    <row r="427" spans="4:10" x14ac:dyDescent="0.2">
      <c r="D427" s="38"/>
      <c r="F427" s="111"/>
      <c r="G427" s="112"/>
      <c r="H427" s="112"/>
      <c r="I427" s="112"/>
      <c r="J427" s="112"/>
    </row>
    <row r="428" spans="4:10" x14ac:dyDescent="0.2">
      <c r="D428" s="38"/>
      <c r="F428" s="111"/>
      <c r="G428" s="112"/>
      <c r="H428" s="112"/>
      <c r="I428" s="112"/>
      <c r="J428" s="112"/>
    </row>
    <row r="429" spans="4:10" x14ac:dyDescent="0.2">
      <c r="D429" s="38"/>
      <c r="F429" s="111"/>
      <c r="G429" s="112"/>
      <c r="H429" s="112"/>
      <c r="I429" s="112"/>
      <c r="J429" s="112"/>
    </row>
    <row r="430" spans="4:10" x14ac:dyDescent="0.2">
      <c r="D430" s="38"/>
      <c r="F430" s="111"/>
      <c r="G430" s="112"/>
      <c r="H430" s="112"/>
      <c r="I430" s="112"/>
      <c r="J430" s="112"/>
    </row>
    <row r="431" spans="4:10" x14ac:dyDescent="0.2">
      <c r="D431" s="38"/>
      <c r="F431" s="111"/>
      <c r="G431" s="112"/>
      <c r="H431" s="112"/>
      <c r="I431" s="112"/>
      <c r="J431" s="112"/>
    </row>
    <row r="432" spans="4:10" x14ac:dyDescent="0.2">
      <c r="D432" s="38"/>
      <c r="F432" s="111"/>
      <c r="G432" s="112"/>
      <c r="H432" s="112"/>
      <c r="I432" s="112"/>
      <c r="J432" s="112"/>
    </row>
    <row r="433" spans="4:10" x14ac:dyDescent="0.2">
      <c r="D433" s="38"/>
      <c r="F433" s="111"/>
      <c r="G433" s="112"/>
      <c r="H433" s="112"/>
      <c r="I433" s="112"/>
      <c r="J433" s="112"/>
    </row>
    <row r="434" spans="4:10" x14ac:dyDescent="0.2">
      <c r="D434" s="38"/>
      <c r="F434" s="111"/>
      <c r="G434" s="112"/>
      <c r="H434" s="112"/>
      <c r="I434" s="112"/>
      <c r="J434" s="112"/>
    </row>
    <row r="435" spans="4:10" x14ac:dyDescent="0.2">
      <c r="D435" s="38"/>
      <c r="F435" s="111"/>
      <c r="G435" s="112"/>
      <c r="H435" s="112"/>
      <c r="I435" s="112"/>
      <c r="J435" s="112"/>
    </row>
    <row r="436" spans="4:10" x14ac:dyDescent="0.2">
      <c r="D436" s="38"/>
      <c r="F436" s="111"/>
      <c r="G436" s="112"/>
      <c r="H436" s="112"/>
      <c r="I436" s="112"/>
      <c r="J436" s="112"/>
    </row>
    <row r="437" spans="4:10" x14ac:dyDescent="0.2">
      <c r="D437" s="38"/>
      <c r="F437" s="111"/>
      <c r="G437" s="112"/>
      <c r="H437" s="112"/>
      <c r="I437" s="112"/>
      <c r="J437" s="112"/>
    </row>
    <row r="438" spans="4:10" x14ac:dyDescent="0.2">
      <c r="D438" s="38"/>
      <c r="F438" s="111"/>
      <c r="G438" s="112"/>
      <c r="H438" s="112"/>
      <c r="I438" s="112"/>
      <c r="J438" s="112"/>
    </row>
    <row r="439" spans="4:10" x14ac:dyDescent="0.2">
      <c r="D439" s="38"/>
      <c r="F439" s="111"/>
      <c r="G439" s="112"/>
      <c r="H439" s="112"/>
      <c r="I439" s="112"/>
      <c r="J439" s="112"/>
    </row>
    <row r="440" spans="4:10" x14ac:dyDescent="0.2">
      <c r="D440" s="38"/>
      <c r="F440" s="111"/>
      <c r="G440" s="112"/>
      <c r="H440" s="112"/>
      <c r="I440" s="112"/>
      <c r="J440" s="112"/>
    </row>
    <row r="441" spans="4:10" x14ac:dyDescent="0.2">
      <c r="D441" s="38"/>
      <c r="F441" s="111"/>
      <c r="G441" s="112"/>
      <c r="H441" s="112"/>
      <c r="I441" s="112"/>
      <c r="J441" s="112"/>
    </row>
    <row r="442" spans="4:10" x14ac:dyDescent="0.2">
      <c r="D442" s="38"/>
      <c r="F442" s="111"/>
      <c r="G442" s="112"/>
      <c r="H442" s="112"/>
      <c r="I442" s="112"/>
      <c r="J442" s="112"/>
    </row>
    <row r="443" spans="4:10" x14ac:dyDescent="0.2">
      <c r="D443" s="38"/>
      <c r="F443" s="111"/>
      <c r="G443" s="112"/>
      <c r="H443" s="112"/>
      <c r="I443" s="112"/>
      <c r="J443" s="112"/>
    </row>
    <row r="444" spans="4:10" x14ac:dyDescent="0.2">
      <c r="D444" s="38"/>
      <c r="F444" s="111"/>
      <c r="G444" s="112"/>
      <c r="H444" s="112"/>
      <c r="I444" s="112"/>
      <c r="J444" s="112"/>
    </row>
    <row r="445" spans="4:10" x14ac:dyDescent="0.2">
      <c r="D445" s="38"/>
      <c r="F445" s="111"/>
      <c r="G445" s="112"/>
      <c r="H445" s="112"/>
      <c r="I445" s="112"/>
      <c r="J445" s="112"/>
    </row>
    <row r="446" spans="4:10" x14ac:dyDescent="0.2">
      <c r="D446" s="38"/>
      <c r="F446" s="111"/>
      <c r="G446" s="112"/>
      <c r="H446" s="112"/>
      <c r="I446" s="112"/>
      <c r="J446" s="112"/>
    </row>
    <row r="447" spans="4:10" x14ac:dyDescent="0.2">
      <c r="D447" s="38"/>
      <c r="F447" s="111"/>
      <c r="G447" s="112"/>
      <c r="H447" s="112"/>
      <c r="I447" s="112"/>
      <c r="J447" s="112"/>
    </row>
    <row r="448" spans="4:10" x14ac:dyDescent="0.2">
      <c r="D448" s="38"/>
      <c r="F448" s="111"/>
      <c r="G448" s="112"/>
      <c r="H448" s="112"/>
      <c r="I448" s="112"/>
      <c r="J448" s="112"/>
    </row>
    <row r="449" spans="4:10" x14ac:dyDescent="0.2">
      <c r="D449" s="38"/>
      <c r="F449" s="111"/>
      <c r="G449" s="112"/>
      <c r="H449" s="112"/>
      <c r="I449" s="112"/>
      <c r="J449" s="112"/>
    </row>
    <row r="450" spans="4:10" x14ac:dyDescent="0.2">
      <c r="D450" s="38"/>
      <c r="F450" s="111"/>
      <c r="G450" s="112"/>
      <c r="H450" s="112"/>
      <c r="I450" s="112"/>
      <c r="J450" s="112"/>
    </row>
    <row r="451" spans="4:10" x14ac:dyDescent="0.2">
      <c r="D451" s="38"/>
      <c r="F451" s="111"/>
      <c r="G451" s="112"/>
      <c r="H451" s="112"/>
      <c r="I451" s="112"/>
      <c r="J451" s="112"/>
    </row>
    <row r="452" spans="4:10" x14ac:dyDescent="0.2">
      <c r="D452" s="38"/>
      <c r="F452" s="111"/>
      <c r="G452" s="112"/>
      <c r="H452" s="112"/>
      <c r="I452" s="112"/>
      <c r="J452" s="112"/>
    </row>
    <row r="453" spans="4:10" x14ac:dyDescent="0.2">
      <c r="D453" s="38"/>
      <c r="F453" s="111"/>
      <c r="G453" s="112"/>
      <c r="H453" s="112"/>
      <c r="I453" s="112"/>
      <c r="J453" s="112"/>
    </row>
    <row r="454" spans="4:10" x14ac:dyDescent="0.2">
      <c r="D454" s="38"/>
      <c r="F454" s="111"/>
      <c r="G454" s="112"/>
      <c r="H454" s="112"/>
      <c r="I454" s="112"/>
      <c r="J454" s="112"/>
    </row>
    <row r="455" spans="4:10" x14ac:dyDescent="0.2">
      <c r="D455" s="38"/>
      <c r="F455" s="111"/>
      <c r="G455" s="112"/>
      <c r="H455" s="112"/>
      <c r="I455" s="112"/>
      <c r="J455" s="112"/>
    </row>
    <row r="456" spans="4:10" x14ac:dyDescent="0.2">
      <c r="D456" s="38"/>
      <c r="F456" s="111"/>
      <c r="G456" s="112"/>
      <c r="H456" s="112"/>
      <c r="I456" s="112"/>
      <c r="J456" s="112"/>
    </row>
    <row r="457" spans="4:10" x14ac:dyDescent="0.2">
      <c r="D457" s="38"/>
      <c r="F457" s="111"/>
      <c r="G457" s="112"/>
      <c r="H457" s="112"/>
      <c r="I457" s="112"/>
      <c r="J457" s="112"/>
    </row>
    <row r="458" spans="4:10" x14ac:dyDescent="0.2">
      <c r="D458" s="38"/>
      <c r="F458" s="111"/>
      <c r="G458" s="112"/>
      <c r="H458" s="112"/>
      <c r="I458" s="112"/>
      <c r="J458" s="112"/>
    </row>
    <row r="459" spans="4:10" x14ac:dyDescent="0.2">
      <c r="D459" s="38"/>
      <c r="F459" s="111"/>
      <c r="G459" s="112"/>
      <c r="H459" s="112"/>
      <c r="I459" s="112"/>
      <c r="J459" s="112"/>
    </row>
    <row r="460" spans="4:10" x14ac:dyDescent="0.2">
      <c r="D460" s="38"/>
      <c r="F460" s="111"/>
      <c r="G460" s="112"/>
      <c r="H460" s="112"/>
      <c r="I460" s="112"/>
      <c r="J460" s="112"/>
    </row>
    <row r="461" spans="4:10" x14ac:dyDescent="0.2">
      <c r="D461" s="38"/>
      <c r="F461" s="111"/>
      <c r="G461" s="112"/>
      <c r="H461" s="112"/>
      <c r="I461" s="112"/>
      <c r="J461" s="112"/>
    </row>
    <row r="462" spans="4:10" x14ac:dyDescent="0.2">
      <c r="D462" s="38"/>
      <c r="F462" s="111"/>
      <c r="G462" s="112"/>
      <c r="H462" s="112"/>
      <c r="I462" s="112"/>
      <c r="J462" s="112"/>
    </row>
    <row r="463" spans="4:10" x14ac:dyDescent="0.2">
      <c r="D463" s="38"/>
      <c r="F463" s="111"/>
      <c r="G463" s="112"/>
      <c r="H463" s="112"/>
      <c r="I463" s="112"/>
      <c r="J463" s="112"/>
    </row>
    <row r="464" spans="4:10" x14ac:dyDescent="0.2">
      <c r="D464" s="38"/>
      <c r="F464" s="111"/>
      <c r="G464" s="112"/>
      <c r="H464" s="112"/>
      <c r="I464" s="112"/>
      <c r="J464" s="112"/>
    </row>
    <row r="465" spans="4:10" x14ac:dyDescent="0.2">
      <c r="D465" s="38"/>
      <c r="F465" s="111"/>
      <c r="G465" s="112"/>
      <c r="H465" s="112"/>
      <c r="I465" s="112"/>
      <c r="J465" s="112"/>
    </row>
    <row r="466" spans="4:10" x14ac:dyDescent="0.2">
      <c r="D466" s="38"/>
      <c r="F466" s="111"/>
      <c r="G466" s="112"/>
      <c r="H466" s="112"/>
      <c r="I466" s="112"/>
      <c r="J466" s="112"/>
    </row>
    <row r="467" spans="4:10" x14ac:dyDescent="0.2">
      <c r="D467" s="38"/>
      <c r="F467" s="111"/>
      <c r="G467" s="112"/>
      <c r="H467" s="112"/>
      <c r="I467" s="112"/>
      <c r="J467" s="112"/>
    </row>
    <row r="468" spans="4:10" x14ac:dyDescent="0.2">
      <c r="D468" s="38"/>
      <c r="F468" s="111"/>
      <c r="G468" s="112"/>
      <c r="H468" s="112"/>
      <c r="I468" s="112"/>
      <c r="J468" s="112"/>
    </row>
    <row r="469" spans="4:10" x14ac:dyDescent="0.2">
      <c r="D469" s="38"/>
      <c r="F469" s="111"/>
      <c r="G469" s="112"/>
      <c r="H469" s="112"/>
      <c r="I469" s="112"/>
      <c r="J469" s="112"/>
    </row>
    <row r="470" spans="4:10" x14ac:dyDescent="0.2">
      <c r="D470" s="38"/>
      <c r="F470" s="111"/>
      <c r="G470" s="112"/>
      <c r="H470" s="112"/>
      <c r="I470" s="112"/>
      <c r="J470" s="112"/>
    </row>
    <row r="471" spans="4:10" x14ac:dyDescent="0.2">
      <c r="D471" s="38"/>
      <c r="F471" s="111"/>
      <c r="G471" s="112"/>
      <c r="H471" s="112"/>
      <c r="I471" s="112"/>
      <c r="J471" s="112"/>
    </row>
    <row r="472" spans="4:10" x14ac:dyDescent="0.2">
      <c r="D472" s="38"/>
      <c r="F472" s="111"/>
      <c r="G472" s="112"/>
      <c r="H472" s="112"/>
      <c r="I472" s="112"/>
      <c r="J472" s="112"/>
    </row>
    <row r="473" spans="4:10" x14ac:dyDescent="0.2">
      <c r="D473" s="38"/>
      <c r="F473" s="111"/>
      <c r="G473" s="112"/>
      <c r="H473" s="112"/>
      <c r="I473" s="112"/>
      <c r="J473" s="112"/>
    </row>
    <row r="474" spans="4:10" x14ac:dyDescent="0.2">
      <c r="D474" s="38"/>
      <c r="F474" s="111"/>
      <c r="G474" s="112"/>
      <c r="H474" s="112"/>
      <c r="I474" s="112"/>
      <c r="J474" s="112"/>
    </row>
    <row r="475" spans="4:10" x14ac:dyDescent="0.2">
      <c r="D475" s="38"/>
      <c r="F475" s="111"/>
      <c r="G475" s="112"/>
      <c r="H475" s="112"/>
      <c r="I475" s="112"/>
      <c r="J475" s="112"/>
    </row>
    <row r="476" spans="4:10" x14ac:dyDescent="0.2">
      <c r="D476" s="38"/>
      <c r="F476" s="111"/>
      <c r="G476" s="112"/>
      <c r="H476" s="112"/>
      <c r="I476" s="112"/>
      <c r="J476" s="112"/>
    </row>
    <row r="477" spans="4:10" x14ac:dyDescent="0.2">
      <c r="D477" s="38"/>
      <c r="F477" s="111"/>
      <c r="G477" s="112"/>
      <c r="H477" s="112"/>
      <c r="I477" s="112"/>
      <c r="J477" s="112"/>
    </row>
    <row r="478" spans="4:10" x14ac:dyDescent="0.2">
      <c r="D478" s="38"/>
      <c r="F478" s="111"/>
      <c r="G478" s="112"/>
      <c r="H478" s="112"/>
      <c r="I478" s="112"/>
      <c r="J478" s="112"/>
    </row>
    <row r="479" spans="4:10" x14ac:dyDescent="0.2">
      <c r="D479" s="38"/>
      <c r="F479" s="111"/>
      <c r="G479" s="112"/>
      <c r="H479" s="112"/>
      <c r="I479" s="112"/>
      <c r="J479" s="112"/>
    </row>
    <row r="480" spans="4:10" x14ac:dyDescent="0.2">
      <c r="D480" s="38"/>
      <c r="F480" s="111"/>
      <c r="G480" s="112"/>
      <c r="H480" s="112"/>
      <c r="I480" s="112"/>
      <c r="J480" s="112"/>
    </row>
    <row r="481" spans="4:10" x14ac:dyDescent="0.2">
      <c r="D481" s="38"/>
      <c r="F481" s="111"/>
      <c r="G481" s="112"/>
      <c r="H481" s="112"/>
      <c r="I481" s="112"/>
      <c r="J481" s="112"/>
    </row>
    <row r="482" spans="4:10" x14ac:dyDescent="0.2">
      <c r="D482" s="38"/>
      <c r="F482" s="111"/>
      <c r="G482" s="112"/>
      <c r="H482" s="112"/>
      <c r="I482" s="112"/>
      <c r="J482" s="112"/>
    </row>
    <row r="483" spans="4:10" x14ac:dyDescent="0.2">
      <c r="D483" s="38"/>
      <c r="F483" s="111"/>
      <c r="G483" s="112"/>
      <c r="H483" s="112"/>
      <c r="I483" s="112"/>
      <c r="J483" s="112"/>
    </row>
    <row r="484" spans="4:10" x14ac:dyDescent="0.2">
      <c r="D484" s="38"/>
      <c r="F484" s="111"/>
      <c r="G484" s="112"/>
      <c r="H484" s="112"/>
      <c r="I484" s="112"/>
      <c r="J484" s="112"/>
    </row>
    <row r="485" spans="4:10" x14ac:dyDescent="0.2">
      <c r="D485" s="38"/>
      <c r="F485" s="111"/>
      <c r="G485" s="112"/>
      <c r="H485" s="112"/>
      <c r="I485" s="112"/>
      <c r="J485" s="112"/>
    </row>
    <row r="486" spans="4:10" x14ac:dyDescent="0.2">
      <c r="D486" s="38"/>
      <c r="F486" s="111"/>
      <c r="G486" s="112"/>
      <c r="H486" s="112"/>
      <c r="I486" s="112"/>
      <c r="J486" s="112"/>
    </row>
    <row r="487" spans="4:10" x14ac:dyDescent="0.2">
      <c r="D487" s="38"/>
      <c r="F487" s="111"/>
      <c r="G487" s="112"/>
      <c r="H487" s="112"/>
      <c r="I487" s="112"/>
      <c r="J487" s="112"/>
    </row>
    <row r="488" spans="4:10" x14ac:dyDescent="0.2">
      <c r="D488" s="38"/>
      <c r="F488" s="111"/>
      <c r="G488" s="112"/>
      <c r="H488" s="112"/>
      <c r="I488" s="112"/>
      <c r="J488" s="112"/>
    </row>
    <row r="489" spans="4:10" x14ac:dyDescent="0.2">
      <c r="D489" s="38"/>
      <c r="F489" s="111"/>
      <c r="G489" s="112"/>
      <c r="H489" s="112"/>
      <c r="I489" s="112"/>
      <c r="J489" s="112"/>
    </row>
    <row r="490" spans="4:10" x14ac:dyDescent="0.2">
      <c r="D490" s="38"/>
      <c r="F490" s="111"/>
      <c r="G490" s="112"/>
      <c r="H490" s="112"/>
      <c r="I490" s="112"/>
      <c r="J490" s="112"/>
    </row>
    <row r="491" spans="4:10" x14ac:dyDescent="0.2">
      <c r="D491" s="38"/>
      <c r="F491" s="111"/>
      <c r="G491" s="112"/>
      <c r="H491" s="112"/>
      <c r="I491" s="112"/>
      <c r="J491" s="112"/>
    </row>
    <row r="492" spans="4:10" x14ac:dyDescent="0.2">
      <c r="D492" s="38"/>
      <c r="F492" s="111"/>
      <c r="G492" s="112"/>
      <c r="H492" s="112"/>
      <c r="I492" s="112"/>
      <c r="J492" s="112"/>
    </row>
    <row r="493" spans="4:10" x14ac:dyDescent="0.2">
      <c r="D493" s="38"/>
      <c r="F493" s="111"/>
      <c r="G493" s="112"/>
      <c r="H493" s="112"/>
      <c r="I493" s="112"/>
      <c r="J493" s="112"/>
    </row>
    <row r="494" spans="4:10" x14ac:dyDescent="0.2">
      <c r="D494" s="38"/>
      <c r="F494" s="111"/>
      <c r="G494" s="112"/>
      <c r="H494" s="112"/>
      <c r="I494" s="112"/>
      <c r="J494" s="112"/>
    </row>
    <row r="495" spans="4:10" x14ac:dyDescent="0.2">
      <c r="D495" s="38"/>
      <c r="F495" s="111"/>
      <c r="G495" s="112"/>
      <c r="H495" s="112"/>
      <c r="I495" s="112"/>
      <c r="J495" s="112"/>
    </row>
    <row r="496" spans="4:10" x14ac:dyDescent="0.2">
      <c r="D496" s="38"/>
      <c r="F496" s="111"/>
      <c r="G496" s="112"/>
      <c r="H496" s="112"/>
      <c r="I496" s="112"/>
      <c r="J496" s="112"/>
    </row>
    <row r="497" spans="4:10" x14ac:dyDescent="0.2">
      <c r="D497" s="38"/>
      <c r="F497" s="111"/>
      <c r="G497" s="112"/>
      <c r="H497" s="112"/>
      <c r="I497" s="112"/>
      <c r="J497" s="112"/>
    </row>
    <row r="498" spans="4:10" x14ac:dyDescent="0.2">
      <c r="D498" s="38"/>
      <c r="F498" s="111"/>
      <c r="G498" s="112"/>
      <c r="H498" s="112"/>
      <c r="I498" s="112"/>
      <c r="J498" s="112"/>
    </row>
    <row r="499" spans="4:10" x14ac:dyDescent="0.2">
      <c r="D499" s="38"/>
      <c r="F499" s="111"/>
      <c r="G499" s="112"/>
      <c r="H499" s="112"/>
      <c r="I499" s="112"/>
      <c r="J499" s="112"/>
    </row>
    <row r="500" spans="4:10" x14ac:dyDescent="0.2">
      <c r="D500" s="38"/>
      <c r="F500" s="111"/>
      <c r="G500" s="112"/>
      <c r="H500" s="112"/>
      <c r="I500" s="112"/>
      <c r="J500" s="112"/>
    </row>
    <row r="501" spans="4:10" x14ac:dyDescent="0.2">
      <c r="F501" s="111"/>
      <c r="G501" s="112"/>
      <c r="H501" s="112"/>
      <c r="I501" s="112"/>
      <c r="J501" s="112"/>
    </row>
    <row r="502" spans="4:10" x14ac:dyDescent="0.2">
      <c r="F502" s="111"/>
      <c r="G502" s="112"/>
      <c r="H502" s="112"/>
      <c r="I502" s="112"/>
      <c r="J502" s="112"/>
    </row>
    <row r="503" spans="4:10" x14ac:dyDescent="0.2">
      <c r="F503" s="111"/>
      <c r="G503" s="112"/>
      <c r="H503" s="112"/>
      <c r="I503" s="112"/>
      <c r="J503" s="112"/>
    </row>
    <row r="504" spans="4:10" x14ac:dyDescent="0.2">
      <c r="F504" s="111"/>
      <c r="G504" s="112"/>
      <c r="H504" s="112"/>
      <c r="I504" s="112"/>
      <c r="J504" s="112"/>
    </row>
    <row r="505" spans="4:10" x14ac:dyDescent="0.2">
      <c r="F505" s="111"/>
      <c r="G505" s="112"/>
      <c r="H505" s="112"/>
      <c r="I505" s="112"/>
      <c r="J505" s="112"/>
    </row>
    <row r="506" spans="4:10" x14ac:dyDescent="0.2">
      <c r="F506" s="111"/>
      <c r="G506" s="112"/>
      <c r="H506" s="112"/>
      <c r="I506" s="112"/>
      <c r="J506" s="112"/>
    </row>
    <row r="507" spans="4:10" x14ac:dyDescent="0.2">
      <c r="F507" s="111"/>
      <c r="G507" s="112"/>
      <c r="H507" s="112"/>
      <c r="I507" s="112"/>
      <c r="J507" s="112"/>
    </row>
    <row r="508" spans="4:10" x14ac:dyDescent="0.2">
      <c r="F508" s="111"/>
      <c r="G508" s="112"/>
      <c r="H508" s="112"/>
      <c r="I508" s="112"/>
      <c r="J508" s="112"/>
    </row>
    <row r="509" spans="4:10" x14ac:dyDescent="0.2">
      <c r="F509" s="111"/>
      <c r="G509" s="112"/>
      <c r="H509" s="112"/>
      <c r="I509" s="112"/>
      <c r="J509" s="112"/>
    </row>
    <row r="510" spans="4:10" x14ac:dyDescent="0.2">
      <c r="F510" s="111"/>
      <c r="G510" s="112"/>
      <c r="H510" s="112"/>
      <c r="I510" s="112"/>
      <c r="J510" s="112"/>
    </row>
    <row r="511" spans="4:10" x14ac:dyDescent="0.2">
      <c r="F511" s="111"/>
      <c r="G511" s="112"/>
      <c r="H511" s="112"/>
      <c r="I511" s="112"/>
      <c r="J511" s="112"/>
    </row>
    <row r="512" spans="4:10" x14ac:dyDescent="0.2">
      <c r="F512" s="111"/>
      <c r="G512" s="112"/>
      <c r="H512" s="112"/>
      <c r="I512" s="112"/>
      <c r="J512" s="112"/>
    </row>
    <row r="513" spans="6:10" x14ac:dyDescent="0.2">
      <c r="F513" s="111"/>
      <c r="G513" s="112"/>
      <c r="H513" s="112"/>
      <c r="I513" s="112"/>
      <c r="J513" s="112"/>
    </row>
    <row r="514" spans="6:10" x14ac:dyDescent="0.2">
      <c r="F514" s="111"/>
      <c r="G514" s="112"/>
      <c r="H514" s="112"/>
      <c r="I514" s="112"/>
      <c r="J514" s="112"/>
    </row>
    <row r="515" spans="6:10" x14ac:dyDescent="0.2">
      <c r="F515" s="111"/>
      <c r="G515" s="112"/>
      <c r="H515" s="112"/>
      <c r="I515" s="112"/>
      <c r="J515" s="112"/>
    </row>
    <row r="516" spans="6:10" x14ac:dyDescent="0.2">
      <c r="F516" s="111"/>
      <c r="G516" s="112"/>
      <c r="H516" s="112"/>
      <c r="I516" s="112"/>
      <c r="J516" s="112"/>
    </row>
    <row r="517" spans="6:10" x14ac:dyDescent="0.2">
      <c r="F517" s="111"/>
      <c r="G517" s="112"/>
      <c r="H517" s="112"/>
      <c r="I517" s="112"/>
      <c r="J517" s="112"/>
    </row>
    <row r="518" spans="6:10" x14ac:dyDescent="0.2">
      <c r="F518" s="111"/>
      <c r="G518" s="112"/>
      <c r="H518" s="112"/>
      <c r="I518" s="112"/>
      <c r="J518" s="112"/>
    </row>
    <row r="519" spans="6:10" x14ac:dyDescent="0.2">
      <c r="F519" s="111"/>
      <c r="G519" s="112"/>
      <c r="H519" s="112"/>
      <c r="I519" s="112"/>
      <c r="J519" s="112"/>
    </row>
    <row r="520" spans="6:10" x14ac:dyDescent="0.2">
      <c r="F520" s="111"/>
      <c r="G520" s="112"/>
      <c r="H520" s="112"/>
      <c r="I520" s="112"/>
      <c r="J520" s="112"/>
    </row>
    <row r="521" spans="6:10" x14ac:dyDescent="0.2">
      <c r="F521" s="111"/>
      <c r="G521" s="112"/>
      <c r="H521" s="112"/>
      <c r="I521" s="112"/>
      <c r="J521" s="112"/>
    </row>
    <row r="522" spans="6:10" x14ac:dyDescent="0.2">
      <c r="F522" s="111"/>
      <c r="G522" s="112"/>
      <c r="H522" s="112"/>
      <c r="I522" s="112"/>
      <c r="J522" s="112"/>
    </row>
    <row r="523" spans="6:10" x14ac:dyDescent="0.2">
      <c r="F523" s="111"/>
      <c r="G523" s="112"/>
      <c r="H523" s="112"/>
      <c r="I523" s="112"/>
      <c r="J523" s="112"/>
    </row>
    <row r="524" spans="6:10" x14ac:dyDescent="0.2">
      <c r="F524" s="111"/>
      <c r="G524" s="112"/>
      <c r="H524" s="112"/>
      <c r="I524" s="112"/>
      <c r="J524" s="112"/>
    </row>
    <row r="525" spans="6:10" x14ac:dyDescent="0.2">
      <c r="F525" s="111"/>
      <c r="G525" s="112"/>
      <c r="H525" s="112"/>
      <c r="I525" s="112"/>
      <c r="J525" s="112"/>
    </row>
    <row r="526" spans="6:10" x14ac:dyDescent="0.2">
      <c r="F526" s="111"/>
      <c r="G526" s="112"/>
      <c r="H526" s="112"/>
      <c r="I526" s="112"/>
      <c r="J526" s="112"/>
    </row>
    <row r="527" spans="6:10" x14ac:dyDescent="0.2">
      <c r="F527" s="111"/>
      <c r="G527" s="112"/>
      <c r="H527" s="112"/>
      <c r="I527" s="112"/>
      <c r="J527" s="112"/>
    </row>
    <row r="528" spans="6:10" x14ac:dyDescent="0.2">
      <c r="F528" s="111"/>
      <c r="G528" s="112"/>
      <c r="H528" s="112"/>
      <c r="I528" s="112"/>
      <c r="J528" s="112"/>
    </row>
    <row r="529" spans="6:10" x14ac:dyDescent="0.2">
      <c r="F529" s="111"/>
      <c r="G529" s="112"/>
      <c r="H529" s="112"/>
      <c r="I529" s="112"/>
      <c r="J529" s="112"/>
    </row>
    <row r="530" spans="6:10" x14ac:dyDescent="0.2">
      <c r="F530" s="111"/>
      <c r="G530" s="112"/>
      <c r="H530" s="112"/>
      <c r="I530" s="112"/>
      <c r="J530" s="112"/>
    </row>
    <row r="531" spans="6:10" x14ac:dyDescent="0.2">
      <c r="F531" s="111"/>
      <c r="G531" s="112"/>
      <c r="H531" s="112"/>
      <c r="I531" s="112"/>
      <c r="J531" s="112"/>
    </row>
    <row r="532" spans="6:10" x14ac:dyDescent="0.2">
      <c r="F532" s="111"/>
      <c r="G532" s="112"/>
      <c r="H532" s="112"/>
      <c r="I532" s="112"/>
      <c r="J532" s="112"/>
    </row>
    <row r="533" spans="6:10" x14ac:dyDescent="0.2">
      <c r="F533" s="111"/>
      <c r="G533" s="112"/>
      <c r="H533" s="112"/>
      <c r="I533" s="112"/>
      <c r="J533" s="112"/>
    </row>
    <row r="534" spans="6:10" x14ac:dyDescent="0.2">
      <c r="F534" s="111"/>
      <c r="G534" s="112"/>
      <c r="H534" s="112"/>
      <c r="I534" s="112"/>
      <c r="J534" s="112"/>
    </row>
    <row r="535" spans="6:10" x14ac:dyDescent="0.2">
      <c r="F535" s="111"/>
      <c r="G535" s="112"/>
      <c r="H535" s="112"/>
      <c r="I535" s="112"/>
      <c r="J535" s="112"/>
    </row>
    <row r="536" spans="6:10" x14ac:dyDescent="0.2">
      <c r="F536" s="111"/>
      <c r="G536" s="112"/>
      <c r="H536" s="112"/>
      <c r="I536" s="112"/>
      <c r="J536" s="112"/>
    </row>
    <row r="537" spans="6:10" x14ac:dyDescent="0.2">
      <c r="F537" s="111"/>
      <c r="G537" s="112"/>
      <c r="H537" s="112"/>
      <c r="I537" s="112"/>
      <c r="J537" s="112"/>
    </row>
    <row r="538" spans="6:10" x14ac:dyDescent="0.2">
      <c r="F538" s="111"/>
      <c r="G538" s="112"/>
      <c r="H538" s="112"/>
      <c r="I538" s="112"/>
      <c r="J538" s="112"/>
    </row>
    <row r="539" spans="6:10" x14ac:dyDescent="0.2">
      <c r="F539" s="111"/>
      <c r="G539" s="112"/>
      <c r="H539" s="112"/>
      <c r="I539" s="112"/>
      <c r="J539" s="112"/>
    </row>
    <row r="540" spans="6:10" x14ac:dyDescent="0.2">
      <c r="F540" s="111"/>
      <c r="G540" s="112"/>
      <c r="H540" s="112"/>
      <c r="I540" s="112"/>
      <c r="J540" s="112"/>
    </row>
    <row r="541" spans="6:10" x14ac:dyDescent="0.2">
      <c r="F541" s="111"/>
      <c r="G541" s="112"/>
      <c r="H541" s="112"/>
      <c r="I541" s="112"/>
      <c r="J541" s="112"/>
    </row>
    <row r="542" spans="6:10" x14ac:dyDescent="0.2">
      <c r="F542" s="111"/>
      <c r="G542" s="112"/>
      <c r="H542" s="112"/>
      <c r="I542" s="112"/>
      <c r="J542" s="112"/>
    </row>
    <row r="543" spans="6:10" x14ac:dyDescent="0.2">
      <c r="F543" s="111"/>
      <c r="G543" s="112"/>
      <c r="H543" s="112"/>
      <c r="I543" s="112"/>
      <c r="J543" s="112"/>
    </row>
    <row r="544" spans="6:10" x14ac:dyDescent="0.2">
      <c r="F544" s="111"/>
      <c r="G544" s="112"/>
      <c r="H544" s="112"/>
      <c r="I544" s="112"/>
      <c r="J544" s="112"/>
    </row>
    <row r="545" spans="6:10" x14ac:dyDescent="0.2">
      <c r="F545" s="111"/>
      <c r="G545" s="112"/>
      <c r="H545" s="112"/>
      <c r="I545" s="112"/>
      <c r="J545" s="112"/>
    </row>
    <row r="546" spans="6:10" x14ac:dyDescent="0.2">
      <c r="F546" s="111"/>
      <c r="G546" s="112"/>
      <c r="H546" s="112"/>
      <c r="I546" s="112"/>
      <c r="J546" s="112"/>
    </row>
    <row r="547" spans="6:10" x14ac:dyDescent="0.2">
      <c r="F547" s="111"/>
      <c r="G547" s="112"/>
      <c r="H547" s="112"/>
      <c r="I547" s="112"/>
      <c r="J547" s="112"/>
    </row>
    <row r="548" spans="6:10" x14ac:dyDescent="0.2">
      <c r="F548" s="111"/>
      <c r="G548" s="112"/>
      <c r="H548" s="112"/>
      <c r="I548" s="112"/>
      <c r="J548" s="112"/>
    </row>
    <row r="549" spans="6:10" x14ac:dyDescent="0.2">
      <c r="F549" s="111"/>
      <c r="G549" s="112"/>
      <c r="H549" s="112"/>
      <c r="I549" s="112"/>
      <c r="J549" s="112"/>
    </row>
    <row r="550" spans="6:10" x14ac:dyDescent="0.2">
      <c r="F550" s="111"/>
      <c r="G550" s="112"/>
      <c r="H550" s="112"/>
      <c r="I550" s="112"/>
      <c r="J550" s="112"/>
    </row>
    <row r="551" spans="6:10" x14ac:dyDescent="0.2">
      <c r="F551" s="111"/>
      <c r="G551" s="112"/>
      <c r="H551" s="112"/>
      <c r="I551" s="112"/>
      <c r="J551" s="112"/>
    </row>
    <row r="552" spans="6:10" x14ac:dyDescent="0.2">
      <c r="F552" s="111"/>
      <c r="G552" s="112"/>
      <c r="H552" s="112"/>
      <c r="I552" s="112"/>
      <c r="J552" s="112"/>
    </row>
    <row r="553" spans="6:10" x14ac:dyDescent="0.2">
      <c r="F553" s="111"/>
      <c r="G553" s="112"/>
      <c r="H553" s="112"/>
      <c r="I553" s="112"/>
      <c r="J553" s="112"/>
    </row>
    <row r="554" spans="6:10" x14ac:dyDescent="0.2">
      <c r="F554" s="111"/>
      <c r="G554" s="112"/>
      <c r="H554" s="112"/>
      <c r="I554" s="112"/>
      <c r="J554" s="112"/>
    </row>
    <row r="555" spans="6:10" x14ac:dyDescent="0.2">
      <c r="F555" s="111"/>
      <c r="G555" s="112"/>
      <c r="H555" s="112"/>
      <c r="I555" s="112"/>
      <c r="J555" s="112"/>
    </row>
    <row r="556" spans="6:10" x14ac:dyDescent="0.2">
      <c r="F556" s="111"/>
      <c r="G556" s="112"/>
      <c r="H556" s="112"/>
      <c r="I556" s="112"/>
      <c r="J556" s="112"/>
    </row>
    <row r="557" spans="6:10" x14ac:dyDescent="0.2">
      <c r="F557" s="111"/>
      <c r="G557" s="112"/>
      <c r="H557" s="112"/>
      <c r="I557" s="112"/>
      <c r="J557" s="112"/>
    </row>
    <row r="558" spans="6:10" x14ac:dyDescent="0.2">
      <c r="F558" s="111"/>
      <c r="G558" s="112"/>
      <c r="H558" s="112"/>
      <c r="I558" s="112"/>
      <c r="J558" s="112"/>
    </row>
    <row r="559" spans="6:10" x14ac:dyDescent="0.2">
      <c r="F559" s="111"/>
      <c r="G559" s="112"/>
      <c r="H559" s="112"/>
      <c r="I559" s="112"/>
      <c r="J559" s="112"/>
    </row>
    <row r="560" spans="6:10" x14ac:dyDescent="0.2">
      <c r="F560" s="111"/>
      <c r="G560" s="112"/>
      <c r="H560" s="112"/>
      <c r="I560" s="112"/>
      <c r="J560" s="112"/>
    </row>
    <row r="561" spans="6:10" x14ac:dyDescent="0.2">
      <c r="F561" s="111"/>
      <c r="G561" s="112"/>
      <c r="H561" s="112"/>
      <c r="I561" s="112"/>
      <c r="J561" s="112"/>
    </row>
    <row r="562" spans="6:10" x14ac:dyDescent="0.2">
      <c r="F562" s="111"/>
      <c r="G562" s="112"/>
      <c r="H562" s="112"/>
      <c r="I562" s="112"/>
      <c r="J562" s="112"/>
    </row>
    <row r="563" spans="6:10" x14ac:dyDescent="0.2">
      <c r="F563" s="111"/>
      <c r="G563" s="112"/>
      <c r="H563" s="112"/>
      <c r="I563" s="112"/>
      <c r="J563" s="112"/>
    </row>
    <row r="564" spans="6:10" x14ac:dyDescent="0.2">
      <c r="F564" s="111"/>
      <c r="G564" s="112"/>
      <c r="H564" s="112"/>
      <c r="I564" s="112"/>
      <c r="J564" s="112"/>
    </row>
    <row r="565" spans="6:10" x14ac:dyDescent="0.2">
      <c r="F565" s="111"/>
      <c r="G565" s="112"/>
      <c r="H565" s="112"/>
      <c r="I565" s="112"/>
      <c r="J565" s="112"/>
    </row>
    <row r="566" spans="6:10" x14ac:dyDescent="0.2">
      <c r="F566" s="111"/>
      <c r="G566" s="112"/>
      <c r="H566" s="112"/>
      <c r="I566" s="112"/>
      <c r="J566" s="112"/>
    </row>
    <row r="567" spans="6:10" x14ac:dyDescent="0.2">
      <c r="F567" s="111"/>
      <c r="G567" s="112"/>
      <c r="H567" s="112"/>
      <c r="I567" s="112"/>
      <c r="J567" s="112"/>
    </row>
    <row r="568" spans="6:10" x14ac:dyDescent="0.2">
      <c r="F568" s="111"/>
      <c r="G568" s="112"/>
      <c r="H568" s="112"/>
      <c r="I568" s="112"/>
      <c r="J568" s="112"/>
    </row>
    <row r="569" spans="6:10" x14ac:dyDescent="0.2">
      <c r="F569" s="111"/>
      <c r="G569" s="112"/>
      <c r="H569" s="112"/>
      <c r="I569" s="112"/>
      <c r="J569" s="112"/>
    </row>
    <row r="570" spans="6:10" x14ac:dyDescent="0.2">
      <c r="F570" s="111"/>
      <c r="G570" s="112"/>
      <c r="H570" s="112"/>
      <c r="I570" s="112"/>
      <c r="J570" s="112"/>
    </row>
    <row r="571" spans="6:10" x14ac:dyDescent="0.2">
      <c r="F571" s="111"/>
      <c r="G571" s="112"/>
      <c r="H571" s="112"/>
      <c r="I571" s="112"/>
      <c r="J571" s="112"/>
    </row>
    <row r="572" spans="6:10" x14ac:dyDescent="0.2">
      <c r="F572" s="111"/>
      <c r="G572" s="112"/>
      <c r="H572" s="112"/>
      <c r="I572" s="112"/>
      <c r="J572" s="112"/>
    </row>
    <row r="573" spans="6:10" x14ac:dyDescent="0.2">
      <c r="F573" s="111"/>
      <c r="G573" s="112"/>
      <c r="H573" s="112"/>
      <c r="I573" s="112"/>
      <c r="J573" s="112"/>
    </row>
    <row r="574" spans="6:10" x14ac:dyDescent="0.2">
      <c r="F574" s="111"/>
      <c r="G574" s="112"/>
      <c r="H574" s="112"/>
      <c r="I574" s="112"/>
      <c r="J574" s="112"/>
    </row>
    <row r="575" spans="6:10" x14ac:dyDescent="0.2">
      <c r="F575" s="111"/>
      <c r="G575" s="112"/>
      <c r="H575" s="112"/>
      <c r="I575" s="112"/>
      <c r="J575" s="112"/>
    </row>
    <row r="576" spans="6:10" x14ac:dyDescent="0.2">
      <c r="F576" s="111"/>
      <c r="G576" s="112"/>
      <c r="H576" s="112"/>
      <c r="I576" s="112"/>
      <c r="J576" s="112"/>
    </row>
    <row r="577" spans="6:10" x14ac:dyDescent="0.2">
      <c r="F577" s="111"/>
      <c r="G577" s="112"/>
      <c r="H577" s="112"/>
      <c r="I577" s="112"/>
      <c r="J577" s="112"/>
    </row>
    <row r="578" spans="6:10" x14ac:dyDescent="0.2">
      <c r="F578" s="111"/>
      <c r="G578" s="112"/>
      <c r="H578" s="112"/>
      <c r="I578" s="112"/>
      <c r="J578" s="112"/>
    </row>
    <row r="579" spans="6:10" x14ac:dyDescent="0.2">
      <c r="F579" s="111"/>
      <c r="G579" s="112"/>
      <c r="H579" s="112"/>
      <c r="I579" s="112"/>
      <c r="J579" s="112"/>
    </row>
    <row r="580" spans="6:10" x14ac:dyDescent="0.2">
      <c r="F580" s="111"/>
      <c r="G580" s="112"/>
      <c r="H580" s="112"/>
      <c r="I580" s="112"/>
      <c r="J580" s="112"/>
    </row>
    <row r="581" spans="6:10" x14ac:dyDescent="0.2">
      <c r="F581" s="111"/>
      <c r="G581" s="112"/>
      <c r="H581" s="112"/>
      <c r="I581" s="112"/>
      <c r="J581" s="112"/>
    </row>
    <row r="582" spans="6:10" x14ac:dyDescent="0.2">
      <c r="F582" s="111"/>
      <c r="G582" s="112"/>
      <c r="H582" s="112"/>
      <c r="I582" s="112"/>
      <c r="J582" s="112"/>
    </row>
    <row r="583" spans="6:10" x14ac:dyDescent="0.2">
      <c r="F583" s="111"/>
      <c r="G583" s="112"/>
      <c r="H583" s="112"/>
      <c r="I583" s="112"/>
      <c r="J583" s="112"/>
    </row>
    <row r="584" spans="6:10" x14ac:dyDescent="0.2">
      <c r="F584" s="111"/>
      <c r="G584" s="112"/>
      <c r="H584" s="112"/>
      <c r="I584" s="112"/>
      <c r="J584" s="112"/>
    </row>
    <row r="585" spans="6:10" x14ac:dyDescent="0.2">
      <c r="F585" s="111"/>
      <c r="G585" s="112"/>
      <c r="H585" s="112"/>
      <c r="I585" s="112"/>
      <c r="J585" s="112"/>
    </row>
    <row r="586" spans="6:10" x14ac:dyDescent="0.2">
      <c r="F586" s="111"/>
      <c r="G586" s="112"/>
      <c r="H586" s="112"/>
      <c r="I586" s="112"/>
      <c r="J586" s="112"/>
    </row>
    <row r="587" spans="6:10" x14ac:dyDescent="0.2">
      <c r="F587" s="111"/>
      <c r="G587" s="112"/>
      <c r="H587" s="112"/>
      <c r="I587" s="112"/>
      <c r="J587" s="112"/>
    </row>
    <row r="588" spans="6:10" x14ac:dyDescent="0.2">
      <c r="F588" s="111"/>
      <c r="G588" s="112"/>
      <c r="H588" s="112"/>
      <c r="I588" s="112"/>
      <c r="J588" s="112"/>
    </row>
    <row r="589" spans="6:10" x14ac:dyDescent="0.2">
      <c r="F589" s="111"/>
      <c r="G589" s="112"/>
      <c r="H589" s="112"/>
      <c r="I589" s="112"/>
      <c r="J589" s="112"/>
    </row>
    <row r="590" spans="6:10" x14ac:dyDescent="0.2">
      <c r="F590" s="111"/>
      <c r="G590" s="112"/>
      <c r="H590" s="112"/>
      <c r="I590" s="112"/>
      <c r="J590" s="112"/>
    </row>
    <row r="591" spans="6:10" x14ac:dyDescent="0.2">
      <c r="F591" s="111"/>
      <c r="G591" s="112"/>
      <c r="H591" s="112"/>
      <c r="I591" s="112"/>
      <c r="J591" s="112"/>
    </row>
    <row r="592" spans="6:10" x14ac:dyDescent="0.2">
      <c r="F592" s="111"/>
      <c r="G592" s="112"/>
      <c r="H592" s="112"/>
      <c r="I592" s="112"/>
      <c r="J592" s="112"/>
    </row>
    <row r="593" spans="6:10" x14ac:dyDescent="0.2">
      <c r="F593" s="111"/>
      <c r="G593" s="112"/>
      <c r="H593" s="112"/>
      <c r="I593" s="112"/>
      <c r="J593" s="112"/>
    </row>
    <row r="594" spans="6:10" x14ac:dyDescent="0.2">
      <c r="F594" s="111"/>
      <c r="G594" s="112"/>
      <c r="H594" s="112"/>
      <c r="I594" s="112"/>
      <c r="J594" s="112"/>
    </row>
    <row r="595" spans="6:10" x14ac:dyDescent="0.2">
      <c r="F595" s="111"/>
      <c r="G595" s="112"/>
      <c r="H595" s="112"/>
      <c r="I595" s="112"/>
      <c r="J595" s="112"/>
    </row>
    <row r="596" spans="6:10" x14ac:dyDescent="0.2">
      <c r="F596" s="111"/>
      <c r="G596" s="112"/>
      <c r="H596" s="112"/>
      <c r="I596" s="112"/>
      <c r="J596" s="112"/>
    </row>
    <row r="597" spans="6:10" x14ac:dyDescent="0.2">
      <c r="F597" s="111"/>
      <c r="G597" s="112"/>
      <c r="H597" s="112"/>
      <c r="I597" s="112"/>
      <c r="J597" s="112"/>
    </row>
    <row r="598" spans="6:10" x14ac:dyDescent="0.2">
      <c r="F598" s="111"/>
      <c r="G598" s="112"/>
      <c r="H598" s="112"/>
      <c r="I598" s="112"/>
      <c r="J598" s="112"/>
    </row>
    <row r="599" spans="6:10" x14ac:dyDescent="0.2">
      <c r="F599" s="111"/>
      <c r="G599" s="112"/>
      <c r="H599" s="112"/>
      <c r="I599" s="112"/>
      <c r="J599" s="112"/>
    </row>
    <row r="600" spans="6:10" x14ac:dyDescent="0.2">
      <c r="F600" s="111"/>
      <c r="G600" s="112"/>
      <c r="H600" s="112"/>
      <c r="I600" s="112"/>
      <c r="J600" s="112"/>
    </row>
    <row r="601" spans="6:10" x14ac:dyDescent="0.2">
      <c r="F601" s="111"/>
      <c r="G601" s="112"/>
      <c r="H601" s="112"/>
      <c r="I601" s="112"/>
      <c r="J601" s="112"/>
    </row>
    <row r="602" spans="6:10" x14ac:dyDescent="0.2">
      <c r="F602" s="111"/>
      <c r="G602" s="112"/>
      <c r="H602" s="112"/>
      <c r="I602" s="112"/>
      <c r="J602" s="112"/>
    </row>
    <row r="603" spans="6:10" x14ac:dyDescent="0.2">
      <c r="F603" s="111"/>
      <c r="G603" s="112"/>
      <c r="H603" s="112"/>
      <c r="I603" s="112"/>
      <c r="J603" s="112"/>
    </row>
    <row r="604" spans="6:10" x14ac:dyDescent="0.2">
      <c r="F604" s="111"/>
      <c r="G604" s="112"/>
      <c r="H604" s="112"/>
      <c r="I604" s="112"/>
      <c r="J604" s="112"/>
    </row>
    <row r="605" spans="6:10" x14ac:dyDescent="0.2">
      <c r="F605" s="111"/>
      <c r="G605" s="112"/>
      <c r="H605" s="112"/>
      <c r="I605" s="112"/>
      <c r="J605" s="112"/>
    </row>
    <row r="606" spans="6:10" x14ac:dyDescent="0.2">
      <c r="F606" s="111"/>
      <c r="G606" s="112"/>
      <c r="H606" s="112"/>
      <c r="I606" s="112"/>
      <c r="J606" s="112"/>
    </row>
    <row r="607" spans="6:10" x14ac:dyDescent="0.2">
      <c r="F607" s="111"/>
      <c r="G607" s="112"/>
      <c r="H607" s="112"/>
      <c r="I607" s="112"/>
      <c r="J607" s="112"/>
    </row>
    <row r="608" spans="6:10" x14ac:dyDescent="0.2">
      <c r="F608" s="111"/>
      <c r="G608" s="112"/>
      <c r="H608" s="112"/>
      <c r="I608" s="112"/>
      <c r="J608" s="112"/>
    </row>
    <row r="609" spans="6:10" x14ac:dyDescent="0.2">
      <c r="F609" s="111"/>
      <c r="G609" s="112"/>
      <c r="H609" s="112"/>
      <c r="I609" s="112"/>
      <c r="J609" s="112"/>
    </row>
    <row r="610" spans="6:10" x14ac:dyDescent="0.2">
      <c r="F610" s="111"/>
      <c r="G610" s="112"/>
      <c r="H610" s="112"/>
      <c r="I610" s="112"/>
      <c r="J610" s="112"/>
    </row>
    <row r="611" spans="6:10" x14ac:dyDescent="0.2">
      <c r="F611" s="111"/>
      <c r="G611" s="112"/>
      <c r="H611" s="112"/>
      <c r="I611" s="112"/>
      <c r="J611" s="112"/>
    </row>
    <row r="612" spans="6:10" x14ac:dyDescent="0.2">
      <c r="F612" s="111"/>
      <c r="G612" s="112"/>
      <c r="H612" s="112"/>
      <c r="I612" s="112"/>
      <c r="J612" s="112"/>
    </row>
    <row r="613" spans="6:10" x14ac:dyDescent="0.2">
      <c r="F613" s="111"/>
      <c r="G613" s="112"/>
      <c r="H613" s="112"/>
      <c r="I613" s="112"/>
      <c r="J613" s="112"/>
    </row>
    <row r="614" spans="6:10" x14ac:dyDescent="0.2">
      <c r="F614" s="111"/>
      <c r="G614" s="112"/>
      <c r="H614" s="112"/>
      <c r="I614" s="112"/>
      <c r="J614" s="112"/>
    </row>
    <row r="615" spans="6:10" x14ac:dyDescent="0.2">
      <c r="F615" s="111"/>
      <c r="G615" s="112"/>
      <c r="H615" s="112"/>
      <c r="I615" s="112"/>
      <c r="J615" s="112"/>
    </row>
    <row r="616" spans="6:10" x14ac:dyDescent="0.2">
      <c r="F616" s="111"/>
      <c r="G616" s="112"/>
      <c r="H616" s="112"/>
      <c r="I616" s="112"/>
      <c r="J616" s="112"/>
    </row>
    <row r="617" spans="6:10" x14ac:dyDescent="0.2">
      <c r="F617" s="111"/>
      <c r="G617" s="112"/>
      <c r="H617" s="112"/>
      <c r="I617" s="112"/>
      <c r="J617" s="112"/>
    </row>
    <row r="618" spans="6:10" x14ac:dyDescent="0.2">
      <c r="F618" s="111"/>
      <c r="G618" s="112"/>
      <c r="H618" s="112"/>
      <c r="I618" s="112"/>
      <c r="J618" s="112"/>
    </row>
    <row r="619" spans="6:10" x14ac:dyDescent="0.2">
      <c r="F619" s="111"/>
      <c r="G619" s="112"/>
      <c r="H619" s="112"/>
      <c r="I619" s="112"/>
      <c r="J619" s="112"/>
    </row>
    <row r="620" spans="6:10" x14ac:dyDescent="0.2">
      <c r="F620" s="111"/>
      <c r="G620" s="112"/>
      <c r="H620" s="112"/>
      <c r="I620" s="112"/>
      <c r="J620" s="112"/>
    </row>
    <row r="621" spans="6:10" x14ac:dyDescent="0.2">
      <c r="F621" s="111"/>
      <c r="G621" s="112"/>
      <c r="H621" s="112"/>
      <c r="I621" s="112"/>
      <c r="J621" s="112"/>
    </row>
    <row r="622" spans="6:10" x14ac:dyDescent="0.2">
      <c r="F622" s="111"/>
      <c r="G622" s="112"/>
      <c r="H622" s="112"/>
      <c r="I622" s="112"/>
      <c r="J622" s="112"/>
    </row>
    <row r="623" spans="6:10" x14ac:dyDescent="0.2">
      <c r="F623" s="111"/>
      <c r="G623" s="112"/>
      <c r="H623" s="112"/>
      <c r="I623" s="112"/>
      <c r="J623" s="112"/>
    </row>
    <row r="624" spans="6:10" x14ac:dyDescent="0.2">
      <c r="F624" s="111"/>
      <c r="G624" s="112"/>
      <c r="H624" s="112"/>
      <c r="I624" s="112"/>
      <c r="J624" s="112"/>
    </row>
    <row r="625" spans="6:10" x14ac:dyDescent="0.2">
      <c r="F625" s="111"/>
      <c r="G625" s="112"/>
      <c r="H625" s="112"/>
      <c r="I625" s="112"/>
      <c r="J625" s="112"/>
    </row>
    <row r="626" spans="6:10" x14ac:dyDescent="0.2">
      <c r="F626" s="111"/>
      <c r="G626" s="112"/>
      <c r="H626" s="112"/>
      <c r="I626" s="112"/>
      <c r="J626" s="112"/>
    </row>
    <row r="627" spans="6:10" x14ac:dyDescent="0.2">
      <c r="F627" s="111"/>
      <c r="G627" s="112"/>
      <c r="H627" s="112"/>
      <c r="I627" s="112"/>
      <c r="J627" s="112"/>
    </row>
    <row r="628" spans="6:10" x14ac:dyDescent="0.2">
      <c r="F628" s="111"/>
      <c r="G628" s="112"/>
      <c r="H628" s="112"/>
      <c r="I628" s="112"/>
      <c r="J628" s="112"/>
    </row>
    <row r="629" spans="6:10" x14ac:dyDescent="0.2">
      <c r="F629" s="111"/>
      <c r="G629" s="112"/>
      <c r="H629" s="112"/>
      <c r="I629" s="112"/>
      <c r="J629" s="112"/>
    </row>
    <row r="630" spans="6:10" x14ac:dyDescent="0.2">
      <c r="F630" s="111"/>
      <c r="G630" s="112"/>
      <c r="H630" s="112"/>
      <c r="I630" s="112"/>
      <c r="J630" s="112"/>
    </row>
    <row r="631" spans="6:10" x14ac:dyDescent="0.2">
      <c r="F631" s="111"/>
      <c r="G631" s="112"/>
      <c r="H631" s="112"/>
      <c r="I631" s="112"/>
      <c r="J631" s="112"/>
    </row>
    <row r="632" spans="6:10" x14ac:dyDescent="0.2">
      <c r="F632" s="111"/>
      <c r="G632" s="112"/>
      <c r="H632" s="112"/>
      <c r="I632" s="112"/>
      <c r="J632" s="112"/>
    </row>
    <row r="633" spans="6:10" x14ac:dyDescent="0.2">
      <c r="F633" s="111"/>
      <c r="G633" s="112"/>
      <c r="H633" s="112"/>
      <c r="I633" s="112"/>
      <c r="J633" s="112"/>
    </row>
    <row r="634" spans="6:10" x14ac:dyDescent="0.2">
      <c r="F634" s="111"/>
      <c r="G634" s="112"/>
      <c r="H634" s="112"/>
      <c r="I634" s="112"/>
      <c r="J634" s="112"/>
    </row>
    <row r="635" spans="6:10" x14ac:dyDescent="0.2">
      <c r="F635" s="111"/>
      <c r="G635" s="112"/>
      <c r="H635" s="112"/>
      <c r="I635" s="112"/>
      <c r="J635" s="112"/>
    </row>
    <row r="636" spans="6:10" x14ac:dyDescent="0.2">
      <c r="F636" s="111"/>
      <c r="G636" s="112"/>
      <c r="H636" s="112"/>
      <c r="I636" s="112"/>
      <c r="J636" s="112"/>
    </row>
    <row r="637" spans="6:10" x14ac:dyDescent="0.2">
      <c r="F637" s="111"/>
      <c r="G637" s="112"/>
      <c r="H637" s="112"/>
      <c r="I637" s="112"/>
      <c r="J637" s="112"/>
    </row>
    <row r="638" spans="6:10" x14ac:dyDescent="0.2">
      <c r="F638" s="111"/>
      <c r="G638" s="112"/>
      <c r="H638" s="112"/>
      <c r="I638" s="112"/>
      <c r="J638" s="112"/>
    </row>
    <row r="639" spans="6:10" x14ac:dyDescent="0.2">
      <c r="F639" s="111"/>
      <c r="G639" s="112"/>
      <c r="H639" s="112"/>
      <c r="I639" s="112"/>
      <c r="J639" s="112"/>
    </row>
    <row r="640" spans="6:10" x14ac:dyDescent="0.2">
      <c r="F640" s="111"/>
      <c r="G640" s="112"/>
      <c r="H640" s="112"/>
      <c r="I640" s="112"/>
      <c r="J640" s="112"/>
    </row>
    <row r="641" spans="6:10" x14ac:dyDescent="0.2">
      <c r="F641" s="111"/>
      <c r="G641" s="112"/>
      <c r="H641" s="112"/>
      <c r="I641" s="112"/>
      <c r="J641" s="112"/>
    </row>
    <row r="642" spans="6:10" x14ac:dyDescent="0.2">
      <c r="F642" s="111"/>
      <c r="G642" s="112"/>
      <c r="H642" s="112"/>
      <c r="I642" s="112"/>
      <c r="J642" s="112"/>
    </row>
    <row r="643" spans="6:10" x14ac:dyDescent="0.2">
      <c r="F643" s="111"/>
      <c r="G643" s="112"/>
      <c r="H643" s="112"/>
      <c r="I643" s="112"/>
      <c r="J643" s="112"/>
    </row>
    <row r="644" spans="6:10" x14ac:dyDescent="0.2">
      <c r="F644" s="111"/>
      <c r="G644" s="112"/>
      <c r="H644" s="112"/>
      <c r="I644" s="112"/>
      <c r="J644" s="112"/>
    </row>
    <row r="645" spans="6:10" x14ac:dyDescent="0.2">
      <c r="F645" s="111"/>
      <c r="G645" s="112"/>
      <c r="H645" s="112"/>
      <c r="I645" s="112"/>
      <c r="J645" s="112"/>
    </row>
    <row r="646" spans="6:10" x14ac:dyDescent="0.2">
      <c r="F646" s="111"/>
      <c r="G646" s="112"/>
      <c r="H646" s="112"/>
      <c r="I646" s="112"/>
      <c r="J646" s="112"/>
    </row>
    <row r="647" spans="6:10" x14ac:dyDescent="0.2">
      <c r="F647" s="111"/>
      <c r="G647" s="112"/>
      <c r="H647" s="112"/>
      <c r="I647" s="112"/>
      <c r="J647" s="112"/>
    </row>
    <row r="648" spans="6:10" x14ac:dyDescent="0.2">
      <c r="F648" s="111"/>
      <c r="G648" s="112"/>
      <c r="H648" s="112"/>
      <c r="I648" s="112"/>
      <c r="J648" s="112"/>
    </row>
    <row r="649" spans="6:10" x14ac:dyDescent="0.2">
      <c r="F649" s="111"/>
      <c r="G649" s="112"/>
      <c r="H649" s="112"/>
      <c r="I649" s="112"/>
      <c r="J649" s="112"/>
    </row>
    <row r="650" spans="6:10" x14ac:dyDescent="0.2">
      <c r="F650" s="111"/>
      <c r="G650" s="112"/>
      <c r="H650" s="112"/>
      <c r="I650" s="112"/>
      <c r="J650" s="112"/>
    </row>
    <row r="651" spans="6:10" x14ac:dyDescent="0.2">
      <c r="F651" s="111"/>
      <c r="G651" s="112"/>
      <c r="H651" s="112"/>
      <c r="I651" s="112"/>
      <c r="J651" s="112"/>
    </row>
    <row r="652" spans="6:10" x14ac:dyDescent="0.2">
      <c r="F652" s="111"/>
      <c r="G652" s="112"/>
      <c r="H652" s="112"/>
      <c r="I652" s="112"/>
      <c r="J652" s="112"/>
    </row>
    <row r="653" spans="6:10" x14ac:dyDescent="0.2">
      <c r="F653" s="111"/>
      <c r="G653" s="112"/>
      <c r="H653" s="112"/>
      <c r="I653" s="112"/>
      <c r="J653" s="112"/>
    </row>
    <row r="654" spans="6:10" x14ac:dyDescent="0.2">
      <c r="F654" s="111"/>
      <c r="G654" s="112"/>
      <c r="H654" s="112"/>
      <c r="I654" s="112"/>
      <c r="J654" s="112"/>
    </row>
    <row r="655" spans="6:10" x14ac:dyDescent="0.2">
      <c r="F655" s="111"/>
      <c r="G655" s="112"/>
      <c r="H655" s="112"/>
      <c r="I655" s="112"/>
      <c r="J655" s="112"/>
    </row>
    <row r="656" spans="6:10" x14ac:dyDescent="0.2">
      <c r="F656" s="111"/>
      <c r="G656" s="112"/>
      <c r="H656" s="112"/>
      <c r="I656" s="112"/>
      <c r="J656" s="112"/>
    </row>
    <row r="657" spans="6:10" x14ac:dyDescent="0.2">
      <c r="F657" s="111"/>
      <c r="G657" s="112"/>
      <c r="H657" s="112"/>
      <c r="I657" s="112"/>
      <c r="J657" s="112"/>
    </row>
    <row r="658" spans="6:10" x14ac:dyDescent="0.2">
      <c r="F658" s="111"/>
      <c r="G658" s="112"/>
      <c r="H658" s="112"/>
      <c r="I658" s="112"/>
      <c r="J658" s="112"/>
    </row>
    <row r="659" spans="6:10" x14ac:dyDescent="0.2">
      <c r="F659" s="111"/>
      <c r="G659" s="112"/>
      <c r="H659" s="112"/>
      <c r="I659" s="112"/>
      <c r="J659" s="112"/>
    </row>
    <row r="660" spans="6:10" x14ac:dyDescent="0.2">
      <c r="F660" s="111"/>
      <c r="G660" s="112"/>
      <c r="H660" s="112"/>
      <c r="I660" s="112"/>
      <c r="J660" s="112"/>
    </row>
    <row r="661" spans="6:10" x14ac:dyDescent="0.2">
      <c r="F661" s="111"/>
      <c r="G661" s="112"/>
      <c r="H661" s="112"/>
      <c r="I661" s="112"/>
      <c r="J661" s="112"/>
    </row>
    <row r="662" spans="6:10" x14ac:dyDescent="0.2">
      <c r="F662" s="111"/>
      <c r="G662" s="112"/>
      <c r="H662" s="112"/>
      <c r="I662" s="112"/>
      <c r="J662" s="112"/>
    </row>
    <row r="663" spans="6:10" x14ac:dyDescent="0.2">
      <c r="F663" s="111"/>
      <c r="G663" s="112"/>
      <c r="H663" s="112"/>
      <c r="I663" s="112"/>
      <c r="J663" s="112"/>
    </row>
    <row r="664" spans="6:10" x14ac:dyDescent="0.2">
      <c r="F664" s="111"/>
      <c r="G664" s="112"/>
      <c r="H664" s="112"/>
      <c r="I664" s="112"/>
      <c r="J664" s="112"/>
    </row>
    <row r="665" spans="6:10" x14ac:dyDescent="0.2">
      <c r="F665" s="111"/>
      <c r="G665" s="112"/>
      <c r="H665" s="112"/>
      <c r="I665" s="112"/>
      <c r="J665" s="112"/>
    </row>
    <row r="666" spans="6:10" x14ac:dyDescent="0.2">
      <c r="F666" s="111"/>
      <c r="G666" s="112"/>
      <c r="H666" s="112"/>
      <c r="I666" s="112"/>
      <c r="J666" s="112"/>
    </row>
    <row r="667" spans="6:10" x14ac:dyDescent="0.2">
      <c r="F667" s="111"/>
      <c r="G667" s="112"/>
      <c r="H667" s="112"/>
      <c r="I667" s="112"/>
      <c r="J667" s="112"/>
    </row>
    <row r="668" spans="6:10" x14ac:dyDescent="0.2">
      <c r="F668" s="111"/>
      <c r="G668" s="112"/>
      <c r="H668" s="112"/>
      <c r="I668" s="112"/>
      <c r="J668" s="112"/>
    </row>
    <row r="669" spans="6:10" x14ac:dyDescent="0.2">
      <c r="F669" s="111"/>
      <c r="G669" s="112"/>
      <c r="H669" s="112"/>
      <c r="I669" s="112"/>
      <c r="J669" s="112"/>
    </row>
    <row r="670" spans="6:10" x14ac:dyDescent="0.2">
      <c r="F670" s="111"/>
      <c r="G670" s="112"/>
      <c r="H670" s="112"/>
      <c r="I670" s="112"/>
      <c r="J670" s="112"/>
    </row>
    <row r="671" spans="6:10" x14ac:dyDescent="0.2">
      <c r="F671" s="111"/>
      <c r="G671" s="112"/>
      <c r="H671" s="112"/>
      <c r="I671" s="112"/>
      <c r="J671" s="112"/>
    </row>
    <row r="672" spans="6:10" x14ac:dyDescent="0.2">
      <c r="F672" s="111"/>
      <c r="G672" s="112"/>
      <c r="H672" s="112"/>
      <c r="I672" s="112"/>
      <c r="J672" s="112"/>
    </row>
    <row r="673" spans="6:10" x14ac:dyDescent="0.2">
      <c r="F673" s="111"/>
      <c r="G673" s="112"/>
      <c r="H673" s="112"/>
      <c r="I673" s="112"/>
      <c r="J673" s="112"/>
    </row>
    <row r="674" spans="6:10" x14ac:dyDescent="0.2">
      <c r="F674" s="111"/>
      <c r="G674" s="112"/>
      <c r="H674" s="112"/>
      <c r="I674" s="112"/>
      <c r="J674" s="112"/>
    </row>
    <row r="675" spans="6:10" x14ac:dyDescent="0.2">
      <c r="F675" s="111"/>
      <c r="G675" s="112"/>
      <c r="H675" s="112"/>
      <c r="I675" s="112"/>
      <c r="J675" s="112"/>
    </row>
    <row r="676" spans="6:10" x14ac:dyDescent="0.2">
      <c r="F676" s="111"/>
      <c r="G676" s="112"/>
      <c r="H676" s="112"/>
      <c r="I676" s="112"/>
      <c r="J676" s="112"/>
    </row>
    <row r="677" spans="6:10" x14ac:dyDescent="0.2">
      <c r="F677" s="111"/>
      <c r="G677" s="112"/>
      <c r="H677" s="112"/>
      <c r="I677" s="112"/>
      <c r="J677" s="112"/>
    </row>
    <row r="678" spans="6:10" x14ac:dyDescent="0.2">
      <c r="F678" s="111"/>
      <c r="G678" s="112"/>
      <c r="H678" s="112"/>
      <c r="I678" s="112"/>
      <c r="J678" s="112"/>
    </row>
    <row r="679" spans="6:10" x14ac:dyDescent="0.2">
      <c r="F679" s="111"/>
      <c r="G679" s="112"/>
      <c r="H679" s="112"/>
      <c r="I679" s="112"/>
      <c r="J679" s="112"/>
    </row>
    <row r="680" spans="6:10" x14ac:dyDescent="0.2">
      <c r="F680" s="111"/>
      <c r="G680" s="112"/>
      <c r="H680" s="112"/>
      <c r="I680" s="112"/>
      <c r="J680" s="112"/>
    </row>
    <row r="681" spans="6:10" x14ac:dyDescent="0.2">
      <c r="F681" s="111"/>
      <c r="G681" s="112"/>
      <c r="H681" s="112"/>
      <c r="I681" s="112"/>
      <c r="J681" s="112"/>
    </row>
    <row r="682" spans="6:10" x14ac:dyDescent="0.2">
      <c r="F682" s="111"/>
      <c r="G682" s="112"/>
      <c r="H682" s="112"/>
      <c r="I682" s="112"/>
      <c r="J682" s="112"/>
    </row>
    <row r="683" spans="6:10" x14ac:dyDescent="0.2">
      <c r="F683" s="111"/>
      <c r="G683" s="112"/>
      <c r="H683" s="112"/>
      <c r="I683" s="112"/>
      <c r="J683" s="112"/>
    </row>
    <row r="684" spans="6:10" x14ac:dyDescent="0.2">
      <c r="F684" s="111"/>
      <c r="G684" s="112"/>
      <c r="H684" s="112"/>
      <c r="I684" s="112"/>
      <c r="J684" s="112"/>
    </row>
    <row r="685" spans="6:10" x14ac:dyDescent="0.2">
      <c r="F685" s="111"/>
      <c r="G685" s="112"/>
      <c r="H685" s="112"/>
      <c r="I685" s="112"/>
      <c r="J685" s="112"/>
    </row>
    <row r="686" spans="6:10" x14ac:dyDescent="0.2">
      <c r="F686" s="111"/>
      <c r="G686" s="112"/>
      <c r="H686" s="112"/>
      <c r="I686" s="112"/>
      <c r="J686" s="112"/>
    </row>
    <row r="687" spans="6:10" x14ac:dyDescent="0.2">
      <c r="F687" s="111"/>
      <c r="G687" s="112"/>
      <c r="H687" s="112"/>
      <c r="I687" s="112"/>
      <c r="J687" s="112"/>
    </row>
    <row r="688" spans="6:10" x14ac:dyDescent="0.2">
      <c r="F688" s="111"/>
      <c r="G688" s="112"/>
      <c r="H688" s="112"/>
      <c r="I688" s="112"/>
      <c r="J688" s="112"/>
    </row>
    <row r="689" spans="6:10" x14ac:dyDescent="0.2">
      <c r="F689" s="111"/>
      <c r="G689" s="112"/>
      <c r="H689" s="112"/>
      <c r="I689" s="112"/>
      <c r="J689" s="112"/>
    </row>
    <row r="690" spans="6:10" x14ac:dyDescent="0.2">
      <c r="F690" s="111"/>
      <c r="G690" s="112"/>
      <c r="H690" s="112"/>
      <c r="I690" s="112"/>
      <c r="J690" s="112"/>
    </row>
    <row r="691" spans="6:10" x14ac:dyDescent="0.2">
      <c r="F691" s="111"/>
      <c r="G691" s="112"/>
      <c r="H691" s="112"/>
      <c r="I691" s="112"/>
      <c r="J691" s="112"/>
    </row>
    <row r="692" spans="6:10" x14ac:dyDescent="0.2">
      <c r="F692" s="111"/>
      <c r="G692" s="112"/>
      <c r="H692" s="112"/>
      <c r="I692" s="112"/>
      <c r="J692" s="112"/>
    </row>
    <row r="693" spans="6:10" x14ac:dyDescent="0.2">
      <c r="F693" s="111"/>
      <c r="G693" s="112"/>
      <c r="H693" s="112"/>
      <c r="I693" s="112"/>
      <c r="J693" s="112"/>
    </row>
    <row r="694" spans="6:10" x14ac:dyDescent="0.2">
      <c r="F694" s="111"/>
      <c r="G694" s="112"/>
      <c r="H694" s="112"/>
      <c r="I694" s="112"/>
      <c r="J694" s="112"/>
    </row>
    <row r="695" spans="6:10" x14ac:dyDescent="0.2">
      <c r="F695" s="111"/>
      <c r="G695" s="112"/>
      <c r="H695" s="112"/>
      <c r="I695" s="112"/>
      <c r="J695" s="112"/>
    </row>
    <row r="696" spans="6:10" x14ac:dyDescent="0.2">
      <c r="F696" s="111"/>
      <c r="G696" s="112"/>
      <c r="H696" s="112"/>
      <c r="I696" s="112"/>
      <c r="J696" s="112"/>
    </row>
    <row r="697" spans="6:10" x14ac:dyDescent="0.2">
      <c r="F697" s="111"/>
      <c r="G697" s="112"/>
      <c r="H697" s="112"/>
      <c r="I697" s="112"/>
      <c r="J697" s="112"/>
    </row>
    <row r="698" spans="6:10" x14ac:dyDescent="0.2">
      <c r="F698" s="111"/>
      <c r="G698" s="112"/>
      <c r="H698" s="112"/>
      <c r="I698" s="112"/>
      <c r="J698" s="112"/>
    </row>
    <row r="699" spans="6:10" x14ac:dyDescent="0.2">
      <c r="F699" s="111"/>
      <c r="G699" s="112"/>
      <c r="H699" s="112"/>
      <c r="I699" s="112"/>
      <c r="J699" s="112"/>
    </row>
    <row r="700" spans="6:10" x14ac:dyDescent="0.2">
      <c r="F700" s="111"/>
      <c r="G700" s="112"/>
      <c r="H700" s="112"/>
      <c r="I700" s="112"/>
      <c r="J700" s="112"/>
    </row>
    <row r="701" spans="6:10" x14ac:dyDescent="0.2">
      <c r="F701" s="111"/>
      <c r="G701" s="112"/>
      <c r="H701" s="112"/>
      <c r="I701" s="112"/>
      <c r="J701" s="112"/>
    </row>
    <row r="702" spans="6:10" x14ac:dyDescent="0.2">
      <c r="F702" s="111"/>
      <c r="G702" s="112"/>
      <c r="H702" s="112"/>
      <c r="I702" s="112"/>
      <c r="J702" s="112"/>
    </row>
    <row r="703" spans="6:10" x14ac:dyDescent="0.2">
      <c r="F703" s="111"/>
      <c r="G703" s="112"/>
      <c r="H703" s="112"/>
      <c r="I703" s="112"/>
      <c r="J703" s="112"/>
    </row>
    <row r="704" spans="6:10" x14ac:dyDescent="0.2">
      <c r="F704" s="111"/>
      <c r="G704" s="112"/>
      <c r="H704" s="112"/>
      <c r="I704" s="112"/>
      <c r="J704" s="112"/>
    </row>
    <row r="705" spans="6:10" x14ac:dyDescent="0.2">
      <c r="F705" s="111"/>
      <c r="G705" s="112"/>
      <c r="H705" s="112"/>
      <c r="I705" s="112"/>
      <c r="J705" s="112"/>
    </row>
    <row r="706" spans="6:10" x14ac:dyDescent="0.2">
      <c r="F706" s="111"/>
      <c r="G706" s="112"/>
      <c r="H706" s="112"/>
      <c r="I706" s="112"/>
      <c r="J706" s="112"/>
    </row>
    <row r="707" spans="6:10" x14ac:dyDescent="0.2">
      <c r="F707" s="111"/>
      <c r="G707" s="112"/>
      <c r="H707" s="112"/>
      <c r="I707" s="112"/>
      <c r="J707" s="112"/>
    </row>
    <row r="708" spans="6:10" x14ac:dyDescent="0.2">
      <c r="F708" s="111"/>
      <c r="G708" s="112"/>
      <c r="H708" s="112"/>
      <c r="I708" s="112"/>
      <c r="J708" s="112"/>
    </row>
    <row r="709" spans="6:10" x14ac:dyDescent="0.2">
      <c r="F709" s="111"/>
      <c r="G709" s="112"/>
      <c r="H709" s="112"/>
      <c r="I709" s="112"/>
      <c r="J709" s="112"/>
    </row>
    <row r="710" spans="6:10" x14ac:dyDescent="0.2">
      <c r="F710" s="111"/>
      <c r="G710" s="112"/>
      <c r="H710" s="112"/>
      <c r="I710" s="112"/>
      <c r="J710" s="112"/>
    </row>
    <row r="711" spans="6:10" x14ac:dyDescent="0.2">
      <c r="F711" s="111"/>
      <c r="G711" s="112"/>
      <c r="H711" s="112"/>
      <c r="I711" s="112"/>
      <c r="J711" s="112"/>
    </row>
    <row r="712" spans="6:10" x14ac:dyDescent="0.2">
      <c r="F712" s="111"/>
      <c r="G712" s="112"/>
      <c r="H712" s="112"/>
      <c r="I712" s="112"/>
      <c r="J712" s="112"/>
    </row>
    <row r="713" spans="6:10" x14ac:dyDescent="0.2">
      <c r="F713" s="111"/>
      <c r="G713" s="112"/>
      <c r="H713" s="112"/>
      <c r="I713" s="112"/>
      <c r="J713" s="112"/>
    </row>
    <row r="714" spans="6:10" x14ac:dyDescent="0.2">
      <c r="F714" s="111"/>
      <c r="G714" s="112"/>
      <c r="H714" s="112"/>
      <c r="I714" s="112"/>
      <c r="J714" s="112"/>
    </row>
    <row r="715" spans="6:10" x14ac:dyDescent="0.2">
      <c r="F715" s="111"/>
      <c r="G715" s="112"/>
      <c r="H715" s="112"/>
      <c r="I715" s="112"/>
      <c r="J715" s="112"/>
    </row>
    <row r="716" spans="6:10" x14ac:dyDescent="0.2">
      <c r="F716" s="111"/>
      <c r="G716" s="112"/>
      <c r="H716" s="112"/>
      <c r="I716" s="112"/>
      <c r="J716" s="112"/>
    </row>
    <row r="717" spans="6:10" x14ac:dyDescent="0.2">
      <c r="F717" s="111"/>
      <c r="G717" s="112"/>
      <c r="H717" s="112"/>
      <c r="I717" s="112"/>
      <c r="J717" s="112"/>
    </row>
    <row r="718" spans="6:10" x14ac:dyDescent="0.2">
      <c r="F718" s="111"/>
      <c r="G718" s="112"/>
      <c r="H718" s="112"/>
      <c r="I718" s="112"/>
      <c r="J718" s="112"/>
    </row>
    <row r="719" spans="6:10" x14ac:dyDescent="0.2">
      <c r="F719" s="111"/>
      <c r="G719" s="112"/>
      <c r="H719" s="112"/>
      <c r="I719" s="112"/>
      <c r="J719" s="112"/>
    </row>
    <row r="720" spans="6:10" x14ac:dyDescent="0.2">
      <c r="F720" s="111"/>
      <c r="G720" s="112"/>
      <c r="H720" s="112"/>
      <c r="I720" s="112"/>
      <c r="J720" s="112"/>
    </row>
    <row r="721" spans="6:10" x14ac:dyDescent="0.2">
      <c r="F721" s="111"/>
      <c r="G721" s="112"/>
      <c r="H721" s="112"/>
      <c r="I721" s="112"/>
      <c r="J721" s="112"/>
    </row>
    <row r="722" spans="6:10" x14ac:dyDescent="0.2">
      <c r="F722" s="111"/>
      <c r="G722" s="112"/>
      <c r="H722" s="112"/>
      <c r="I722" s="112"/>
      <c r="J722" s="112"/>
    </row>
    <row r="723" spans="6:10" x14ac:dyDescent="0.2">
      <c r="F723" s="111"/>
      <c r="G723" s="112"/>
      <c r="H723" s="112"/>
      <c r="I723" s="112"/>
      <c r="J723" s="112"/>
    </row>
    <row r="724" spans="6:10" x14ac:dyDescent="0.2">
      <c r="F724" s="111"/>
      <c r="G724" s="112"/>
      <c r="H724" s="112"/>
      <c r="I724" s="112"/>
      <c r="J724" s="112"/>
    </row>
    <row r="725" spans="6:10" x14ac:dyDescent="0.2">
      <c r="F725" s="111"/>
      <c r="G725" s="112"/>
      <c r="H725" s="112"/>
      <c r="I725" s="112"/>
      <c r="J725" s="112"/>
    </row>
    <row r="726" spans="6:10" x14ac:dyDescent="0.2">
      <c r="F726" s="111"/>
      <c r="G726" s="112"/>
      <c r="H726" s="112"/>
      <c r="I726" s="112"/>
      <c r="J726" s="112"/>
    </row>
    <row r="727" spans="6:10" x14ac:dyDescent="0.2">
      <c r="F727" s="111"/>
      <c r="G727" s="112"/>
      <c r="H727" s="112"/>
      <c r="I727" s="112"/>
      <c r="J727" s="112"/>
    </row>
    <row r="728" spans="6:10" x14ac:dyDescent="0.2">
      <c r="F728" s="111"/>
      <c r="G728" s="112"/>
      <c r="H728" s="112"/>
      <c r="I728" s="112"/>
      <c r="J728" s="112"/>
    </row>
    <row r="729" spans="6:10" x14ac:dyDescent="0.2">
      <c r="F729" s="111"/>
      <c r="G729" s="112"/>
      <c r="H729" s="112"/>
      <c r="I729" s="112"/>
      <c r="J729" s="112"/>
    </row>
    <row r="730" spans="6:10" x14ac:dyDescent="0.2">
      <c r="F730" s="111"/>
      <c r="G730" s="112"/>
      <c r="H730" s="112"/>
      <c r="I730" s="112"/>
      <c r="J730" s="112"/>
    </row>
    <row r="731" spans="6:10" x14ac:dyDescent="0.2">
      <c r="F731" s="111"/>
      <c r="G731" s="112"/>
      <c r="H731" s="112"/>
      <c r="I731" s="112"/>
      <c r="J731" s="112"/>
    </row>
    <row r="732" spans="6:10" x14ac:dyDescent="0.2">
      <c r="F732" s="111"/>
      <c r="G732" s="112"/>
      <c r="H732" s="112"/>
      <c r="I732" s="112"/>
      <c r="J732" s="112"/>
    </row>
    <row r="733" spans="6:10" x14ac:dyDescent="0.2">
      <c r="F733" s="111"/>
      <c r="G733" s="112"/>
      <c r="H733" s="112"/>
      <c r="I733" s="112"/>
      <c r="J733" s="112"/>
    </row>
    <row r="734" spans="6:10" x14ac:dyDescent="0.2">
      <c r="F734" s="111"/>
      <c r="G734" s="112"/>
      <c r="H734" s="112"/>
      <c r="I734" s="112"/>
      <c r="J734" s="112"/>
    </row>
    <row r="735" spans="6:10" x14ac:dyDescent="0.2">
      <c r="F735" s="111"/>
      <c r="G735" s="112"/>
      <c r="H735" s="112"/>
      <c r="I735" s="112"/>
      <c r="J735" s="112"/>
    </row>
    <row r="736" spans="6:10" x14ac:dyDescent="0.2">
      <c r="F736" s="111"/>
      <c r="G736" s="112"/>
      <c r="H736" s="112"/>
      <c r="I736" s="112"/>
      <c r="J736" s="112"/>
    </row>
    <row r="737" spans="6:10" x14ac:dyDescent="0.2">
      <c r="F737" s="111"/>
      <c r="G737" s="112"/>
      <c r="H737" s="112"/>
      <c r="I737" s="112"/>
      <c r="J737" s="112"/>
    </row>
    <row r="738" spans="6:10" x14ac:dyDescent="0.2">
      <c r="F738" s="111"/>
      <c r="G738" s="112"/>
      <c r="H738" s="112"/>
      <c r="I738" s="112"/>
      <c r="J738" s="112"/>
    </row>
    <row r="739" spans="6:10" x14ac:dyDescent="0.2">
      <c r="F739" s="111"/>
      <c r="G739" s="112"/>
      <c r="H739" s="112"/>
      <c r="I739" s="112"/>
      <c r="J739" s="112"/>
    </row>
    <row r="740" spans="6:10" x14ac:dyDescent="0.2">
      <c r="F740" s="111"/>
      <c r="G740" s="112"/>
      <c r="H740" s="112"/>
      <c r="I740" s="112"/>
      <c r="J740" s="112"/>
    </row>
    <row r="741" spans="6:10" x14ac:dyDescent="0.2">
      <c r="F741" s="111"/>
      <c r="G741" s="112"/>
      <c r="H741" s="112"/>
      <c r="I741" s="112"/>
      <c r="J741" s="112"/>
    </row>
    <row r="742" spans="6:10" x14ac:dyDescent="0.2">
      <c r="F742" s="111"/>
      <c r="G742" s="112"/>
      <c r="H742" s="112"/>
      <c r="I742" s="112"/>
      <c r="J742" s="112"/>
    </row>
    <row r="743" spans="6:10" x14ac:dyDescent="0.2">
      <c r="F743" s="111"/>
      <c r="G743" s="112"/>
      <c r="H743" s="112"/>
      <c r="I743" s="112"/>
      <c r="J743" s="112"/>
    </row>
    <row r="744" spans="6:10" x14ac:dyDescent="0.2">
      <c r="F744" s="111"/>
      <c r="G744" s="112"/>
      <c r="H744" s="112"/>
      <c r="I744" s="112"/>
      <c r="J744" s="112"/>
    </row>
    <row r="745" spans="6:10" x14ac:dyDescent="0.2">
      <c r="F745" s="111"/>
      <c r="G745" s="112"/>
      <c r="H745" s="112"/>
      <c r="I745" s="112"/>
      <c r="J745" s="112"/>
    </row>
    <row r="746" spans="6:10" x14ac:dyDescent="0.2">
      <c r="F746" s="111"/>
      <c r="G746" s="112"/>
      <c r="H746" s="112"/>
      <c r="I746" s="112"/>
      <c r="J746" s="112"/>
    </row>
    <row r="747" spans="6:10" x14ac:dyDescent="0.2">
      <c r="F747" s="111"/>
      <c r="G747" s="112"/>
      <c r="H747" s="112"/>
      <c r="I747" s="112"/>
      <c r="J747" s="112"/>
    </row>
    <row r="748" spans="6:10" x14ac:dyDescent="0.2">
      <c r="F748" s="111"/>
      <c r="G748" s="112"/>
      <c r="H748" s="112"/>
      <c r="I748" s="112"/>
      <c r="J748" s="112"/>
    </row>
    <row r="749" spans="6:10" x14ac:dyDescent="0.2">
      <c r="F749" s="111"/>
      <c r="G749" s="112"/>
      <c r="H749" s="112"/>
      <c r="I749" s="112"/>
      <c r="J749" s="112"/>
    </row>
    <row r="750" spans="6:10" x14ac:dyDescent="0.2">
      <c r="F750" s="111"/>
      <c r="G750" s="112"/>
      <c r="H750" s="112"/>
      <c r="I750" s="112"/>
      <c r="J750" s="112"/>
    </row>
    <row r="751" spans="6:10" x14ac:dyDescent="0.2">
      <c r="F751" s="111"/>
      <c r="G751" s="112"/>
      <c r="H751" s="112"/>
      <c r="I751" s="112"/>
      <c r="J751" s="112"/>
    </row>
    <row r="752" spans="6:10" x14ac:dyDescent="0.2">
      <c r="F752" s="111"/>
      <c r="G752" s="112"/>
      <c r="H752" s="112"/>
      <c r="I752" s="112"/>
      <c r="J752" s="112"/>
    </row>
    <row r="753" spans="6:10" x14ac:dyDescent="0.2">
      <c r="F753" s="111"/>
      <c r="G753" s="112"/>
      <c r="H753" s="112"/>
      <c r="I753" s="112"/>
      <c r="J753" s="112"/>
    </row>
    <row r="754" spans="6:10" x14ac:dyDescent="0.2">
      <c r="F754" s="111"/>
      <c r="G754" s="112"/>
      <c r="H754" s="112"/>
      <c r="I754" s="112"/>
      <c r="J754" s="112"/>
    </row>
    <row r="755" spans="6:10" x14ac:dyDescent="0.2">
      <c r="F755" s="111"/>
      <c r="G755" s="112"/>
      <c r="H755" s="112"/>
      <c r="I755" s="112"/>
      <c r="J755" s="112"/>
    </row>
    <row r="756" spans="6:10" x14ac:dyDescent="0.2">
      <c r="F756" s="111"/>
      <c r="G756" s="112"/>
      <c r="H756" s="112"/>
      <c r="I756" s="112"/>
      <c r="J756" s="112"/>
    </row>
    <row r="757" spans="6:10" x14ac:dyDescent="0.2">
      <c r="F757" s="111"/>
      <c r="G757" s="112"/>
      <c r="H757" s="112"/>
      <c r="I757" s="112"/>
      <c r="J757" s="112"/>
    </row>
    <row r="758" spans="6:10" x14ac:dyDescent="0.2">
      <c r="F758" s="111"/>
      <c r="G758" s="112"/>
      <c r="H758" s="112"/>
      <c r="I758" s="112"/>
      <c r="J758" s="112"/>
    </row>
    <row r="759" spans="6:10" x14ac:dyDescent="0.2">
      <c r="F759" s="111"/>
      <c r="G759" s="112"/>
      <c r="H759" s="112"/>
      <c r="I759" s="112"/>
      <c r="J759" s="112"/>
    </row>
    <row r="760" spans="6:10" x14ac:dyDescent="0.2">
      <c r="F760" s="111"/>
      <c r="G760" s="112"/>
      <c r="H760" s="112"/>
      <c r="I760" s="112"/>
      <c r="J760" s="112"/>
    </row>
    <row r="761" spans="6:10" x14ac:dyDescent="0.2">
      <c r="F761" s="111"/>
      <c r="G761" s="112"/>
      <c r="H761" s="112"/>
      <c r="I761" s="112"/>
      <c r="J761" s="112"/>
    </row>
    <row r="762" spans="6:10" x14ac:dyDescent="0.2">
      <c r="F762" s="111"/>
      <c r="G762" s="112"/>
      <c r="H762" s="112"/>
      <c r="I762" s="112"/>
      <c r="J762" s="112"/>
    </row>
    <row r="763" spans="6:10" x14ac:dyDescent="0.2">
      <c r="F763" s="111"/>
      <c r="G763" s="112"/>
      <c r="H763" s="112"/>
      <c r="I763" s="112"/>
      <c r="J763" s="112"/>
    </row>
    <row r="764" spans="6:10" x14ac:dyDescent="0.2">
      <c r="F764" s="111"/>
      <c r="G764" s="112"/>
      <c r="H764" s="112"/>
      <c r="I764" s="112"/>
      <c r="J764" s="112"/>
    </row>
    <row r="765" spans="6:10" x14ac:dyDescent="0.2">
      <c r="F765" s="111"/>
      <c r="G765" s="112"/>
      <c r="H765" s="112"/>
      <c r="I765" s="112"/>
      <c r="J765" s="112"/>
    </row>
    <row r="766" spans="6:10" x14ac:dyDescent="0.2">
      <c r="F766" s="111"/>
      <c r="G766" s="112"/>
      <c r="H766" s="112"/>
      <c r="I766" s="112"/>
      <c r="J766" s="112"/>
    </row>
    <row r="767" spans="6:10" x14ac:dyDescent="0.2">
      <c r="F767" s="111"/>
      <c r="G767" s="112"/>
      <c r="H767" s="112"/>
      <c r="I767" s="112"/>
      <c r="J767" s="112"/>
    </row>
    <row r="768" spans="6:10" x14ac:dyDescent="0.2">
      <c r="F768" s="111"/>
      <c r="G768" s="112"/>
      <c r="H768" s="112"/>
      <c r="I768" s="112"/>
      <c r="J768" s="112"/>
    </row>
    <row r="769" spans="6:10" x14ac:dyDescent="0.2">
      <c r="F769" s="111"/>
      <c r="G769" s="112"/>
      <c r="H769" s="112"/>
      <c r="I769" s="112"/>
      <c r="J769" s="112"/>
    </row>
    <row r="770" spans="6:10" x14ac:dyDescent="0.2">
      <c r="F770" s="111"/>
      <c r="G770" s="112"/>
      <c r="H770" s="112"/>
      <c r="I770" s="112"/>
      <c r="J770" s="112"/>
    </row>
    <row r="771" spans="6:10" x14ac:dyDescent="0.2">
      <c r="F771" s="111"/>
      <c r="G771" s="112"/>
      <c r="H771" s="112"/>
      <c r="I771" s="112"/>
      <c r="J771" s="112"/>
    </row>
    <row r="772" spans="6:10" x14ac:dyDescent="0.2">
      <c r="F772" s="111"/>
      <c r="G772" s="112"/>
      <c r="H772" s="112"/>
      <c r="I772" s="112"/>
      <c r="J772" s="112"/>
    </row>
    <row r="773" spans="6:10" x14ac:dyDescent="0.2">
      <c r="F773" s="111"/>
      <c r="G773" s="112"/>
      <c r="H773" s="112"/>
      <c r="I773" s="112"/>
      <c r="J773" s="112"/>
    </row>
    <row r="774" spans="6:10" x14ac:dyDescent="0.2">
      <c r="F774" s="111"/>
      <c r="G774" s="112"/>
      <c r="H774" s="112"/>
      <c r="I774" s="112"/>
      <c r="J774" s="112"/>
    </row>
    <row r="775" spans="6:10" x14ac:dyDescent="0.2">
      <c r="F775" s="111"/>
      <c r="G775" s="112"/>
      <c r="H775" s="112"/>
      <c r="I775" s="112"/>
      <c r="J775" s="112"/>
    </row>
    <row r="776" spans="6:10" x14ac:dyDescent="0.2">
      <c r="F776" s="111"/>
      <c r="G776" s="112"/>
      <c r="H776" s="112"/>
      <c r="I776" s="112"/>
      <c r="J776" s="112"/>
    </row>
    <row r="777" spans="6:10" x14ac:dyDescent="0.2">
      <c r="F777" s="111"/>
      <c r="G777" s="112"/>
      <c r="H777" s="112"/>
      <c r="I777" s="112"/>
      <c r="J777" s="112"/>
    </row>
    <row r="778" spans="6:10" x14ac:dyDescent="0.2">
      <c r="F778" s="111"/>
      <c r="G778" s="112"/>
      <c r="H778" s="112"/>
      <c r="I778" s="112"/>
      <c r="J778" s="112"/>
    </row>
    <row r="779" spans="6:10" x14ac:dyDescent="0.2">
      <c r="F779" s="111"/>
      <c r="G779" s="112"/>
      <c r="H779" s="112"/>
      <c r="I779" s="112"/>
      <c r="J779" s="112"/>
    </row>
    <row r="780" spans="6:10" x14ac:dyDescent="0.2">
      <c r="F780" s="111"/>
      <c r="G780" s="112"/>
      <c r="H780" s="112"/>
      <c r="I780" s="112"/>
      <c r="J780" s="112"/>
    </row>
    <row r="781" spans="6:10" x14ac:dyDescent="0.2">
      <c r="F781" s="111"/>
      <c r="G781" s="112"/>
      <c r="H781" s="112"/>
      <c r="I781" s="112"/>
      <c r="J781" s="112"/>
    </row>
    <row r="782" spans="6:10" x14ac:dyDescent="0.2">
      <c r="F782" s="111"/>
      <c r="G782" s="112"/>
      <c r="H782" s="112"/>
      <c r="I782" s="112"/>
      <c r="J782" s="112"/>
    </row>
    <row r="783" spans="6:10" x14ac:dyDescent="0.2">
      <c r="F783" s="111"/>
      <c r="G783" s="112"/>
      <c r="H783" s="112"/>
      <c r="I783" s="112"/>
      <c r="J783" s="112"/>
    </row>
    <row r="784" spans="6:10" x14ac:dyDescent="0.2">
      <c r="F784" s="111"/>
      <c r="G784" s="112"/>
      <c r="H784" s="112"/>
      <c r="I784" s="112"/>
      <c r="J784" s="112"/>
    </row>
    <row r="785" spans="6:10" x14ac:dyDescent="0.2">
      <c r="F785" s="111"/>
      <c r="G785" s="112"/>
      <c r="H785" s="112"/>
      <c r="I785" s="112"/>
      <c r="J785" s="112"/>
    </row>
    <row r="786" spans="6:10" x14ac:dyDescent="0.2">
      <c r="F786" s="111"/>
      <c r="G786" s="112"/>
      <c r="H786" s="112"/>
      <c r="I786" s="112"/>
      <c r="J786" s="112"/>
    </row>
    <row r="787" spans="6:10" x14ac:dyDescent="0.2">
      <c r="F787" s="111"/>
      <c r="G787" s="112"/>
      <c r="H787" s="112"/>
      <c r="I787" s="112"/>
      <c r="J787" s="112"/>
    </row>
    <row r="788" spans="6:10" x14ac:dyDescent="0.2">
      <c r="F788" s="111"/>
      <c r="G788" s="112"/>
      <c r="H788" s="112"/>
      <c r="I788" s="112"/>
      <c r="J788" s="112"/>
    </row>
    <row r="789" spans="6:10" x14ac:dyDescent="0.2">
      <c r="F789" s="111"/>
      <c r="G789" s="112"/>
      <c r="H789" s="112"/>
      <c r="I789" s="112"/>
      <c r="J789" s="112"/>
    </row>
    <row r="790" spans="6:10" x14ac:dyDescent="0.2">
      <c r="F790" s="111"/>
      <c r="G790" s="112"/>
      <c r="H790" s="112"/>
      <c r="I790" s="112"/>
      <c r="J790" s="112"/>
    </row>
    <row r="791" spans="6:10" x14ac:dyDescent="0.2">
      <c r="F791" s="111"/>
      <c r="G791" s="112"/>
      <c r="H791" s="112"/>
      <c r="I791" s="112"/>
      <c r="J791" s="112"/>
    </row>
    <row r="792" spans="6:10" x14ac:dyDescent="0.2">
      <c r="F792" s="111"/>
      <c r="G792" s="112"/>
      <c r="H792" s="112"/>
      <c r="I792" s="112"/>
      <c r="J792" s="112"/>
    </row>
    <row r="793" spans="6:10" x14ac:dyDescent="0.2">
      <c r="F793" s="111"/>
      <c r="G793" s="112"/>
      <c r="H793" s="112"/>
      <c r="I793" s="112"/>
      <c r="J793" s="112"/>
    </row>
    <row r="794" spans="6:10" x14ac:dyDescent="0.2">
      <c r="F794" s="111"/>
      <c r="G794" s="112"/>
      <c r="H794" s="112"/>
      <c r="I794" s="112"/>
      <c r="J794" s="112"/>
    </row>
    <row r="795" spans="6:10" x14ac:dyDescent="0.2">
      <c r="F795" s="111"/>
      <c r="G795" s="112"/>
      <c r="H795" s="112"/>
      <c r="I795" s="112"/>
      <c r="J795" s="112"/>
    </row>
    <row r="796" spans="6:10" x14ac:dyDescent="0.2">
      <c r="F796" s="111"/>
      <c r="G796" s="112"/>
      <c r="H796" s="112"/>
      <c r="I796" s="112"/>
      <c r="J796" s="112"/>
    </row>
    <row r="797" spans="6:10" x14ac:dyDescent="0.2">
      <c r="F797" s="111"/>
      <c r="G797" s="112"/>
      <c r="H797" s="112"/>
      <c r="I797" s="112"/>
      <c r="J797" s="112"/>
    </row>
    <row r="798" spans="6:10" x14ac:dyDescent="0.2">
      <c r="F798" s="111"/>
      <c r="G798" s="112"/>
      <c r="H798" s="112"/>
      <c r="I798" s="112"/>
      <c r="J798" s="112"/>
    </row>
    <row r="799" spans="6:10" x14ac:dyDescent="0.2">
      <c r="F799" s="111"/>
      <c r="G799" s="112"/>
      <c r="H799" s="112"/>
      <c r="I799" s="112"/>
      <c r="J799" s="112"/>
    </row>
    <row r="800" spans="6:10" x14ac:dyDescent="0.2">
      <c r="F800" s="111"/>
      <c r="G800" s="112"/>
      <c r="H800" s="112"/>
      <c r="I800" s="112"/>
      <c r="J800" s="112"/>
    </row>
    <row r="801" spans="6:10" x14ac:dyDescent="0.2">
      <c r="F801" s="111"/>
      <c r="G801" s="112"/>
      <c r="H801" s="112"/>
      <c r="I801" s="112"/>
      <c r="J801" s="112"/>
    </row>
    <row r="802" spans="6:10" x14ac:dyDescent="0.2">
      <c r="F802" s="111"/>
      <c r="G802" s="112"/>
      <c r="H802" s="112"/>
      <c r="I802" s="112"/>
      <c r="J802" s="112"/>
    </row>
    <row r="803" spans="6:10" x14ac:dyDescent="0.2">
      <c r="F803" s="111"/>
      <c r="G803" s="112"/>
      <c r="H803" s="112"/>
      <c r="I803" s="112"/>
      <c r="J803" s="112"/>
    </row>
    <row r="804" spans="6:10" x14ac:dyDescent="0.2">
      <c r="F804" s="111"/>
      <c r="G804" s="112"/>
      <c r="H804" s="112"/>
      <c r="I804" s="112"/>
      <c r="J804" s="112"/>
    </row>
    <row r="805" spans="6:10" x14ac:dyDescent="0.2">
      <c r="F805" s="111"/>
      <c r="G805" s="112"/>
      <c r="H805" s="112"/>
      <c r="I805" s="112"/>
      <c r="J805" s="112"/>
    </row>
    <row r="806" spans="6:10" x14ac:dyDescent="0.2">
      <c r="F806" s="111"/>
      <c r="G806" s="112"/>
      <c r="H806" s="112"/>
      <c r="I806" s="112"/>
      <c r="J806" s="112"/>
    </row>
    <row r="807" spans="6:10" x14ac:dyDescent="0.2">
      <c r="F807" s="111"/>
      <c r="G807" s="112"/>
      <c r="H807" s="112"/>
      <c r="I807" s="112"/>
      <c r="J807" s="112"/>
    </row>
    <row r="808" spans="6:10" x14ac:dyDescent="0.2">
      <c r="F808" s="111"/>
      <c r="G808" s="112"/>
      <c r="H808" s="112"/>
      <c r="I808" s="112"/>
      <c r="J808" s="112"/>
    </row>
    <row r="809" spans="6:10" x14ac:dyDescent="0.2">
      <c r="F809" s="111"/>
      <c r="G809" s="112"/>
      <c r="H809" s="112"/>
      <c r="I809" s="112"/>
      <c r="J809" s="112"/>
    </row>
    <row r="810" spans="6:10" x14ac:dyDescent="0.2">
      <c r="F810" s="111"/>
      <c r="G810" s="112"/>
      <c r="H810" s="112"/>
      <c r="I810" s="112"/>
      <c r="J810" s="112"/>
    </row>
    <row r="811" spans="6:10" x14ac:dyDescent="0.2">
      <c r="F811" s="111"/>
      <c r="G811" s="112"/>
      <c r="H811" s="112"/>
      <c r="I811" s="112"/>
      <c r="J811" s="112"/>
    </row>
    <row r="812" spans="6:10" x14ac:dyDescent="0.2">
      <c r="F812" s="111"/>
      <c r="G812" s="112"/>
      <c r="H812" s="112"/>
      <c r="I812" s="112"/>
      <c r="J812" s="112"/>
    </row>
    <row r="813" spans="6:10" x14ac:dyDescent="0.2">
      <c r="F813" s="111"/>
      <c r="G813" s="112"/>
      <c r="H813" s="112"/>
      <c r="I813" s="112"/>
      <c r="J813" s="112"/>
    </row>
    <row r="814" spans="6:10" x14ac:dyDescent="0.2">
      <c r="F814" s="111"/>
      <c r="G814" s="112"/>
      <c r="H814" s="112"/>
      <c r="I814" s="112"/>
      <c r="J814" s="112"/>
    </row>
    <row r="815" spans="6:10" x14ac:dyDescent="0.2">
      <c r="F815" s="111"/>
      <c r="G815" s="112"/>
      <c r="H815" s="112"/>
      <c r="I815" s="112"/>
      <c r="J815" s="112"/>
    </row>
    <row r="816" spans="6:10" x14ac:dyDescent="0.2">
      <c r="F816" s="111"/>
      <c r="G816" s="112"/>
      <c r="H816" s="112"/>
      <c r="I816" s="112"/>
      <c r="J816" s="112"/>
    </row>
    <row r="817" spans="6:10" x14ac:dyDescent="0.2">
      <c r="F817" s="111"/>
      <c r="G817" s="112"/>
      <c r="H817" s="112"/>
      <c r="I817" s="112"/>
      <c r="J817" s="112"/>
    </row>
    <row r="818" spans="6:10" x14ac:dyDescent="0.2">
      <c r="F818" s="111"/>
      <c r="G818" s="112"/>
      <c r="H818" s="112"/>
      <c r="I818" s="112"/>
      <c r="J818" s="112"/>
    </row>
    <row r="819" spans="6:10" x14ac:dyDescent="0.2">
      <c r="F819" s="111"/>
      <c r="G819" s="112"/>
      <c r="H819" s="112"/>
      <c r="I819" s="112"/>
      <c r="J819" s="112"/>
    </row>
    <row r="820" spans="6:10" x14ac:dyDescent="0.2">
      <c r="F820" s="111"/>
      <c r="G820" s="112"/>
      <c r="H820" s="112"/>
      <c r="I820" s="112"/>
      <c r="J820" s="112"/>
    </row>
    <row r="821" spans="6:10" x14ac:dyDescent="0.2">
      <c r="F821" s="111"/>
      <c r="G821" s="112"/>
      <c r="H821" s="112"/>
      <c r="I821" s="112"/>
      <c r="J821" s="112"/>
    </row>
    <row r="822" spans="6:10" x14ac:dyDescent="0.2">
      <c r="F822" s="111"/>
      <c r="G822" s="112"/>
      <c r="H822" s="112"/>
      <c r="I822" s="112"/>
      <c r="J822" s="112"/>
    </row>
    <row r="823" spans="6:10" x14ac:dyDescent="0.2">
      <c r="F823" s="111"/>
      <c r="G823" s="112"/>
      <c r="H823" s="112"/>
      <c r="I823" s="112"/>
      <c r="J823" s="112"/>
    </row>
    <row r="824" spans="6:10" x14ac:dyDescent="0.2">
      <c r="F824" s="111"/>
      <c r="G824" s="112"/>
      <c r="H824" s="112"/>
      <c r="I824" s="112"/>
      <c r="J824" s="112"/>
    </row>
    <row r="825" spans="6:10" x14ac:dyDescent="0.2">
      <c r="F825" s="111"/>
      <c r="G825" s="112"/>
      <c r="H825" s="112"/>
      <c r="I825" s="112"/>
      <c r="J825" s="112"/>
    </row>
    <row r="826" spans="6:10" x14ac:dyDescent="0.2">
      <c r="F826" s="111"/>
      <c r="G826" s="112"/>
      <c r="H826" s="112"/>
      <c r="I826" s="112"/>
      <c r="J826" s="112"/>
    </row>
    <row r="827" spans="6:10" x14ac:dyDescent="0.2">
      <c r="F827" s="111"/>
      <c r="G827" s="112"/>
      <c r="H827" s="112"/>
      <c r="I827" s="112"/>
      <c r="J827" s="112"/>
    </row>
    <row r="828" spans="6:10" x14ac:dyDescent="0.2">
      <c r="F828" s="111"/>
      <c r="G828" s="112"/>
      <c r="H828" s="112"/>
      <c r="I828" s="112"/>
      <c r="J828" s="112"/>
    </row>
    <row r="829" spans="6:10" x14ac:dyDescent="0.2">
      <c r="F829" s="111"/>
      <c r="G829" s="112"/>
      <c r="H829" s="112"/>
      <c r="I829" s="112"/>
      <c r="J829" s="112"/>
    </row>
    <row r="830" spans="6:10" x14ac:dyDescent="0.2">
      <c r="F830" s="111"/>
      <c r="G830" s="112"/>
      <c r="H830" s="112"/>
      <c r="I830" s="112"/>
      <c r="J830" s="112"/>
    </row>
    <row r="831" spans="6:10" x14ac:dyDescent="0.2">
      <c r="F831" s="111"/>
      <c r="G831" s="112"/>
      <c r="H831" s="112"/>
      <c r="I831" s="112"/>
      <c r="J831" s="112"/>
    </row>
    <row r="832" spans="6:10" x14ac:dyDescent="0.2">
      <c r="F832" s="111"/>
      <c r="G832" s="112"/>
      <c r="H832" s="112"/>
      <c r="I832" s="112"/>
      <c r="J832" s="112"/>
    </row>
    <row r="833" spans="6:10" x14ac:dyDescent="0.2">
      <c r="F833" s="111"/>
      <c r="G833" s="112"/>
      <c r="H833" s="112"/>
      <c r="I833" s="112"/>
      <c r="J833" s="112"/>
    </row>
    <row r="834" spans="6:10" x14ac:dyDescent="0.2">
      <c r="F834" s="111"/>
      <c r="G834" s="112"/>
      <c r="H834" s="112"/>
      <c r="I834" s="112"/>
      <c r="J834" s="112"/>
    </row>
    <row r="835" spans="6:10" x14ac:dyDescent="0.2">
      <c r="F835" s="111"/>
      <c r="G835" s="112"/>
      <c r="H835" s="112"/>
      <c r="I835" s="112"/>
      <c r="J835" s="112"/>
    </row>
    <row r="836" spans="6:10" x14ac:dyDescent="0.2">
      <c r="F836" s="111"/>
      <c r="G836" s="112"/>
      <c r="H836" s="112"/>
      <c r="I836" s="112"/>
      <c r="J836" s="112"/>
    </row>
    <row r="837" spans="6:10" x14ac:dyDescent="0.2">
      <c r="F837" s="111"/>
      <c r="G837" s="112"/>
      <c r="H837" s="112"/>
      <c r="I837" s="112"/>
      <c r="J837" s="112"/>
    </row>
    <row r="838" spans="6:10" x14ac:dyDescent="0.2">
      <c r="F838" s="111"/>
      <c r="G838" s="112"/>
      <c r="H838" s="112"/>
      <c r="I838" s="112"/>
      <c r="J838" s="112"/>
    </row>
    <row r="839" spans="6:10" x14ac:dyDescent="0.2">
      <c r="F839" s="111"/>
      <c r="G839" s="112"/>
      <c r="H839" s="112"/>
      <c r="I839" s="112"/>
      <c r="J839" s="112"/>
    </row>
    <row r="840" spans="6:10" x14ac:dyDescent="0.2">
      <c r="F840" s="111"/>
      <c r="G840" s="112"/>
      <c r="H840" s="112"/>
      <c r="I840" s="112"/>
      <c r="J840" s="112"/>
    </row>
    <row r="841" spans="6:10" x14ac:dyDescent="0.2">
      <c r="F841" s="111"/>
      <c r="G841" s="112"/>
      <c r="H841" s="112"/>
      <c r="I841" s="112"/>
      <c r="J841" s="112"/>
    </row>
    <row r="842" spans="6:10" x14ac:dyDescent="0.2">
      <c r="F842" s="111"/>
      <c r="G842" s="112"/>
      <c r="H842" s="112"/>
      <c r="I842" s="112"/>
      <c r="J842" s="112"/>
    </row>
    <row r="843" spans="6:10" x14ac:dyDescent="0.2">
      <c r="F843" s="111"/>
      <c r="G843" s="112"/>
      <c r="H843" s="112"/>
      <c r="I843" s="112"/>
      <c r="J843" s="112"/>
    </row>
    <row r="844" spans="6:10" x14ac:dyDescent="0.2">
      <c r="F844" s="111"/>
      <c r="G844" s="112"/>
      <c r="H844" s="112"/>
      <c r="I844" s="112"/>
      <c r="J844" s="112"/>
    </row>
    <row r="845" spans="6:10" x14ac:dyDescent="0.2">
      <c r="F845" s="111"/>
      <c r="G845" s="112"/>
      <c r="H845" s="112"/>
      <c r="I845" s="112"/>
      <c r="J845" s="112"/>
    </row>
    <row r="846" spans="6:10" x14ac:dyDescent="0.2">
      <c r="F846" s="111"/>
      <c r="G846" s="112"/>
      <c r="H846" s="112"/>
      <c r="I846" s="112"/>
      <c r="J846" s="112"/>
    </row>
    <row r="847" spans="6:10" x14ac:dyDescent="0.2">
      <c r="F847" s="111"/>
      <c r="G847" s="112"/>
      <c r="H847" s="112"/>
      <c r="I847" s="112"/>
      <c r="J847" s="112"/>
    </row>
    <row r="848" spans="6:10" x14ac:dyDescent="0.2">
      <c r="F848" s="111"/>
      <c r="G848" s="112"/>
      <c r="H848" s="112"/>
      <c r="I848" s="112"/>
      <c r="J848" s="112"/>
    </row>
    <row r="849" spans="6:10" x14ac:dyDescent="0.2">
      <c r="F849" s="111"/>
      <c r="G849" s="112"/>
      <c r="H849" s="112"/>
      <c r="I849" s="112"/>
      <c r="J849" s="112"/>
    </row>
    <row r="850" spans="6:10" x14ac:dyDescent="0.2">
      <c r="F850" s="111"/>
      <c r="G850" s="112"/>
      <c r="H850" s="112"/>
      <c r="I850" s="112"/>
      <c r="J850" s="112"/>
    </row>
    <row r="851" spans="6:10" x14ac:dyDescent="0.2">
      <c r="F851" s="111"/>
      <c r="G851" s="112"/>
      <c r="H851" s="112"/>
      <c r="I851" s="112"/>
      <c r="J851" s="112"/>
    </row>
    <row r="852" spans="6:10" x14ac:dyDescent="0.2">
      <c r="F852" s="111"/>
      <c r="G852" s="112"/>
      <c r="H852" s="112"/>
      <c r="I852" s="112"/>
      <c r="J852" s="112"/>
    </row>
    <row r="853" spans="6:10" x14ac:dyDescent="0.2">
      <c r="F853" s="111"/>
      <c r="G853" s="112"/>
      <c r="H853" s="112"/>
      <c r="I853" s="112"/>
      <c r="J853" s="112"/>
    </row>
    <row r="854" spans="6:10" x14ac:dyDescent="0.2">
      <c r="F854" s="111"/>
      <c r="G854" s="112"/>
      <c r="H854" s="112"/>
      <c r="I854" s="112"/>
      <c r="J854" s="112"/>
    </row>
    <row r="855" spans="6:10" x14ac:dyDescent="0.2">
      <c r="F855" s="111"/>
      <c r="G855" s="112"/>
      <c r="H855" s="112"/>
      <c r="I855" s="112"/>
      <c r="J855" s="112"/>
    </row>
    <row r="856" spans="6:10" x14ac:dyDescent="0.2">
      <c r="F856" s="111"/>
      <c r="G856" s="112"/>
      <c r="H856" s="112"/>
      <c r="I856" s="112"/>
      <c r="J856" s="112"/>
    </row>
    <row r="857" spans="6:10" x14ac:dyDescent="0.2">
      <c r="F857" s="111"/>
      <c r="G857" s="112"/>
      <c r="H857" s="112"/>
      <c r="I857" s="112"/>
      <c r="J857" s="112"/>
    </row>
    <row r="858" spans="6:10" x14ac:dyDescent="0.2">
      <c r="F858" s="111"/>
      <c r="G858" s="112"/>
      <c r="H858" s="112"/>
      <c r="I858" s="112"/>
      <c r="J858" s="112"/>
    </row>
    <row r="859" spans="6:10" x14ac:dyDescent="0.2">
      <c r="F859" s="111"/>
      <c r="G859" s="112"/>
      <c r="H859" s="112"/>
      <c r="I859" s="112"/>
      <c r="J859" s="112"/>
    </row>
    <row r="860" spans="6:10" x14ac:dyDescent="0.2">
      <c r="F860" s="111"/>
      <c r="G860" s="112"/>
      <c r="H860" s="112"/>
      <c r="I860" s="112"/>
      <c r="J860" s="112"/>
    </row>
    <row r="861" spans="6:10" x14ac:dyDescent="0.2">
      <c r="F861" s="111"/>
      <c r="G861" s="112"/>
      <c r="H861" s="112"/>
      <c r="I861" s="112"/>
      <c r="J861" s="112"/>
    </row>
    <row r="862" spans="6:10" x14ac:dyDescent="0.2">
      <c r="F862" s="111"/>
      <c r="G862" s="112"/>
      <c r="H862" s="112"/>
      <c r="I862" s="112"/>
      <c r="J862" s="112"/>
    </row>
    <row r="863" spans="6:10" x14ac:dyDescent="0.2">
      <c r="F863" s="111"/>
      <c r="G863" s="112"/>
      <c r="H863" s="112"/>
      <c r="I863" s="112"/>
      <c r="J863" s="112"/>
    </row>
    <row r="864" spans="6:10" x14ac:dyDescent="0.2">
      <c r="F864" s="111"/>
      <c r="G864" s="112"/>
      <c r="H864" s="112"/>
      <c r="I864" s="112"/>
      <c r="J864" s="112"/>
    </row>
    <row r="865" spans="6:10" x14ac:dyDescent="0.2">
      <c r="F865" s="111"/>
      <c r="G865" s="112"/>
      <c r="H865" s="112"/>
      <c r="I865" s="112"/>
      <c r="J865" s="112"/>
    </row>
    <row r="866" spans="6:10" x14ac:dyDescent="0.2">
      <c r="F866" s="111"/>
      <c r="G866" s="112"/>
      <c r="H866" s="112"/>
      <c r="I866" s="112"/>
      <c r="J866" s="112"/>
    </row>
    <row r="867" spans="6:10" x14ac:dyDescent="0.2">
      <c r="F867" s="111"/>
      <c r="G867" s="112"/>
      <c r="H867" s="112"/>
      <c r="I867" s="112"/>
      <c r="J867" s="112"/>
    </row>
    <row r="868" spans="6:10" x14ac:dyDescent="0.2">
      <c r="F868" s="111"/>
      <c r="G868" s="112"/>
      <c r="H868" s="112"/>
      <c r="I868" s="112"/>
      <c r="J868" s="112"/>
    </row>
    <row r="869" spans="6:10" x14ac:dyDescent="0.2">
      <c r="F869" s="111"/>
      <c r="G869" s="112"/>
      <c r="H869" s="112"/>
      <c r="I869" s="112"/>
      <c r="J869" s="112"/>
    </row>
    <row r="870" spans="6:10" x14ac:dyDescent="0.2">
      <c r="F870" s="111"/>
      <c r="G870" s="112"/>
      <c r="H870" s="112"/>
      <c r="I870" s="112"/>
      <c r="J870" s="112"/>
    </row>
    <row r="871" spans="6:10" x14ac:dyDescent="0.2">
      <c r="F871" s="111"/>
      <c r="G871" s="112"/>
      <c r="H871" s="112"/>
      <c r="I871" s="112"/>
      <c r="J871" s="112"/>
    </row>
    <row r="872" spans="6:10" x14ac:dyDescent="0.2">
      <c r="F872" s="111"/>
      <c r="G872" s="112"/>
      <c r="H872" s="112"/>
      <c r="I872" s="112"/>
      <c r="J872" s="112"/>
    </row>
    <row r="873" spans="6:10" x14ac:dyDescent="0.2">
      <c r="F873" s="111"/>
      <c r="G873" s="112"/>
      <c r="H873" s="112"/>
      <c r="I873" s="112"/>
      <c r="J873" s="112"/>
    </row>
    <row r="874" spans="6:10" x14ac:dyDescent="0.2">
      <c r="F874" s="111"/>
      <c r="G874" s="112"/>
      <c r="H874" s="112"/>
      <c r="I874" s="112"/>
      <c r="J874" s="112"/>
    </row>
    <row r="875" spans="6:10" x14ac:dyDescent="0.2">
      <c r="F875" s="111"/>
      <c r="G875" s="112"/>
      <c r="H875" s="112"/>
      <c r="I875" s="112"/>
      <c r="J875" s="112"/>
    </row>
    <row r="876" spans="6:10" x14ac:dyDescent="0.2">
      <c r="F876" s="111"/>
      <c r="G876" s="112"/>
      <c r="H876" s="112"/>
      <c r="I876" s="112"/>
      <c r="J876" s="112"/>
    </row>
    <row r="877" spans="6:10" x14ac:dyDescent="0.2">
      <c r="F877" s="111"/>
      <c r="G877" s="112"/>
      <c r="H877" s="112"/>
      <c r="I877" s="112"/>
      <c r="J877" s="112"/>
    </row>
    <row r="878" spans="6:10" x14ac:dyDescent="0.2">
      <c r="F878" s="111"/>
      <c r="G878" s="112"/>
      <c r="H878" s="112"/>
      <c r="I878" s="112"/>
      <c r="J878" s="112"/>
    </row>
    <row r="879" spans="6:10" x14ac:dyDescent="0.2">
      <c r="F879" s="111"/>
      <c r="G879" s="112"/>
      <c r="H879" s="112"/>
      <c r="I879" s="112"/>
      <c r="J879" s="112"/>
    </row>
    <row r="880" spans="6:10" x14ac:dyDescent="0.2">
      <c r="F880" s="111"/>
      <c r="G880" s="112"/>
      <c r="H880" s="112"/>
      <c r="I880" s="112"/>
      <c r="J880" s="112"/>
    </row>
    <row r="881" spans="6:10" x14ac:dyDescent="0.2">
      <c r="F881" s="111"/>
      <c r="G881" s="112"/>
      <c r="H881" s="112"/>
      <c r="I881" s="112"/>
      <c r="J881" s="112"/>
    </row>
    <row r="882" spans="6:10" x14ac:dyDescent="0.2">
      <c r="F882" s="111"/>
      <c r="G882" s="112"/>
      <c r="H882" s="112"/>
      <c r="I882" s="112"/>
      <c r="J882" s="112"/>
    </row>
    <row r="883" spans="6:10" x14ac:dyDescent="0.2">
      <c r="F883" s="111"/>
      <c r="G883" s="112"/>
      <c r="H883" s="112"/>
      <c r="I883" s="112"/>
      <c r="J883" s="112"/>
    </row>
    <row r="884" spans="6:10" x14ac:dyDescent="0.2">
      <c r="F884" s="111"/>
      <c r="G884" s="112"/>
      <c r="H884" s="112"/>
      <c r="I884" s="112"/>
      <c r="J884" s="112"/>
    </row>
    <row r="885" spans="6:10" x14ac:dyDescent="0.2">
      <c r="F885" s="111"/>
      <c r="G885" s="112"/>
      <c r="H885" s="112"/>
      <c r="I885" s="112"/>
      <c r="J885" s="112"/>
    </row>
    <row r="886" spans="6:10" x14ac:dyDescent="0.2">
      <c r="F886" s="111"/>
      <c r="G886" s="112"/>
      <c r="H886" s="112"/>
      <c r="I886" s="112"/>
      <c r="J886" s="112"/>
    </row>
    <row r="887" spans="6:10" x14ac:dyDescent="0.2">
      <c r="F887" s="111"/>
      <c r="G887" s="112"/>
      <c r="H887" s="112"/>
      <c r="I887" s="112"/>
      <c r="J887" s="112"/>
    </row>
    <row r="888" spans="6:10" x14ac:dyDescent="0.2">
      <c r="F888" s="111"/>
      <c r="G888" s="112"/>
      <c r="H888" s="112"/>
      <c r="I888" s="112"/>
      <c r="J888" s="112"/>
    </row>
    <row r="889" spans="6:10" x14ac:dyDescent="0.2">
      <c r="F889" s="111"/>
      <c r="G889" s="112"/>
      <c r="H889" s="112"/>
      <c r="I889" s="112"/>
      <c r="J889" s="112"/>
    </row>
    <row r="890" spans="6:10" x14ac:dyDescent="0.2">
      <c r="F890" s="111"/>
      <c r="G890" s="112"/>
      <c r="H890" s="112"/>
      <c r="I890" s="112"/>
      <c r="J890" s="112"/>
    </row>
    <row r="891" spans="6:10" x14ac:dyDescent="0.2">
      <c r="F891" s="111"/>
      <c r="G891" s="112"/>
      <c r="H891" s="112"/>
      <c r="I891" s="112"/>
      <c r="J891" s="112"/>
    </row>
    <row r="892" spans="6:10" x14ac:dyDescent="0.2">
      <c r="F892" s="111"/>
      <c r="G892" s="112"/>
      <c r="H892" s="112"/>
      <c r="I892" s="112"/>
      <c r="J892" s="112"/>
    </row>
    <row r="893" spans="6:10" x14ac:dyDescent="0.2">
      <c r="F893" s="111"/>
      <c r="G893" s="112"/>
      <c r="H893" s="112"/>
      <c r="I893" s="112"/>
      <c r="J893" s="112"/>
    </row>
    <row r="894" spans="6:10" x14ac:dyDescent="0.2">
      <c r="F894" s="111"/>
      <c r="G894" s="112"/>
      <c r="H894" s="112"/>
      <c r="I894" s="112"/>
      <c r="J894" s="112"/>
    </row>
    <row r="895" spans="6:10" x14ac:dyDescent="0.2">
      <c r="F895" s="111"/>
      <c r="G895" s="112"/>
      <c r="H895" s="112"/>
      <c r="I895" s="112"/>
      <c r="J895" s="112"/>
    </row>
    <row r="896" spans="6:10" x14ac:dyDescent="0.2">
      <c r="F896" s="111"/>
      <c r="G896" s="112"/>
      <c r="H896" s="112"/>
      <c r="I896" s="112"/>
      <c r="J896" s="112"/>
    </row>
    <row r="897" spans="6:10" x14ac:dyDescent="0.2">
      <c r="F897" s="111"/>
      <c r="G897" s="112"/>
      <c r="H897" s="112"/>
      <c r="I897" s="112"/>
      <c r="J897" s="112"/>
    </row>
    <row r="898" spans="6:10" x14ac:dyDescent="0.2">
      <c r="F898" s="111"/>
      <c r="G898" s="112"/>
      <c r="H898" s="112"/>
      <c r="I898" s="112"/>
      <c r="J898" s="112"/>
    </row>
    <row r="899" spans="6:10" x14ac:dyDescent="0.2">
      <c r="F899" s="111"/>
      <c r="G899" s="112"/>
      <c r="H899" s="112"/>
      <c r="I899" s="112"/>
      <c r="J899" s="112"/>
    </row>
    <row r="900" spans="6:10" x14ac:dyDescent="0.2">
      <c r="F900" s="111"/>
      <c r="G900" s="112"/>
      <c r="H900" s="112"/>
      <c r="I900" s="112"/>
      <c r="J900" s="112"/>
    </row>
    <row r="901" spans="6:10" x14ac:dyDescent="0.2">
      <c r="F901" s="111"/>
      <c r="G901" s="112"/>
      <c r="H901" s="112"/>
      <c r="I901" s="112"/>
      <c r="J901" s="112"/>
    </row>
    <row r="902" spans="6:10" x14ac:dyDescent="0.2">
      <c r="F902" s="111"/>
      <c r="G902" s="112"/>
      <c r="H902" s="112"/>
      <c r="I902" s="112"/>
      <c r="J902" s="112"/>
    </row>
    <row r="903" spans="6:10" x14ac:dyDescent="0.2">
      <c r="F903" s="111"/>
      <c r="G903" s="112"/>
      <c r="H903" s="112"/>
      <c r="I903" s="112"/>
      <c r="J903" s="112"/>
    </row>
    <row r="904" spans="6:10" x14ac:dyDescent="0.2">
      <c r="F904" s="111"/>
      <c r="G904" s="112"/>
      <c r="H904" s="112"/>
      <c r="I904" s="112"/>
      <c r="J904" s="112"/>
    </row>
    <row r="905" spans="6:10" x14ac:dyDescent="0.2">
      <c r="F905" s="111"/>
      <c r="G905" s="112"/>
      <c r="H905" s="112"/>
      <c r="I905" s="112"/>
      <c r="J905" s="112"/>
    </row>
    <row r="906" spans="6:10" x14ac:dyDescent="0.2">
      <c r="F906" s="111"/>
      <c r="G906" s="112"/>
      <c r="H906" s="112"/>
      <c r="I906" s="112"/>
      <c r="J906" s="112"/>
    </row>
    <row r="907" spans="6:10" x14ac:dyDescent="0.2">
      <c r="F907" s="111"/>
      <c r="G907" s="112"/>
      <c r="H907" s="112"/>
      <c r="I907" s="112"/>
      <c r="J907" s="112"/>
    </row>
    <row r="908" spans="6:10" x14ac:dyDescent="0.2">
      <c r="F908" s="111"/>
      <c r="G908" s="112"/>
      <c r="H908" s="112"/>
      <c r="I908" s="112"/>
      <c r="J908" s="112"/>
    </row>
    <row r="909" spans="6:10" x14ac:dyDescent="0.2">
      <c r="F909" s="111"/>
      <c r="G909" s="112"/>
      <c r="H909" s="112"/>
      <c r="I909" s="112"/>
      <c r="J909" s="112"/>
    </row>
    <row r="910" spans="6:10" x14ac:dyDescent="0.2">
      <c r="F910" s="111"/>
      <c r="G910" s="112"/>
      <c r="H910" s="112"/>
      <c r="I910" s="112"/>
      <c r="J910" s="112"/>
    </row>
    <row r="911" spans="6:10" x14ac:dyDescent="0.2">
      <c r="F911" s="111"/>
      <c r="G911" s="112"/>
      <c r="H911" s="112"/>
      <c r="I911" s="112"/>
      <c r="J911" s="112"/>
    </row>
    <row r="912" spans="6:10" x14ac:dyDescent="0.2">
      <c r="F912" s="111"/>
      <c r="G912" s="112"/>
      <c r="H912" s="112"/>
      <c r="I912" s="112"/>
      <c r="J912" s="112"/>
    </row>
    <row r="913" spans="6:10" x14ac:dyDescent="0.2">
      <c r="F913" s="111"/>
      <c r="G913" s="112"/>
      <c r="H913" s="112"/>
      <c r="I913" s="112"/>
      <c r="J913" s="112"/>
    </row>
    <row r="914" spans="6:10" x14ac:dyDescent="0.2">
      <c r="F914" s="111"/>
      <c r="G914" s="112"/>
      <c r="H914" s="112"/>
      <c r="I914" s="112"/>
      <c r="J914" s="112"/>
    </row>
    <row r="915" spans="6:10" x14ac:dyDescent="0.2">
      <c r="F915" s="111"/>
      <c r="G915" s="112"/>
      <c r="H915" s="112"/>
      <c r="I915" s="112"/>
      <c r="J915" s="112"/>
    </row>
    <row r="916" spans="6:10" x14ac:dyDescent="0.2">
      <c r="F916" s="111"/>
      <c r="G916" s="112"/>
      <c r="H916" s="112"/>
      <c r="I916" s="112"/>
      <c r="J916" s="112"/>
    </row>
    <row r="917" spans="6:10" x14ac:dyDescent="0.2">
      <c r="F917" s="111"/>
      <c r="G917" s="112"/>
      <c r="H917" s="112"/>
      <c r="I917" s="112"/>
      <c r="J917" s="112"/>
    </row>
    <row r="918" spans="6:10" x14ac:dyDescent="0.2">
      <c r="F918" s="111"/>
      <c r="G918" s="112"/>
      <c r="H918" s="112"/>
      <c r="I918" s="112"/>
      <c r="J918" s="112"/>
    </row>
    <row r="919" spans="6:10" x14ac:dyDescent="0.2">
      <c r="F919" s="111"/>
      <c r="G919" s="112"/>
      <c r="H919" s="112"/>
      <c r="I919" s="112"/>
      <c r="J919" s="112"/>
    </row>
    <row r="920" spans="6:10" x14ac:dyDescent="0.2">
      <c r="F920" s="111"/>
      <c r="G920" s="112"/>
      <c r="H920" s="112"/>
      <c r="I920" s="112"/>
      <c r="J920" s="112"/>
    </row>
    <row r="921" spans="6:10" x14ac:dyDescent="0.2">
      <c r="F921" s="111"/>
      <c r="G921" s="112"/>
      <c r="H921" s="112"/>
      <c r="I921" s="112"/>
      <c r="J921" s="112"/>
    </row>
    <row r="922" spans="6:10" x14ac:dyDescent="0.2">
      <c r="F922" s="111"/>
      <c r="G922" s="112"/>
      <c r="H922" s="112"/>
      <c r="I922" s="112"/>
      <c r="J922" s="112"/>
    </row>
    <row r="923" spans="6:10" x14ac:dyDescent="0.2">
      <c r="F923" s="111"/>
      <c r="G923" s="112"/>
      <c r="H923" s="112"/>
      <c r="I923" s="112"/>
      <c r="J923" s="112"/>
    </row>
    <row r="924" spans="6:10" x14ac:dyDescent="0.2">
      <c r="F924" s="111"/>
      <c r="G924" s="112"/>
      <c r="H924" s="112"/>
      <c r="I924" s="112"/>
      <c r="J924" s="112"/>
    </row>
    <row r="925" spans="6:10" x14ac:dyDescent="0.2">
      <c r="F925" s="111"/>
      <c r="G925" s="112"/>
      <c r="H925" s="112"/>
      <c r="I925" s="112"/>
      <c r="J925" s="112"/>
    </row>
    <row r="926" spans="6:10" x14ac:dyDescent="0.2">
      <c r="F926" s="111"/>
      <c r="G926" s="112"/>
      <c r="H926" s="112"/>
      <c r="I926" s="112"/>
      <c r="J926" s="112"/>
    </row>
    <row r="927" spans="6:10" x14ac:dyDescent="0.2">
      <c r="F927" s="111"/>
      <c r="G927" s="112"/>
      <c r="H927" s="112"/>
      <c r="I927" s="112"/>
      <c r="J927" s="112"/>
    </row>
    <row r="928" spans="6:10" x14ac:dyDescent="0.2">
      <c r="F928" s="111"/>
      <c r="G928" s="112"/>
      <c r="H928" s="112"/>
      <c r="I928" s="112"/>
      <c r="J928" s="112"/>
    </row>
    <row r="929" spans="6:10" x14ac:dyDescent="0.2">
      <c r="F929" s="111"/>
      <c r="G929" s="112"/>
      <c r="H929" s="112"/>
      <c r="I929" s="112"/>
      <c r="J929" s="112"/>
    </row>
    <row r="930" spans="6:10" x14ac:dyDescent="0.2">
      <c r="F930" s="111"/>
      <c r="G930" s="112"/>
      <c r="H930" s="112"/>
      <c r="I930" s="112"/>
      <c r="J930" s="112"/>
    </row>
    <row r="931" spans="6:10" x14ac:dyDescent="0.2">
      <c r="F931" s="111"/>
      <c r="G931" s="112"/>
      <c r="H931" s="112"/>
      <c r="I931" s="112"/>
      <c r="J931" s="112"/>
    </row>
    <row r="932" spans="6:10" x14ac:dyDescent="0.2">
      <c r="F932" s="111"/>
      <c r="G932" s="112"/>
      <c r="H932" s="112"/>
      <c r="I932" s="112"/>
      <c r="J932" s="112"/>
    </row>
    <row r="933" spans="6:10" x14ac:dyDescent="0.2">
      <c r="F933" s="111"/>
      <c r="G933" s="112"/>
      <c r="H933" s="112"/>
      <c r="I933" s="112"/>
      <c r="J933" s="112"/>
    </row>
    <row r="934" spans="6:10" x14ac:dyDescent="0.2">
      <c r="F934" s="111"/>
      <c r="G934" s="112"/>
      <c r="H934" s="112"/>
      <c r="I934" s="112"/>
      <c r="J934" s="112"/>
    </row>
    <row r="935" spans="6:10" x14ac:dyDescent="0.2">
      <c r="F935" s="111"/>
      <c r="G935" s="112"/>
      <c r="H935" s="112"/>
      <c r="I935" s="112"/>
      <c r="J935" s="112"/>
    </row>
    <row r="936" spans="6:10" x14ac:dyDescent="0.2">
      <c r="F936" s="111"/>
      <c r="G936" s="112"/>
      <c r="H936" s="112"/>
      <c r="I936" s="112"/>
      <c r="J936" s="112"/>
    </row>
    <row r="937" spans="6:10" x14ac:dyDescent="0.2">
      <c r="F937" s="111"/>
      <c r="G937" s="112"/>
      <c r="H937" s="112"/>
      <c r="I937" s="112"/>
      <c r="J937" s="112"/>
    </row>
    <row r="938" spans="6:10" x14ac:dyDescent="0.2">
      <c r="F938" s="111"/>
      <c r="G938" s="112"/>
      <c r="H938" s="112"/>
      <c r="I938" s="112"/>
      <c r="J938" s="112"/>
    </row>
    <row r="939" spans="6:10" x14ac:dyDescent="0.2">
      <c r="F939" s="111"/>
      <c r="G939" s="112"/>
      <c r="H939" s="112"/>
      <c r="I939" s="112"/>
      <c r="J939" s="112"/>
    </row>
    <row r="940" spans="6:10" x14ac:dyDescent="0.2">
      <c r="F940" s="111"/>
      <c r="G940" s="112"/>
      <c r="H940" s="112"/>
      <c r="I940" s="112"/>
      <c r="J940" s="112"/>
    </row>
    <row r="941" spans="6:10" x14ac:dyDescent="0.2">
      <c r="F941" s="111"/>
      <c r="G941" s="112"/>
      <c r="H941" s="112"/>
      <c r="I941" s="112"/>
      <c r="J941" s="112"/>
    </row>
    <row r="942" spans="6:10" x14ac:dyDescent="0.2">
      <c r="F942" s="111"/>
      <c r="G942" s="112"/>
      <c r="H942" s="112"/>
      <c r="I942" s="112"/>
      <c r="J942" s="112"/>
    </row>
    <row r="943" spans="6:10" x14ac:dyDescent="0.2">
      <c r="F943" s="111"/>
      <c r="G943" s="112"/>
      <c r="H943" s="112"/>
      <c r="I943" s="112"/>
      <c r="J943" s="112"/>
    </row>
    <row r="944" spans="6:10" x14ac:dyDescent="0.2">
      <c r="F944" s="111"/>
      <c r="G944" s="112"/>
      <c r="H944" s="112"/>
      <c r="I944" s="112"/>
      <c r="J944" s="112"/>
    </row>
    <row r="945" spans="6:10" x14ac:dyDescent="0.2">
      <c r="F945" s="111"/>
      <c r="G945" s="112"/>
      <c r="H945" s="112"/>
      <c r="I945" s="112"/>
      <c r="J945" s="112"/>
    </row>
    <row r="946" spans="6:10" x14ac:dyDescent="0.2">
      <c r="F946" s="111"/>
      <c r="G946" s="112"/>
      <c r="H946" s="112"/>
      <c r="I946" s="112"/>
      <c r="J946" s="112"/>
    </row>
    <row r="947" spans="6:10" x14ac:dyDescent="0.2">
      <c r="F947" s="111"/>
      <c r="G947" s="112"/>
      <c r="H947" s="112"/>
      <c r="I947" s="112"/>
      <c r="J947" s="112"/>
    </row>
    <row r="948" spans="6:10" x14ac:dyDescent="0.2">
      <c r="F948" s="111"/>
      <c r="G948" s="112"/>
      <c r="H948" s="112"/>
      <c r="I948" s="112"/>
      <c r="J948" s="112"/>
    </row>
    <row r="949" spans="6:10" x14ac:dyDescent="0.2">
      <c r="F949" s="111"/>
      <c r="G949" s="112"/>
      <c r="H949" s="112"/>
      <c r="I949" s="112"/>
      <c r="J949" s="112"/>
    </row>
    <row r="950" spans="6:10" x14ac:dyDescent="0.2">
      <c r="F950" s="111"/>
      <c r="G950" s="112"/>
      <c r="H950" s="112"/>
      <c r="I950" s="112"/>
      <c r="J950" s="112"/>
    </row>
    <row r="951" spans="6:10" x14ac:dyDescent="0.2">
      <c r="F951" s="111"/>
      <c r="G951" s="112"/>
      <c r="H951" s="112"/>
      <c r="I951" s="112"/>
      <c r="J951" s="112"/>
    </row>
    <row r="952" spans="6:10" x14ac:dyDescent="0.2">
      <c r="F952" s="111"/>
      <c r="G952" s="112"/>
      <c r="H952" s="112"/>
      <c r="I952" s="112"/>
      <c r="J952" s="112"/>
    </row>
    <row r="953" spans="6:10" x14ac:dyDescent="0.2">
      <c r="F953" s="111"/>
      <c r="G953" s="112"/>
      <c r="H953" s="112"/>
      <c r="I953" s="112"/>
      <c r="J953" s="112"/>
    </row>
    <row r="954" spans="6:10" x14ac:dyDescent="0.2">
      <c r="F954" s="111"/>
      <c r="G954" s="112"/>
      <c r="H954" s="112"/>
      <c r="I954" s="112"/>
      <c r="J954" s="112"/>
    </row>
    <row r="955" spans="6:10" x14ac:dyDescent="0.2">
      <c r="F955" s="111"/>
      <c r="G955" s="112"/>
      <c r="H955" s="112"/>
      <c r="I955" s="112"/>
      <c r="J955" s="112"/>
    </row>
    <row r="956" spans="6:10" x14ac:dyDescent="0.2">
      <c r="F956" s="111"/>
      <c r="G956" s="112"/>
      <c r="H956" s="112"/>
      <c r="I956" s="112"/>
      <c r="J956" s="112"/>
    </row>
    <row r="957" spans="6:10" x14ac:dyDescent="0.2">
      <c r="F957" s="111"/>
      <c r="G957" s="112"/>
      <c r="H957" s="112"/>
      <c r="I957" s="112"/>
      <c r="J957" s="112"/>
    </row>
    <row r="958" spans="6:10" x14ac:dyDescent="0.2">
      <c r="F958" s="111"/>
      <c r="G958" s="112"/>
      <c r="H958" s="112"/>
      <c r="I958" s="112"/>
      <c r="J958" s="112"/>
    </row>
    <row r="959" spans="6:10" x14ac:dyDescent="0.2">
      <c r="F959" s="111"/>
      <c r="G959" s="112"/>
      <c r="H959" s="112"/>
      <c r="I959" s="112"/>
      <c r="J959" s="112"/>
    </row>
    <row r="960" spans="6:10" x14ac:dyDescent="0.2">
      <c r="F960" s="111"/>
      <c r="G960" s="112"/>
      <c r="H960" s="112"/>
      <c r="I960" s="112"/>
      <c r="J960" s="112"/>
    </row>
    <row r="961" spans="6:10" x14ac:dyDescent="0.2">
      <c r="F961" s="111"/>
      <c r="G961" s="112"/>
      <c r="H961" s="112"/>
      <c r="I961" s="112"/>
      <c r="J961" s="112"/>
    </row>
    <row r="962" spans="6:10" x14ac:dyDescent="0.2">
      <c r="F962" s="111"/>
      <c r="G962" s="112"/>
      <c r="H962" s="112"/>
      <c r="I962" s="112"/>
      <c r="J962" s="112"/>
    </row>
    <row r="963" spans="6:10" x14ac:dyDescent="0.2">
      <c r="F963" s="111"/>
      <c r="G963" s="112"/>
      <c r="H963" s="112"/>
      <c r="I963" s="112"/>
      <c r="J963" s="112"/>
    </row>
    <row r="964" spans="6:10" x14ac:dyDescent="0.2">
      <c r="F964" s="111"/>
      <c r="G964" s="112"/>
      <c r="H964" s="112"/>
      <c r="I964" s="112"/>
      <c r="J964" s="112"/>
    </row>
    <row r="965" spans="6:10" x14ac:dyDescent="0.2">
      <c r="F965" s="111"/>
      <c r="G965" s="112"/>
      <c r="H965" s="112"/>
      <c r="I965" s="112"/>
      <c r="J965" s="112"/>
    </row>
    <row r="966" spans="6:10" x14ac:dyDescent="0.2">
      <c r="F966" s="111"/>
      <c r="G966" s="112"/>
      <c r="H966" s="112"/>
      <c r="I966" s="112"/>
      <c r="J966" s="112"/>
    </row>
    <row r="967" spans="6:10" x14ac:dyDescent="0.2">
      <c r="F967" s="111"/>
      <c r="G967" s="112"/>
      <c r="H967" s="112"/>
      <c r="I967" s="112"/>
      <c r="J967" s="112"/>
    </row>
    <row r="968" spans="6:10" x14ac:dyDescent="0.2">
      <c r="F968" s="111"/>
      <c r="G968" s="112"/>
      <c r="H968" s="112"/>
      <c r="I968" s="112"/>
      <c r="J968" s="112"/>
    </row>
    <row r="969" spans="6:10" x14ac:dyDescent="0.2">
      <c r="F969" s="111"/>
      <c r="G969" s="112"/>
      <c r="H969" s="112"/>
      <c r="I969" s="112"/>
      <c r="J969" s="112"/>
    </row>
    <row r="970" spans="6:10" x14ac:dyDescent="0.2">
      <c r="F970" s="111"/>
      <c r="G970" s="112"/>
      <c r="H970" s="112"/>
      <c r="I970" s="112"/>
      <c r="J970" s="112"/>
    </row>
    <row r="971" spans="6:10" x14ac:dyDescent="0.2">
      <c r="F971" s="111"/>
      <c r="G971" s="112"/>
      <c r="H971" s="112"/>
      <c r="I971" s="112"/>
      <c r="J971" s="112"/>
    </row>
    <row r="972" spans="6:10" x14ac:dyDescent="0.2">
      <c r="F972" s="111"/>
      <c r="G972" s="112"/>
      <c r="H972" s="112"/>
      <c r="I972" s="112"/>
      <c r="J972" s="112"/>
    </row>
    <row r="973" spans="6:10" x14ac:dyDescent="0.2">
      <c r="F973" s="111"/>
      <c r="G973" s="112"/>
      <c r="H973" s="112"/>
      <c r="I973" s="112"/>
      <c r="J973" s="112"/>
    </row>
    <row r="974" spans="6:10" x14ac:dyDescent="0.2">
      <c r="F974" s="111"/>
      <c r="G974" s="112"/>
      <c r="H974" s="112"/>
      <c r="I974" s="112"/>
      <c r="J974" s="112"/>
    </row>
    <row r="975" spans="6:10" x14ac:dyDescent="0.2">
      <c r="F975" s="111"/>
      <c r="G975" s="112"/>
      <c r="H975" s="112"/>
      <c r="I975" s="112"/>
      <c r="J975" s="112"/>
    </row>
    <row r="976" spans="6:10" x14ac:dyDescent="0.2">
      <c r="F976" s="111"/>
      <c r="G976" s="112"/>
      <c r="H976" s="112"/>
      <c r="I976" s="112"/>
      <c r="J976" s="112"/>
    </row>
    <row r="977" spans="6:10" x14ac:dyDescent="0.2">
      <c r="F977" s="111"/>
      <c r="G977" s="112"/>
      <c r="H977" s="112"/>
      <c r="I977" s="112"/>
      <c r="J977" s="112"/>
    </row>
    <row r="978" spans="6:10" x14ac:dyDescent="0.2">
      <c r="F978" s="111"/>
      <c r="G978" s="112"/>
      <c r="H978" s="112"/>
      <c r="I978" s="112"/>
      <c r="J978" s="112"/>
    </row>
    <row r="979" spans="6:10" x14ac:dyDescent="0.2">
      <c r="F979" s="111"/>
      <c r="G979" s="112"/>
      <c r="H979" s="112"/>
      <c r="I979" s="112"/>
      <c r="J979" s="112"/>
    </row>
    <row r="980" spans="6:10" x14ac:dyDescent="0.2">
      <c r="F980" s="111"/>
      <c r="G980" s="112"/>
      <c r="H980" s="112"/>
      <c r="I980" s="112"/>
      <c r="J980" s="112"/>
    </row>
    <row r="981" spans="6:10" x14ac:dyDescent="0.2">
      <c r="F981" s="111"/>
      <c r="G981" s="112"/>
      <c r="H981" s="112"/>
      <c r="I981" s="112"/>
      <c r="J981" s="112"/>
    </row>
    <row r="982" spans="6:10" x14ac:dyDescent="0.2">
      <c r="F982" s="111"/>
      <c r="G982" s="112"/>
      <c r="H982" s="112"/>
      <c r="I982" s="112"/>
      <c r="J982" s="112"/>
    </row>
    <row r="983" spans="6:10" x14ac:dyDescent="0.2">
      <c r="F983" s="111"/>
      <c r="G983" s="112"/>
      <c r="H983" s="112"/>
      <c r="I983" s="112"/>
      <c r="J983" s="112"/>
    </row>
    <row r="984" spans="6:10" x14ac:dyDescent="0.2">
      <c r="F984" s="111"/>
      <c r="G984" s="112"/>
      <c r="H984" s="112"/>
      <c r="I984" s="112"/>
      <c r="J984" s="112"/>
    </row>
    <row r="985" spans="6:10" x14ac:dyDescent="0.2">
      <c r="F985" s="111"/>
      <c r="G985" s="112"/>
      <c r="H985" s="112"/>
      <c r="I985" s="112"/>
      <c r="J985" s="112"/>
    </row>
    <row r="986" spans="6:10" x14ac:dyDescent="0.2">
      <c r="F986" s="111"/>
      <c r="G986" s="112"/>
      <c r="H986" s="112"/>
      <c r="I986" s="112"/>
      <c r="J986" s="112"/>
    </row>
    <row r="987" spans="6:10" x14ac:dyDescent="0.2">
      <c r="F987" s="111"/>
      <c r="G987" s="112"/>
      <c r="H987" s="112"/>
      <c r="I987" s="112"/>
      <c r="J987" s="112"/>
    </row>
    <row r="988" spans="6:10" x14ac:dyDescent="0.2">
      <c r="F988" s="111"/>
      <c r="G988" s="112"/>
      <c r="H988" s="112"/>
      <c r="I988" s="112"/>
      <c r="J988" s="112"/>
    </row>
    <row r="989" spans="6:10" x14ac:dyDescent="0.2">
      <c r="F989" s="111"/>
      <c r="G989" s="112"/>
      <c r="H989" s="112"/>
      <c r="I989" s="112"/>
      <c r="J989" s="112"/>
    </row>
    <row r="990" spans="6:10" x14ac:dyDescent="0.2">
      <c r="F990" s="111"/>
      <c r="G990" s="112"/>
      <c r="H990" s="112"/>
      <c r="I990" s="112"/>
      <c r="J990" s="112"/>
    </row>
    <row r="991" spans="6:10" x14ac:dyDescent="0.2">
      <c r="F991" s="111"/>
      <c r="G991" s="112"/>
      <c r="H991" s="112"/>
      <c r="I991" s="112"/>
      <c r="J991" s="112"/>
    </row>
    <row r="992" spans="6:10" x14ac:dyDescent="0.2">
      <c r="F992" s="111"/>
      <c r="G992" s="112"/>
      <c r="H992" s="112"/>
      <c r="I992" s="112"/>
      <c r="J992" s="112"/>
    </row>
    <row r="993" spans="6:10" x14ac:dyDescent="0.2">
      <c r="F993" s="111"/>
      <c r="G993" s="112"/>
      <c r="H993" s="112"/>
      <c r="I993" s="112"/>
      <c r="J993" s="112"/>
    </row>
    <row r="994" spans="6:10" x14ac:dyDescent="0.2">
      <c r="F994" s="111"/>
      <c r="G994" s="112"/>
      <c r="H994" s="112"/>
      <c r="I994" s="112"/>
      <c r="J994" s="112"/>
    </row>
    <row r="995" spans="6:10" x14ac:dyDescent="0.2">
      <c r="F995" s="111"/>
      <c r="G995" s="112"/>
      <c r="H995" s="112"/>
      <c r="I995" s="112"/>
      <c r="J995" s="112"/>
    </row>
    <row r="996" spans="6:10" x14ac:dyDescent="0.2">
      <c r="F996" s="111"/>
      <c r="G996" s="112"/>
      <c r="H996" s="112"/>
      <c r="I996" s="112"/>
      <c r="J996" s="112"/>
    </row>
    <row r="997" spans="6:10" x14ac:dyDescent="0.2">
      <c r="F997" s="111"/>
      <c r="G997" s="112"/>
      <c r="H997" s="112"/>
      <c r="I997" s="112"/>
      <c r="J997" s="112"/>
    </row>
    <row r="998" spans="6:10" x14ac:dyDescent="0.2">
      <c r="F998" s="111"/>
      <c r="G998" s="112"/>
      <c r="H998" s="112"/>
      <c r="I998" s="112"/>
      <c r="J998" s="112"/>
    </row>
    <row r="999" spans="6:10" x14ac:dyDescent="0.2">
      <c r="F999" s="111"/>
      <c r="G999" s="112"/>
      <c r="H999" s="112"/>
      <c r="I999" s="112"/>
      <c r="J999" s="112"/>
    </row>
    <row r="1000" spans="6:10" x14ac:dyDescent="0.2">
      <c r="F1000" s="111"/>
      <c r="G1000" s="112"/>
      <c r="H1000" s="112"/>
      <c r="I1000" s="112"/>
      <c r="J1000" s="112"/>
    </row>
    <row r="1001" spans="6:10" x14ac:dyDescent="0.2">
      <c r="F1001" s="111"/>
      <c r="G1001" s="112"/>
      <c r="H1001" s="112"/>
      <c r="I1001" s="112"/>
      <c r="J1001" s="112"/>
    </row>
    <row r="1002" spans="6:10" x14ac:dyDescent="0.2">
      <c r="F1002" s="111"/>
      <c r="G1002" s="112"/>
      <c r="H1002" s="112"/>
      <c r="I1002" s="112"/>
      <c r="J1002" s="112"/>
    </row>
    <row r="1003" spans="6:10" x14ac:dyDescent="0.2">
      <c r="F1003" s="111"/>
      <c r="G1003" s="112"/>
      <c r="H1003" s="112"/>
      <c r="I1003" s="112"/>
      <c r="J1003" s="112"/>
    </row>
    <row r="1004" spans="6:10" x14ac:dyDescent="0.2">
      <c r="F1004" s="111"/>
      <c r="G1004" s="112"/>
      <c r="H1004" s="112"/>
      <c r="I1004" s="112"/>
      <c r="J1004" s="112"/>
    </row>
    <row r="1005" spans="6:10" x14ac:dyDescent="0.2">
      <c r="F1005" s="111"/>
      <c r="G1005" s="112"/>
      <c r="H1005" s="112"/>
      <c r="I1005" s="112"/>
      <c r="J1005" s="112"/>
    </row>
    <row r="1006" spans="6:10" x14ac:dyDescent="0.2">
      <c r="F1006" s="111"/>
      <c r="G1006" s="112"/>
      <c r="H1006" s="112"/>
      <c r="I1006" s="112"/>
      <c r="J1006" s="112"/>
    </row>
    <row r="1007" spans="6:10" x14ac:dyDescent="0.2">
      <c r="F1007" s="111"/>
      <c r="G1007" s="112"/>
      <c r="H1007" s="112"/>
      <c r="I1007" s="112"/>
      <c r="J1007" s="112"/>
    </row>
    <row r="1008" spans="6:10" x14ac:dyDescent="0.2">
      <c r="F1008" s="111"/>
      <c r="G1008" s="112"/>
      <c r="H1008" s="112"/>
      <c r="I1008" s="112"/>
      <c r="J1008" s="112"/>
    </row>
    <row r="1009" spans="6:10" x14ac:dyDescent="0.2">
      <c r="F1009" s="111"/>
      <c r="G1009" s="112"/>
      <c r="H1009" s="112"/>
      <c r="I1009" s="112"/>
      <c r="J1009" s="112"/>
    </row>
    <row r="1010" spans="6:10" x14ac:dyDescent="0.2">
      <c r="F1010" s="111"/>
      <c r="G1010" s="112"/>
      <c r="H1010" s="112"/>
      <c r="I1010" s="112"/>
      <c r="J1010" s="112"/>
    </row>
    <row r="1011" spans="6:10" x14ac:dyDescent="0.2">
      <c r="F1011" s="111"/>
      <c r="G1011" s="112"/>
      <c r="H1011" s="112"/>
      <c r="I1011" s="112"/>
      <c r="J1011" s="112"/>
    </row>
    <row r="1012" spans="6:10" x14ac:dyDescent="0.2">
      <c r="F1012" s="111"/>
      <c r="G1012" s="112"/>
      <c r="H1012" s="112"/>
      <c r="I1012" s="112"/>
      <c r="J1012" s="112"/>
    </row>
    <row r="1013" spans="6:10" x14ac:dyDescent="0.2">
      <c r="F1013" s="111"/>
      <c r="G1013" s="112"/>
      <c r="H1013" s="112"/>
      <c r="I1013" s="112"/>
      <c r="J1013" s="112"/>
    </row>
    <row r="1014" spans="6:10" x14ac:dyDescent="0.2">
      <c r="F1014" s="111"/>
      <c r="G1014" s="112"/>
      <c r="H1014" s="112"/>
      <c r="I1014" s="112"/>
      <c r="J1014" s="112"/>
    </row>
    <row r="1015" spans="6:10" x14ac:dyDescent="0.2">
      <c r="F1015" s="111"/>
      <c r="G1015" s="112"/>
      <c r="H1015" s="112"/>
      <c r="I1015" s="112"/>
      <c r="J1015" s="112"/>
    </row>
    <row r="1016" spans="6:10" x14ac:dyDescent="0.2">
      <c r="F1016" s="111"/>
      <c r="G1016" s="112"/>
      <c r="H1016" s="112"/>
      <c r="I1016" s="112"/>
      <c r="J1016" s="112"/>
    </row>
    <row r="1017" spans="6:10" x14ac:dyDescent="0.2">
      <c r="F1017" s="111"/>
      <c r="G1017" s="112"/>
      <c r="H1017" s="112"/>
      <c r="I1017" s="112"/>
      <c r="J1017" s="112"/>
    </row>
    <row r="1018" spans="6:10" x14ac:dyDescent="0.2">
      <c r="F1018" s="111"/>
      <c r="G1018" s="112"/>
      <c r="H1018" s="112"/>
      <c r="I1018" s="112"/>
      <c r="J1018" s="112"/>
    </row>
    <row r="1019" spans="6:10" x14ac:dyDescent="0.2">
      <c r="F1019" s="111"/>
      <c r="G1019" s="112"/>
      <c r="H1019" s="112"/>
      <c r="I1019" s="112"/>
      <c r="J1019" s="112"/>
    </row>
    <row r="1020" spans="6:10" x14ac:dyDescent="0.2">
      <c r="F1020" s="111"/>
      <c r="G1020" s="112"/>
      <c r="H1020" s="112"/>
      <c r="I1020" s="112"/>
      <c r="J1020" s="112"/>
    </row>
    <row r="1021" spans="6:10" x14ac:dyDescent="0.2">
      <c r="F1021" s="111"/>
      <c r="G1021" s="112"/>
      <c r="H1021" s="112"/>
      <c r="I1021" s="112"/>
      <c r="J1021" s="112"/>
    </row>
    <row r="1022" spans="6:10" x14ac:dyDescent="0.2">
      <c r="F1022" s="111"/>
      <c r="G1022" s="112"/>
      <c r="H1022" s="112"/>
      <c r="I1022" s="112"/>
      <c r="J1022" s="112"/>
    </row>
    <row r="1023" spans="6:10" x14ac:dyDescent="0.2">
      <c r="F1023" s="111"/>
      <c r="G1023" s="112"/>
      <c r="H1023" s="112"/>
      <c r="I1023" s="112"/>
      <c r="J1023" s="112"/>
    </row>
    <row r="1024" spans="6:10" x14ac:dyDescent="0.2">
      <c r="F1024" s="111"/>
      <c r="G1024" s="112"/>
      <c r="H1024" s="112"/>
      <c r="I1024" s="112"/>
      <c r="J1024" s="112"/>
    </row>
    <row r="1025" spans="6:10" x14ac:dyDescent="0.2">
      <c r="F1025" s="111"/>
      <c r="G1025" s="112"/>
      <c r="H1025" s="112"/>
      <c r="I1025" s="112"/>
      <c r="J1025" s="112"/>
    </row>
    <row r="1026" spans="6:10" x14ac:dyDescent="0.2">
      <c r="F1026" s="111"/>
      <c r="G1026" s="112"/>
      <c r="H1026" s="112"/>
      <c r="I1026" s="112"/>
      <c r="J1026" s="112"/>
    </row>
    <row r="1027" spans="6:10" x14ac:dyDescent="0.2">
      <c r="F1027" s="111"/>
      <c r="G1027" s="112"/>
      <c r="H1027" s="112"/>
      <c r="I1027" s="112"/>
      <c r="J1027" s="112"/>
    </row>
    <row r="1028" spans="6:10" x14ac:dyDescent="0.2">
      <c r="F1028" s="111"/>
      <c r="G1028" s="112"/>
      <c r="H1028" s="112"/>
      <c r="I1028" s="112"/>
      <c r="J1028" s="112"/>
    </row>
    <row r="1029" spans="6:10" x14ac:dyDescent="0.2">
      <c r="F1029" s="111"/>
      <c r="G1029" s="112"/>
      <c r="H1029" s="112"/>
      <c r="I1029" s="112"/>
      <c r="J1029" s="112"/>
    </row>
    <row r="1030" spans="6:10" x14ac:dyDescent="0.2">
      <c r="F1030" s="111"/>
      <c r="G1030" s="112"/>
      <c r="H1030" s="112"/>
      <c r="I1030" s="112"/>
      <c r="J1030" s="112"/>
    </row>
    <row r="1031" spans="6:10" x14ac:dyDescent="0.2">
      <c r="F1031" s="111"/>
      <c r="G1031" s="112"/>
      <c r="H1031" s="112"/>
      <c r="I1031" s="112"/>
      <c r="J1031" s="112"/>
    </row>
    <row r="1032" spans="6:10" x14ac:dyDescent="0.2">
      <c r="F1032" s="111"/>
      <c r="G1032" s="112"/>
      <c r="H1032" s="112"/>
      <c r="I1032" s="112"/>
      <c r="J1032" s="112"/>
    </row>
    <row r="1033" spans="6:10" x14ac:dyDescent="0.2">
      <c r="F1033" s="111"/>
      <c r="G1033" s="112"/>
      <c r="H1033" s="112"/>
      <c r="I1033" s="112"/>
      <c r="J1033" s="112"/>
    </row>
    <row r="1034" spans="6:10" x14ac:dyDescent="0.2">
      <c r="F1034" s="111"/>
      <c r="G1034" s="112"/>
      <c r="H1034" s="112"/>
      <c r="I1034" s="112"/>
      <c r="J1034" s="112"/>
    </row>
    <row r="1035" spans="6:10" x14ac:dyDescent="0.2">
      <c r="F1035" s="111"/>
      <c r="G1035" s="112"/>
      <c r="H1035" s="112"/>
      <c r="I1035" s="112"/>
      <c r="J1035" s="112"/>
    </row>
    <row r="1036" spans="6:10" x14ac:dyDescent="0.2">
      <c r="F1036" s="111"/>
      <c r="G1036" s="112"/>
      <c r="H1036" s="112"/>
      <c r="I1036" s="112"/>
      <c r="J1036" s="112"/>
    </row>
    <row r="1037" spans="6:10" x14ac:dyDescent="0.2">
      <c r="F1037" s="111"/>
      <c r="G1037" s="112"/>
      <c r="H1037" s="112"/>
      <c r="I1037" s="112"/>
      <c r="J1037" s="112"/>
    </row>
    <row r="1038" spans="6:10" x14ac:dyDescent="0.2">
      <c r="F1038" s="111"/>
      <c r="G1038" s="112"/>
      <c r="H1038" s="112"/>
      <c r="I1038" s="112"/>
      <c r="J1038" s="112"/>
    </row>
    <row r="1039" spans="6:10" x14ac:dyDescent="0.2">
      <c r="F1039" s="111"/>
      <c r="G1039" s="112"/>
      <c r="H1039" s="112"/>
      <c r="I1039" s="112"/>
      <c r="J1039" s="112"/>
    </row>
    <row r="1040" spans="6:10" x14ac:dyDescent="0.2">
      <c r="F1040" s="111"/>
      <c r="G1040" s="112"/>
      <c r="H1040" s="112"/>
      <c r="I1040" s="112"/>
      <c r="J1040" s="112"/>
    </row>
    <row r="1041" spans="6:10" x14ac:dyDescent="0.2">
      <c r="F1041" s="111"/>
      <c r="G1041" s="112"/>
      <c r="H1041" s="112"/>
      <c r="I1041" s="112"/>
      <c r="J1041" s="112"/>
    </row>
    <row r="1042" spans="6:10" x14ac:dyDescent="0.2">
      <c r="F1042" s="111"/>
      <c r="G1042" s="112"/>
      <c r="H1042" s="112"/>
      <c r="I1042" s="112"/>
      <c r="J1042" s="112"/>
    </row>
    <row r="1043" spans="6:10" x14ac:dyDescent="0.2">
      <c r="F1043" s="111"/>
      <c r="G1043" s="112"/>
      <c r="H1043" s="112"/>
      <c r="I1043" s="112"/>
      <c r="J1043" s="112"/>
    </row>
    <row r="1044" spans="6:10" x14ac:dyDescent="0.2">
      <c r="F1044" s="111"/>
      <c r="G1044" s="112"/>
      <c r="H1044" s="112"/>
      <c r="I1044" s="112"/>
      <c r="J1044" s="112"/>
    </row>
    <row r="1045" spans="6:10" x14ac:dyDescent="0.2">
      <c r="F1045" s="111"/>
      <c r="G1045" s="112"/>
      <c r="H1045" s="112"/>
      <c r="I1045" s="112"/>
      <c r="J1045" s="112"/>
    </row>
    <row r="1046" spans="6:10" x14ac:dyDescent="0.2">
      <c r="F1046" s="111"/>
      <c r="G1046" s="112"/>
      <c r="H1046" s="112"/>
      <c r="I1046" s="112"/>
      <c r="J1046" s="112"/>
    </row>
    <row r="1047" spans="6:10" x14ac:dyDescent="0.2">
      <c r="F1047" s="111"/>
      <c r="G1047" s="112"/>
      <c r="H1047" s="112"/>
      <c r="I1047" s="112"/>
      <c r="J1047" s="112"/>
    </row>
    <row r="1048" spans="6:10" x14ac:dyDescent="0.2">
      <c r="F1048" s="111"/>
      <c r="G1048" s="112"/>
      <c r="H1048" s="112"/>
      <c r="I1048" s="112"/>
      <c r="J1048" s="112"/>
    </row>
    <row r="1049" spans="6:10" x14ac:dyDescent="0.2">
      <c r="F1049" s="111"/>
      <c r="G1049" s="112"/>
      <c r="H1049" s="112"/>
      <c r="I1049" s="112"/>
      <c r="J1049" s="112"/>
    </row>
    <row r="1050" spans="6:10" x14ac:dyDescent="0.2">
      <c r="F1050" s="111"/>
      <c r="G1050" s="112"/>
      <c r="H1050" s="112"/>
      <c r="I1050" s="112"/>
      <c r="J1050" s="112"/>
    </row>
    <row r="1051" spans="6:10" x14ac:dyDescent="0.2">
      <c r="F1051" s="111"/>
      <c r="G1051" s="112"/>
      <c r="H1051" s="112"/>
      <c r="I1051" s="112"/>
      <c r="J1051" s="112"/>
    </row>
    <row r="1052" spans="6:10" x14ac:dyDescent="0.2">
      <c r="F1052" s="111"/>
      <c r="G1052" s="112"/>
      <c r="H1052" s="112"/>
      <c r="I1052" s="112"/>
      <c r="J1052" s="112"/>
    </row>
    <row r="1053" spans="6:10" x14ac:dyDescent="0.2">
      <c r="F1053" s="111"/>
      <c r="G1053" s="112"/>
      <c r="H1053" s="112"/>
      <c r="I1053" s="112"/>
      <c r="J1053" s="112"/>
    </row>
    <row r="1054" spans="6:10" x14ac:dyDescent="0.2">
      <c r="F1054" s="111"/>
      <c r="G1054" s="112"/>
      <c r="H1054" s="112"/>
      <c r="I1054" s="112"/>
      <c r="J1054" s="112"/>
    </row>
    <row r="1055" spans="6:10" x14ac:dyDescent="0.2">
      <c r="F1055" s="111"/>
      <c r="G1055" s="112"/>
      <c r="H1055" s="112"/>
      <c r="I1055" s="112"/>
      <c r="J1055" s="112"/>
    </row>
    <row r="1056" spans="6:10" x14ac:dyDescent="0.2">
      <c r="F1056" s="111"/>
      <c r="G1056" s="112"/>
      <c r="H1056" s="112"/>
      <c r="I1056" s="112"/>
      <c r="J1056" s="112"/>
    </row>
    <row r="1057" spans="6:10" x14ac:dyDescent="0.2">
      <c r="F1057" s="111"/>
      <c r="G1057" s="112"/>
      <c r="H1057" s="112"/>
      <c r="I1057" s="112"/>
      <c r="J1057" s="112"/>
    </row>
    <row r="1058" spans="6:10" x14ac:dyDescent="0.2">
      <c r="F1058" s="111"/>
      <c r="G1058" s="112"/>
      <c r="H1058" s="112"/>
      <c r="I1058" s="112"/>
      <c r="J1058" s="112"/>
    </row>
    <row r="1059" spans="6:10" x14ac:dyDescent="0.2">
      <c r="F1059" s="111"/>
      <c r="G1059" s="112"/>
      <c r="H1059" s="112"/>
      <c r="I1059" s="112"/>
      <c r="J1059" s="112"/>
    </row>
    <row r="1060" spans="6:10" x14ac:dyDescent="0.2">
      <c r="F1060" s="111"/>
      <c r="G1060" s="112"/>
      <c r="H1060" s="112"/>
      <c r="I1060" s="112"/>
      <c r="J1060" s="112"/>
    </row>
    <row r="1061" spans="6:10" x14ac:dyDescent="0.2">
      <c r="F1061" s="111"/>
      <c r="G1061" s="112"/>
      <c r="H1061" s="112"/>
      <c r="I1061" s="112"/>
      <c r="J1061" s="112"/>
    </row>
    <row r="1062" spans="6:10" x14ac:dyDescent="0.2">
      <c r="F1062" s="111"/>
      <c r="G1062" s="112"/>
      <c r="H1062" s="112"/>
      <c r="I1062" s="112"/>
      <c r="J1062" s="112"/>
    </row>
    <row r="1063" spans="6:10" x14ac:dyDescent="0.2">
      <c r="F1063" s="111"/>
      <c r="G1063" s="112"/>
      <c r="H1063" s="112"/>
      <c r="I1063" s="112"/>
      <c r="J1063" s="112"/>
    </row>
    <row r="1064" spans="6:10" x14ac:dyDescent="0.2">
      <c r="F1064" s="111"/>
      <c r="G1064" s="112"/>
      <c r="H1064" s="112"/>
      <c r="I1064" s="112"/>
      <c r="J1064" s="112"/>
    </row>
    <row r="1065" spans="6:10" x14ac:dyDescent="0.2">
      <c r="F1065" s="111"/>
      <c r="G1065" s="112"/>
      <c r="H1065" s="112"/>
      <c r="I1065" s="112"/>
      <c r="J1065" s="112"/>
    </row>
    <row r="1066" spans="6:10" x14ac:dyDescent="0.2">
      <c r="F1066" s="111"/>
      <c r="G1066" s="112"/>
      <c r="H1066" s="112"/>
      <c r="I1066" s="112"/>
      <c r="J1066" s="112"/>
    </row>
    <row r="1067" spans="6:10" x14ac:dyDescent="0.2">
      <c r="F1067" s="111"/>
      <c r="G1067" s="112"/>
      <c r="H1067" s="112"/>
      <c r="I1067" s="112"/>
      <c r="J1067" s="112"/>
    </row>
    <row r="1068" spans="6:10" x14ac:dyDescent="0.2">
      <c r="F1068" s="111"/>
      <c r="G1068" s="112"/>
      <c r="H1068" s="112"/>
      <c r="I1068" s="112"/>
      <c r="J1068" s="112"/>
    </row>
    <row r="1069" spans="6:10" x14ac:dyDescent="0.2">
      <c r="F1069" s="111"/>
      <c r="G1069" s="112"/>
      <c r="H1069" s="112"/>
      <c r="I1069" s="112"/>
      <c r="J1069" s="112"/>
    </row>
    <row r="1070" spans="6:10" x14ac:dyDescent="0.2">
      <c r="F1070" s="111"/>
      <c r="G1070" s="112"/>
      <c r="H1070" s="112"/>
      <c r="I1070" s="112"/>
      <c r="J1070" s="112"/>
    </row>
    <row r="1071" spans="6:10" x14ac:dyDescent="0.2">
      <c r="F1071" s="111"/>
      <c r="G1071" s="112"/>
      <c r="H1071" s="112"/>
      <c r="I1071" s="112"/>
      <c r="J1071" s="112"/>
    </row>
    <row r="1072" spans="6:10" x14ac:dyDescent="0.2">
      <c r="F1072" s="111"/>
      <c r="G1072" s="112"/>
      <c r="H1072" s="112"/>
      <c r="I1072" s="112"/>
      <c r="J1072" s="112"/>
    </row>
    <row r="1073" spans="6:10" x14ac:dyDescent="0.2">
      <c r="F1073" s="111"/>
      <c r="G1073" s="112"/>
      <c r="H1073" s="112"/>
      <c r="I1073" s="112"/>
      <c r="J1073" s="112"/>
    </row>
    <row r="1074" spans="6:10" x14ac:dyDescent="0.2">
      <c r="F1074" s="111"/>
      <c r="G1074" s="112"/>
      <c r="H1074" s="112"/>
      <c r="I1074" s="112"/>
      <c r="J1074" s="112"/>
    </row>
    <row r="1075" spans="6:10" x14ac:dyDescent="0.2">
      <c r="F1075" s="111"/>
      <c r="G1075" s="112"/>
      <c r="H1075" s="112"/>
      <c r="I1075" s="112"/>
      <c r="J1075" s="112"/>
    </row>
    <row r="1076" spans="6:10" x14ac:dyDescent="0.2">
      <c r="F1076" s="111"/>
      <c r="G1076" s="112"/>
      <c r="H1076" s="112"/>
      <c r="I1076" s="112"/>
      <c r="J1076" s="112"/>
    </row>
    <row r="1077" spans="6:10" x14ac:dyDescent="0.2">
      <c r="F1077" s="111"/>
      <c r="G1077" s="112"/>
      <c r="H1077" s="112"/>
      <c r="I1077" s="112"/>
      <c r="J1077" s="112"/>
    </row>
    <row r="1078" spans="6:10" x14ac:dyDescent="0.2">
      <c r="F1078" s="111"/>
      <c r="G1078" s="112"/>
      <c r="H1078" s="112"/>
      <c r="I1078" s="112"/>
      <c r="J1078" s="112"/>
    </row>
    <row r="1079" spans="6:10" x14ac:dyDescent="0.2">
      <c r="F1079" s="111"/>
      <c r="G1079" s="112"/>
      <c r="H1079" s="112"/>
      <c r="I1079" s="112"/>
      <c r="J1079" s="112"/>
    </row>
    <row r="1080" spans="6:10" x14ac:dyDescent="0.2">
      <c r="F1080" s="111"/>
      <c r="G1080" s="112"/>
      <c r="H1080" s="112"/>
      <c r="I1080" s="112"/>
      <c r="J1080" s="112"/>
    </row>
    <row r="1081" spans="6:10" x14ac:dyDescent="0.2">
      <c r="F1081" s="111"/>
      <c r="G1081" s="112"/>
      <c r="H1081" s="112"/>
      <c r="I1081" s="112"/>
      <c r="J1081" s="112"/>
    </row>
    <row r="1082" spans="6:10" x14ac:dyDescent="0.2">
      <c r="F1082" s="111"/>
      <c r="G1082" s="112"/>
      <c r="H1082" s="112"/>
      <c r="I1082" s="112"/>
      <c r="J1082" s="112"/>
    </row>
    <row r="1083" spans="6:10" x14ac:dyDescent="0.2">
      <c r="F1083" s="111"/>
      <c r="G1083" s="112"/>
      <c r="H1083" s="112"/>
      <c r="I1083" s="112"/>
      <c r="J1083" s="112"/>
    </row>
    <row r="1084" spans="6:10" x14ac:dyDescent="0.2">
      <c r="F1084" s="111"/>
      <c r="G1084" s="112"/>
      <c r="H1084" s="112"/>
      <c r="I1084" s="112"/>
      <c r="J1084" s="112"/>
    </row>
    <row r="1085" spans="6:10" x14ac:dyDescent="0.2">
      <c r="F1085" s="111"/>
      <c r="G1085" s="112"/>
      <c r="H1085" s="112"/>
      <c r="I1085" s="112"/>
      <c r="J1085" s="112"/>
    </row>
    <row r="1086" spans="6:10" x14ac:dyDescent="0.2">
      <c r="F1086" s="111"/>
      <c r="G1086" s="112"/>
      <c r="H1086" s="112"/>
      <c r="I1086" s="112"/>
      <c r="J1086" s="112"/>
    </row>
    <row r="1087" spans="6:10" x14ac:dyDescent="0.2">
      <c r="F1087" s="111"/>
      <c r="G1087" s="112"/>
      <c r="H1087" s="112"/>
      <c r="I1087" s="112"/>
      <c r="J1087" s="112"/>
    </row>
    <row r="1088" spans="6:10" x14ac:dyDescent="0.2">
      <c r="F1088" s="111"/>
      <c r="G1088" s="112"/>
      <c r="H1088" s="112"/>
      <c r="I1088" s="112"/>
      <c r="J1088" s="112"/>
    </row>
    <row r="1089" spans="6:10" x14ac:dyDescent="0.2">
      <c r="F1089" s="111"/>
      <c r="G1089" s="112"/>
      <c r="H1089" s="112"/>
      <c r="I1089" s="112"/>
      <c r="J1089" s="112"/>
    </row>
    <row r="1090" spans="6:10" x14ac:dyDescent="0.2">
      <c r="F1090" s="111"/>
      <c r="G1090" s="112"/>
      <c r="H1090" s="112"/>
      <c r="I1090" s="112"/>
      <c r="J1090" s="112"/>
    </row>
    <row r="1091" spans="6:10" x14ac:dyDescent="0.2">
      <c r="F1091" s="111"/>
      <c r="G1091" s="112"/>
      <c r="H1091" s="112"/>
      <c r="I1091" s="112"/>
      <c r="J1091" s="112"/>
    </row>
    <row r="1092" spans="6:10" x14ac:dyDescent="0.2">
      <c r="F1092" s="111"/>
      <c r="G1092" s="112"/>
      <c r="H1092" s="112"/>
      <c r="I1092" s="112"/>
      <c r="J1092" s="112"/>
    </row>
    <row r="1093" spans="6:10" x14ac:dyDescent="0.2">
      <c r="F1093" s="111"/>
      <c r="G1093" s="112"/>
      <c r="H1093" s="112"/>
      <c r="I1093" s="112"/>
      <c r="J1093" s="112"/>
    </row>
    <row r="1094" spans="6:10" x14ac:dyDescent="0.2">
      <c r="F1094" s="111"/>
      <c r="G1094" s="112"/>
      <c r="H1094" s="112"/>
      <c r="I1094" s="112"/>
      <c r="J1094" s="112"/>
    </row>
    <row r="1095" spans="6:10" x14ac:dyDescent="0.2">
      <c r="F1095" s="111"/>
      <c r="G1095" s="112"/>
      <c r="H1095" s="112"/>
      <c r="I1095" s="112"/>
      <c r="J1095" s="112"/>
    </row>
    <row r="1096" spans="6:10" x14ac:dyDescent="0.2">
      <c r="F1096" s="111"/>
      <c r="G1096" s="112"/>
      <c r="H1096" s="112"/>
      <c r="I1096" s="112"/>
      <c r="J1096" s="112"/>
    </row>
    <row r="1097" spans="6:10" x14ac:dyDescent="0.2">
      <c r="F1097" s="111"/>
      <c r="G1097" s="112"/>
      <c r="H1097" s="112"/>
      <c r="I1097" s="112"/>
      <c r="J1097" s="112"/>
    </row>
    <row r="1098" spans="6:10" x14ac:dyDescent="0.2">
      <c r="F1098" s="111"/>
      <c r="G1098" s="112"/>
      <c r="H1098" s="112"/>
      <c r="I1098" s="112"/>
      <c r="J1098" s="112"/>
    </row>
    <row r="1099" spans="6:10" x14ac:dyDescent="0.2">
      <c r="F1099" s="111"/>
      <c r="G1099" s="112"/>
      <c r="H1099" s="112"/>
      <c r="I1099" s="112"/>
      <c r="J1099" s="112"/>
    </row>
    <row r="1100" spans="6:10" x14ac:dyDescent="0.2">
      <c r="F1100" s="111"/>
      <c r="G1100" s="112"/>
      <c r="H1100" s="112"/>
      <c r="I1100" s="112"/>
      <c r="J1100" s="112"/>
    </row>
    <row r="1101" spans="6:10" x14ac:dyDescent="0.2">
      <c r="F1101" s="111"/>
      <c r="G1101" s="112"/>
      <c r="H1101" s="112"/>
      <c r="I1101" s="112"/>
      <c r="J1101" s="112"/>
    </row>
    <row r="1102" spans="6:10" x14ac:dyDescent="0.2">
      <c r="F1102" s="111"/>
      <c r="G1102" s="112"/>
      <c r="H1102" s="112"/>
      <c r="I1102" s="112"/>
      <c r="J1102" s="112"/>
    </row>
    <row r="1103" spans="6:10" x14ac:dyDescent="0.2">
      <c r="F1103" s="111"/>
      <c r="G1103" s="112"/>
      <c r="H1103" s="112"/>
      <c r="I1103" s="112"/>
      <c r="J1103" s="112"/>
    </row>
    <row r="1104" spans="6:10" x14ac:dyDescent="0.2">
      <c r="F1104" s="111"/>
      <c r="G1104" s="112"/>
      <c r="H1104" s="112"/>
      <c r="I1104" s="112"/>
      <c r="J1104" s="112"/>
    </row>
    <row r="1105" spans="6:10" x14ac:dyDescent="0.2">
      <c r="F1105" s="111"/>
      <c r="G1105" s="112"/>
      <c r="H1105" s="112"/>
      <c r="I1105" s="112"/>
      <c r="J1105" s="112"/>
    </row>
    <row r="1106" spans="6:10" x14ac:dyDescent="0.2">
      <c r="F1106" s="111"/>
      <c r="G1106" s="112"/>
      <c r="H1106" s="112"/>
      <c r="I1106" s="112"/>
      <c r="J1106" s="112"/>
    </row>
    <row r="1107" spans="6:10" x14ac:dyDescent="0.2">
      <c r="F1107" s="111"/>
      <c r="G1107" s="112"/>
      <c r="H1107" s="112"/>
      <c r="I1107" s="112"/>
      <c r="J1107" s="112"/>
    </row>
    <row r="1108" spans="6:10" x14ac:dyDescent="0.2">
      <c r="F1108" s="111"/>
      <c r="G1108" s="112"/>
      <c r="H1108" s="112"/>
      <c r="I1108" s="112"/>
      <c r="J1108" s="112"/>
    </row>
    <row r="1109" spans="6:10" x14ac:dyDescent="0.2">
      <c r="F1109" s="111"/>
      <c r="G1109" s="112"/>
      <c r="H1109" s="112"/>
      <c r="I1109" s="112"/>
      <c r="J1109" s="112"/>
    </row>
    <row r="1110" spans="6:10" x14ac:dyDescent="0.2">
      <c r="F1110" s="111"/>
      <c r="G1110" s="112"/>
      <c r="H1110" s="112"/>
      <c r="I1110" s="112"/>
      <c r="J1110" s="112"/>
    </row>
    <row r="1111" spans="6:10" x14ac:dyDescent="0.2">
      <c r="F1111" s="111"/>
      <c r="G1111" s="112"/>
      <c r="H1111" s="112"/>
      <c r="I1111" s="112"/>
      <c r="J1111" s="112"/>
    </row>
    <row r="1112" spans="6:10" x14ac:dyDescent="0.2">
      <c r="F1112" s="111"/>
      <c r="G1112" s="112"/>
      <c r="H1112" s="112"/>
      <c r="I1112" s="112"/>
      <c r="J1112" s="112"/>
    </row>
    <row r="1113" spans="6:10" x14ac:dyDescent="0.2">
      <c r="F1113" s="111"/>
      <c r="G1113" s="112"/>
      <c r="H1113" s="112"/>
      <c r="I1113" s="112"/>
      <c r="J1113" s="112"/>
    </row>
    <row r="1114" spans="6:10" x14ac:dyDescent="0.2">
      <c r="F1114" s="111"/>
      <c r="G1114" s="112"/>
      <c r="H1114" s="112"/>
      <c r="I1114" s="112"/>
      <c r="J1114" s="112"/>
    </row>
    <row r="1115" spans="6:10" x14ac:dyDescent="0.2">
      <c r="F1115" s="111"/>
      <c r="G1115" s="112"/>
      <c r="H1115" s="112"/>
      <c r="I1115" s="112"/>
      <c r="J1115" s="112"/>
    </row>
    <row r="1116" spans="6:10" x14ac:dyDescent="0.2">
      <c r="F1116" s="111"/>
      <c r="G1116" s="112"/>
      <c r="H1116" s="112"/>
      <c r="I1116" s="112"/>
      <c r="J1116" s="112"/>
    </row>
    <row r="1117" spans="6:10" x14ac:dyDescent="0.2">
      <c r="F1117" s="111"/>
      <c r="G1117" s="112"/>
      <c r="H1117" s="112"/>
      <c r="I1117" s="112"/>
      <c r="J1117" s="112"/>
    </row>
    <row r="1118" spans="6:10" x14ac:dyDescent="0.2">
      <c r="F1118" s="111"/>
      <c r="G1118" s="112"/>
      <c r="H1118" s="112"/>
      <c r="I1118" s="112"/>
      <c r="J1118" s="112"/>
    </row>
    <row r="1119" spans="6:10" x14ac:dyDescent="0.2">
      <c r="F1119" s="111"/>
      <c r="G1119" s="112"/>
      <c r="H1119" s="112"/>
      <c r="I1119" s="112"/>
      <c r="J1119" s="112"/>
    </row>
    <row r="1120" spans="6:10" x14ac:dyDescent="0.2">
      <c r="F1120" s="111"/>
      <c r="G1120" s="112"/>
      <c r="H1120" s="112"/>
      <c r="I1120" s="112"/>
      <c r="J1120" s="112"/>
    </row>
    <row r="1121" spans="6:10" x14ac:dyDescent="0.2">
      <c r="F1121" s="111"/>
      <c r="G1121" s="112"/>
      <c r="H1121" s="112"/>
      <c r="I1121" s="112"/>
      <c r="J1121" s="112"/>
    </row>
    <row r="1122" spans="6:10" x14ac:dyDescent="0.2">
      <c r="F1122" s="111"/>
      <c r="G1122" s="112"/>
      <c r="H1122" s="112"/>
      <c r="I1122" s="112"/>
      <c r="J1122" s="112"/>
    </row>
    <row r="1123" spans="6:10" x14ac:dyDescent="0.2">
      <c r="F1123" s="111"/>
      <c r="G1123" s="112"/>
      <c r="H1123" s="112"/>
      <c r="I1123" s="112"/>
      <c r="J1123" s="112"/>
    </row>
    <row r="1124" spans="6:10" x14ac:dyDescent="0.2">
      <c r="F1124" s="111"/>
      <c r="G1124" s="112"/>
      <c r="H1124" s="112"/>
      <c r="I1124" s="112"/>
      <c r="J1124" s="112"/>
    </row>
    <row r="1125" spans="6:10" x14ac:dyDescent="0.2">
      <c r="F1125" s="111"/>
      <c r="G1125" s="112"/>
      <c r="H1125" s="112"/>
      <c r="I1125" s="112"/>
      <c r="J1125" s="112"/>
    </row>
    <row r="1126" spans="6:10" x14ac:dyDescent="0.2">
      <c r="F1126" s="111"/>
      <c r="G1126" s="112"/>
      <c r="H1126" s="112"/>
      <c r="I1126" s="112"/>
      <c r="J1126" s="112"/>
    </row>
    <row r="1127" spans="6:10" x14ac:dyDescent="0.2">
      <c r="F1127" s="111"/>
      <c r="G1127" s="112"/>
      <c r="H1127" s="112"/>
      <c r="I1127" s="112"/>
      <c r="J1127" s="112"/>
    </row>
    <row r="1128" spans="6:10" x14ac:dyDescent="0.2">
      <c r="F1128" s="111"/>
      <c r="G1128" s="112"/>
      <c r="H1128" s="112"/>
      <c r="I1128" s="112"/>
      <c r="J1128" s="112"/>
    </row>
    <row r="1129" spans="6:10" x14ac:dyDescent="0.2">
      <c r="F1129" s="111"/>
      <c r="G1129" s="112"/>
      <c r="H1129" s="112"/>
      <c r="I1129" s="112"/>
      <c r="J1129" s="112"/>
    </row>
    <row r="1130" spans="6:10" x14ac:dyDescent="0.2">
      <c r="F1130" s="111"/>
      <c r="G1130" s="112"/>
      <c r="H1130" s="112"/>
      <c r="I1130" s="112"/>
      <c r="J1130" s="112"/>
    </row>
    <row r="1131" spans="6:10" x14ac:dyDescent="0.2">
      <c r="F1131" s="111"/>
      <c r="G1131" s="112"/>
      <c r="H1131" s="112"/>
      <c r="I1131" s="112"/>
      <c r="J1131" s="112"/>
    </row>
    <row r="1132" spans="6:10" x14ac:dyDescent="0.2">
      <c r="F1132" s="111"/>
      <c r="G1132" s="112"/>
      <c r="H1132" s="112"/>
      <c r="I1132" s="112"/>
      <c r="J1132" s="112"/>
    </row>
    <row r="1133" spans="6:10" x14ac:dyDescent="0.2">
      <c r="F1133" s="111"/>
      <c r="G1133" s="112"/>
      <c r="H1133" s="112"/>
      <c r="I1133" s="112"/>
      <c r="J1133" s="112"/>
    </row>
    <row r="1134" spans="6:10" x14ac:dyDescent="0.2">
      <c r="F1134" s="111"/>
      <c r="G1134" s="112"/>
      <c r="H1134" s="112"/>
      <c r="I1134" s="112"/>
      <c r="J1134" s="112"/>
    </row>
    <row r="1135" spans="6:10" x14ac:dyDescent="0.2">
      <c r="F1135" s="111"/>
      <c r="G1135" s="112"/>
      <c r="H1135" s="112"/>
      <c r="I1135" s="112"/>
      <c r="J1135" s="112"/>
    </row>
    <row r="1136" spans="6:10" x14ac:dyDescent="0.2">
      <c r="F1136" s="111"/>
      <c r="G1136" s="112"/>
      <c r="H1136" s="112"/>
      <c r="I1136" s="112"/>
      <c r="J1136" s="112"/>
    </row>
    <row r="1137" spans="6:10" x14ac:dyDescent="0.2">
      <c r="F1137" s="111"/>
      <c r="G1137" s="112"/>
      <c r="H1137" s="112"/>
      <c r="I1137" s="112"/>
      <c r="J1137" s="112"/>
    </row>
    <row r="1138" spans="6:10" x14ac:dyDescent="0.2">
      <c r="F1138" s="111"/>
      <c r="G1138" s="112"/>
      <c r="H1138" s="112"/>
      <c r="I1138" s="112"/>
      <c r="J1138" s="112"/>
    </row>
    <row r="1139" spans="6:10" x14ac:dyDescent="0.2">
      <c r="F1139" s="111"/>
      <c r="G1139" s="112"/>
      <c r="H1139" s="112"/>
      <c r="I1139" s="112"/>
      <c r="J1139" s="112"/>
    </row>
    <row r="1140" spans="6:10" x14ac:dyDescent="0.2">
      <c r="F1140" s="111"/>
      <c r="G1140" s="112"/>
      <c r="H1140" s="112"/>
      <c r="I1140" s="112"/>
      <c r="J1140" s="112"/>
    </row>
    <row r="1141" spans="6:10" x14ac:dyDescent="0.2">
      <c r="F1141" s="111"/>
      <c r="G1141" s="112"/>
      <c r="H1141" s="112"/>
      <c r="I1141" s="112"/>
      <c r="J1141" s="112"/>
    </row>
    <row r="1142" spans="6:10" x14ac:dyDescent="0.2">
      <c r="F1142" s="111"/>
      <c r="G1142" s="112"/>
      <c r="H1142" s="112"/>
      <c r="I1142" s="112"/>
      <c r="J1142" s="112"/>
    </row>
    <row r="1143" spans="6:10" x14ac:dyDescent="0.2">
      <c r="F1143" s="111"/>
      <c r="G1143" s="112"/>
      <c r="H1143" s="112"/>
      <c r="I1143" s="112"/>
      <c r="J1143" s="112"/>
    </row>
    <row r="1144" spans="6:10" x14ac:dyDescent="0.2">
      <c r="F1144" s="111"/>
      <c r="G1144" s="112"/>
      <c r="H1144" s="112"/>
      <c r="I1144" s="112"/>
      <c r="J1144" s="112"/>
    </row>
    <row r="1145" spans="6:10" x14ac:dyDescent="0.2">
      <c r="F1145" s="111"/>
      <c r="G1145" s="112"/>
      <c r="H1145" s="112"/>
      <c r="I1145" s="112"/>
      <c r="J1145" s="112"/>
    </row>
    <row r="1146" spans="6:10" x14ac:dyDescent="0.2">
      <c r="F1146" s="111"/>
      <c r="G1146" s="112"/>
      <c r="H1146" s="112"/>
      <c r="I1146" s="112"/>
      <c r="J1146" s="112"/>
    </row>
    <row r="1147" spans="6:10" x14ac:dyDescent="0.2">
      <c r="F1147" s="111"/>
      <c r="G1147" s="112"/>
      <c r="H1147" s="112"/>
      <c r="I1147" s="112"/>
      <c r="J1147" s="112"/>
    </row>
    <row r="1148" spans="6:10" x14ac:dyDescent="0.2">
      <c r="F1148" s="111"/>
      <c r="G1148" s="112"/>
      <c r="H1148" s="112"/>
      <c r="I1148" s="112"/>
      <c r="J1148" s="112"/>
    </row>
    <row r="1149" spans="6:10" x14ac:dyDescent="0.2">
      <c r="F1149" s="111"/>
      <c r="G1149" s="112"/>
      <c r="H1149" s="112"/>
      <c r="I1149" s="112"/>
      <c r="J1149" s="112"/>
    </row>
    <row r="1150" spans="6:10" x14ac:dyDescent="0.2">
      <c r="F1150" s="111"/>
      <c r="G1150" s="112"/>
      <c r="H1150" s="112"/>
      <c r="I1150" s="112"/>
      <c r="J1150" s="112"/>
    </row>
    <row r="1151" spans="6:10" x14ac:dyDescent="0.2">
      <c r="F1151" s="111"/>
      <c r="G1151" s="112"/>
      <c r="H1151" s="112"/>
      <c r="I1151" s="112"/>
      <c r="J1151" s="112"/>
    </row>
    <row r="1152" spans="6:10" x14ac:dyDescent="0.2">
      <c r="F1152" s="111"/>
      <c r="G1152" s="112"/>
      <c r="H1152" s="112"/>
      <c r="I1152" s="112"/>
      <c r="J1152" s="112"/>
    </row>
    <row r="1153" spans="6:10" x14ac:dyDescent="0.2">
      <c r="F1153" s="111"/>
      <c r="G1153" s="112"/>
      <c r="H1153" s="112"/>
      <c r="I1153" s="112"/>
      <c r="J1153" s="112"/>
    </row>
    <row r="1154" spans="6:10" x14ac:dyDescent="0.2">
      <c r="F1154" s="111"/>
      <c r="G1154" s="112"/>
      <c r="H1154" s="112"/>
      <c r="I1154" s="112"/>
      <c r="J1154" s="112"/>
    </row>
    <row r="1155" spans="6:10" x14ac:dyDescent="0.2">
      <c r="F1155" s="111"/>
      <c r="G1155" s="112"/>
      <c r="H1155" s="112"/>
      <c r="I1155" s="112"/>
      <c r="J1155" s="112"/>
    </row>
    <row r="1156" spans="6:10" x14ac:dyDescent="0.2">
      <c r="F1156" s="111"/>
      <c r="G1156" s="112"/>
      <c r="H1156" s="112"/>
      <c r="I1156" s="112"/>
      <c r="J1156" s="112"/>
    </row>
    <row r="1157" spans="6:10" x14ac:dyDescent="0.2">
      <c r="F1157" s="111"/>
      <c r="G1157" s="112"/>
      <c r="H1157" s="112"/>
      <c r="I1157" s="112"/>
      <c r="J1157" s="112"/>
    </row>
    <row r="1158" spans="6:10" x14ac:dyDescent="0.2">
      <c r="F1158" s="111"/>
      <c r="G1158" s="112"/>
      <c r="H1158" s="112"/>
      <c r="I1158" s="112"/>
      <c r="J1158" s="112"/>
    </row>
    <row r="1159" spans="6:10" x14ac:dyDescent="0.2">
      <c r="F1159" s="111"/>
      <c r="G1159" s="112"/>
      <c r="H1159" s="112"/>
      <c r="I1159" s="112"/>
      <c r="J1159" s="112"/>
    </row>
    <row r="1160" spans="6:10" x14ac:dyDescent="0.2">
      <c r="F1160" s="111"/>
      <c r="G1160" s="112"/>
      <c r="H1160" s="112"/>
      <c r="I1160" s="112"/>
      <c r="J1160" s="112"/>
    </row>
    <row r="1161" spans="6:10" x14ac:dyDescent="0.2">
      <c r="F1161" s="111"/>
      <c r="G1161" s="112"/>
      <c r="H1161" s="112"/>
      <c r="I1161" s="112"/>
      <c r="J1161" s="112"/>
    </row>
    <row r="1162" spans="6:10" x14ac:dyDescent="0.2">
      <c r="F1162" s="111"/>
      <c r="G1162" s="112"/>
      <c r="H1162" s="112"/>
      <c r="I1162" s="112"/>
      <c r="J1162" s="112"/>
    </row>
    <row r="1163" spans="6:10" x14ac:dyDescent="0.2">
      <c r="F1163" s="111"/>
      <c r="G1163" s="112"/>
      <c r="H1163" s="112"/>
      <c r="I1163" s="112"/>
      <c r="J1163" s="112"/>
    </row>
    <row r="1164" spans="6:10" x14ac:dyDescent="0.2">
      <c r="F1164" s="111"/>
      <c r="G1164" s="112"/>
      <c r="H1164" s="112"/>
      <c r="I1164" s="112"/>
      <c r="J1164" s="112"/>
    </row>
    <row r="1165" spans="6:10" x14ac:dyDescent="0.2">
      <c r="F1165" s="111"/>
      <c r="G1165" s="112"/>
      <c r="H1165" s="112"/>
      <c r="I1165" s="112"/>
      <c r="J1165" s="112"/>
    </row>
    <row r="1166" spans="6:10" x14ac:dyDescent="0.2">
      <c r="F1166" s="111"/>
      <c r="G1166" s="112"/>
      <c r="H1166" s="112"/>
      <c r="I1166" s="112"/>
      <c r="J1166" s="112"/>
    </row>
    <row r="1167" spans="6:10" x14ac:dyDescent="0.2">
      <c r="F1167" s="111"/>
      <c r="G1167" s="112"/>
      <c r="H1167" s="112"/>
      <c r="I1167" s="112"/>
      <c r="J1167" s="112"/>
    </row>
    <row r="1168" spans="6:10" x14ac:dyDescent="0.2">
      <c r="F1168" s="111"/>
      <c r="G1168" s="112"/>
      <c r="H1168" s="112"/>
      <c r="I1168" s="112"/>
      <c r="J1168" s="112"/>
    </row>
    <row r="1169" spans="6:10" x14ac:dyDescent="0.2">
      <c r="F1169" s="111"/>
      <c r="G1169" s="112"/>
      <c r="H1169" s="112"/>
      <c r="I1169" s="112"/>
      <c r="J1169" s="112"/>
    </row>
    <row r="1170" spans="6:10" x14ac:dyDescent="0.2">
      <c r="F1170" s="111"/>
      <c r="G1170" s="112"/>
      <c r="H1170" s="112"/>
      <c r="I1170" s="112"/>
      <c r="J1170" s="112"/>
    </row>
    <row r="1171" spans="6:10" x14ac:dyDescent="0.2">
      <c r="F1171" s="111"/>
      <c r="G1171" s="112"/>
      <c r="H1171" s="112"/>
      <c r="I1171" s="112"/>
      <c r="J1171" s="112"/>
    </row>
    <row r="1172" spans="6:10" x14ac:dyDescent="0.2">
      <c r="F1172" s="111"/>
      <c r="G1172" s="112"/>
      <c r="H1172" s="112"/>
      <c r="I1172" s="112"/>
      <c r="J1172" s="112"/>
    </row>
    <row r="1173" spans="6:10" x14ac:dyDescent="0.2">
      <c r="F1173" s="111"/>
      <c r="G1173" s="112"/>
      <c r="H1173" s="112"/>
      <c r="I1173" s="112"/>
      <c r="J1173" s="112"/>
    </row>
    <row r="1174" spans="6:10" x14ac:dyDescent="0.2">
      <c r="F1174" s="111"/>
      <c r="G1174" s="112"/>
      <c r="H1174" s="112"/>
      <c r="I1174" s="112"/>
      <c r="J1174" s="112"/>
    </row>
    <row r="1175" spans="6:10" x14ac:dyDescent="0.2">
      <c r="F1175" s="111"/>
      <c r="G1175" s="112"/>
      <c r="H1175" s="112"/>
      <c r="I1175" s="112"/>
      <c r="J1175" s="112"/>
    </row>
    <row r="1176" spans="6:10" x14ac:dyDescent="0.2">
      <c r="F1176" s="111"/>
      <c r="G1176" s="112"/>
      <c r="H1176" s="112"/>
      <c r="I1176" s="112"/>
      <c r="J1176" s="112"/>
    </row>
    <row r="1177" spans="6:10" x14ac:dyDescent="0.2">
      <c r="F1177" s="111"/>
      <c r="G1177" s="112"/>
      <c r="H1177" s="112"/>
      <c r="I1177" s="112"/>
      <c r="J1177" s="112"/>
    </row>
    <row r="1178" spans="6:10" x14ac:dyDescent="0.2">
      <c r="F1178" s="111"/>
      <c r="G1178" s="112"/>
      <c r="H1178" s="112"/>
      <c r="I1178" s="112"/>
      <c r="J1178" s="112"/>
    </row>
    <row r="1179" spans="6:10" x14ac:dyDescent="0.2">
      <c r="F1179" s="111"/>
      <c r="G1179" s="112"/>
      <c r="H1179" s="112"/>
      <c r="I1179" s="112"/>
      <c r="J1179" s="112"/>
    </row>
    <row r="1180" spans="6:10" x14ac:dyDescent="0.2">
      <c r="F1180" s="111"/>
      <c r="G1180" s="112"/>
      <c r="H1180" s="112"/>
      <c r="I1180" s="112"/>
      <c r="J1180" s="112"/>
    </row>
    <row r="1181" spans="6:10" x14ac:dyDescent="0.2">
      <c r="F1181" s="111"/>
      <c r="G1181" s="112"/>
      <c r="H1181" s="112"/>
      <c r="I1181" s="112"/>
      <c r="J1181" s="112"/>
    </row>
    <row r="1182" spans="6:10" x14ac:dyDescent="0.2">
      <c r="F1182" s="111"/>
      <c r="G1182" s="112"/>
      <c r="H1182" s="112"/>
      <c r="I1182" s="112"/>
      <c r="J1182" s="112"/>
    </row>
    <row r="1183" spans="6:10" x14ac:dyDescent="0.2">
      <c r="F1183" s="111"/>
      <c r="G1183" s="112"/>
      <c r="H1183" s="112"/>
      <c r="I1183" s="112"/>
      <c r="J1183" s="112"/>
    </row>
    <row r="1184" spans="6:10" x14ac:dyDescent="0.2">
      <c r="F1184" s="111"/>
      <c r="G1184" s="112"/>
      <c r="H1184" s="112"/>
      <c r="I1184" s="112"/>
      <c r="J1184" s="112"/>
    </row>
    <row r="1185" spans="6:10" x14ac:dyDescent="0.2">
      <c r="F1185" s="111"/>
      <c r="G1185" s="112"/>
      <c r="H1185" s="112"/>
      <c r="I1185" s="112"/>
      <c r="J1185" s="112"/>
    </row>
    <row r="1186" spans="6:10" x14ac:dyDescent="0.2">
      <c r="F1186" s="111"/>
      <c r="G1186" s="112"/>
      <c r="H1186" s="112"/>
      <c r="I1186" s="112"/>
      <c r="J1186" s="112"/>
    </row>
    <row r="1187" spans="6:10" x14ac:dyDescent="0.2">
      <c r="F1187" s="111"/>
      <c r="G1187" s="112"/>
      <c r="H1187" s="112"/>
      <c r="I1187" s="112"/>
      <c r="J1187" s="112"/>
    </row>
    <row r="1188" spans="6:10" x14ac:dyDescent="0.2">
      <c r="F1188" s="111"/>
      <c r="G1188" s="112"/>
      <c r="H1188" s="112"/>
      <c r="I1188" s="112"/>
      <c r="J1188" s="112"/>
    </row>
    <row r="1189" spans="6:10" x14ac:dyDescent="0.2">
      <c r="F1189" s="111"/>
      <c r="G1189" s="112"/>
      <c r="H1189" s="112"/>
      <c r="I1189" s="112"/>
      <c r="J1189" s="112"/>
    </row>
    <row r="1190" spans="6:10" x14ac:dyDescent="0.2">
      <c r="F1190" s="111"/>
      <c r="G1190" s="112"/>
      <c r="H1190" s="112"/>
      <c r="I1190" s="112"/>
      <c r="J1190" s="112"/>
    </row>
    <row r="1191" spans="6:10" x14ac:dyDescent="0.2">
      <c r="F1191" s="111"/>
      <c r="G1191" s="112"/>
      <c r="H1191" s="112"/>
      <c r="I1191" s="112"/>
      <c r="J1191" s="112"/>
    </row>
    <row r="1192" spans="6:10" x14ac:dyDescent="0.2">
      <c r="F1192" s="111"/>
      <c r="G1192" s="112"/>
      <c r="H1192" s="112"/>
      <c r="I1192" s="112"/>
      <c r="J1192" s="112"/>
    </row>
    <row r="1193" spans="6:10" x14ac:dyDescent="0.2">
      <c r="F1193" s="111"/>
      <c r="G1193" s="112"/>
      <c r="H1193" s="112"/>
      <c r="I1193" s="112"/>
      <c r="J1193" s="112"/>
    </row>
    <row r="1194" spans="6:10" x14ac:dyDescent="0.2">
      <c r="F1194" s="111"/>
      <c r="G1194" s="112"/>
      <c r="H1194" s="112"/>
      <c r="I1194" s="112"/>
      <c r="J1194" s="112"/>
    </row>
    <row r="1195" spans="6:10" x14ac:dyDescent="0.2">
      <c r="F1195" s="111"/>
      <c r="G1195" s="112"/>
      <c r="H1195" s="112"/>
      <c r="I1195" s="112"/>
      <c r="J1195" s="112"/>
    </row>
    <row r="1196" spans="6:10" x14ac:dyDescent="0.2">
      <c r="F1196" s="111"/>
      <c r="G1196" s="112"/>
      <c r="H1196" s="112"/>
      <c r="I1196" s="112"/>
      <c r="J1196" s="112"/>
    </row>
    <row r="1197" spans="6:10" x14ac:dyDescent="0.2">
      <c r="F1197" s="111"/>
      <c r="G1197" s="112"/>
      <c r="H1197" s="112"/>
      <c r="I1197" s="112"/>
      <c r="J1197" s="112"/>
    </row>
    <row r="1198" spans="6:10" x14ac:dyDescent="0.2">
      <c r="F1198" s="111"/>
      <c r="G1198" s="112"/>
      <c r="H1198" s="112"/>
      <c r="I1198" s="112"/>
      <c r="J1198" s="112"/>
    </row>
    <row r="1199" spans="6:10" x14ac:dyDescent="0.2">
      <c r="F1199" s="111"/>
      <c r="G1199" s="112"/>
      <c r="H1199" s="112"/>
      <c r="I1199" s="112"/>
      <c r="J1199" s="112"/>
    </row>
    <row r="1200" spans="6:10" x14ac:dyDescent="0.2">
      <c r="F1200" s="111"/>
      <c r="G1200" s="112"/>
      <c r="H1200" s="112"/>
      <c r="I1200" s="112"/>
      <c r="J1200" s="112"/>
    </row>
    <row r="1201" spans="6:10" x14ac:dyDescent="0.2">
      <c r="F1201" s="111"/>
      <c r="G1201" s="112"/>
      <c r="H1201" s="112"/>
      <c r="I1201" s="112"/>
      <c r="J1201" s="112"/>
    </row>
    <row r="1202" spans="6:10" x14ac:dyDescent="0.2">
      <c r="F1202" s="111"/>
      <c r="G1202" s="112"/>
      <c r="H1202" s="112"/>
      <c r="I1202" s="112"/>
      <c r="J1202" s="112"/>
    </row>
    <row r="1203" spans="6:10" x14ac:dyDescent="0.2">
      <c r="F1203" s="111"/>
      <c r="G1203" s="112"/>
      <c r="H1203" s="112"/>
      <c r="I1203" s="112"/>
      <c r="J1203" s="112"/>
    </row>
    <row r="1204" spans="6:10" x14ac:dyDescent="0.2">
      <c r="F1204" s="111"/>
      <c r="G1204" s="112"/>
      <c r="H1204" s="112"/>
      <c r="I1204" s="112"/>
      <c r="J1204" s="112"/>
    </row>
    <row r="1205" spans="6:10" x14ac:dyDescent="0.2">
      <c r="F1205" s="111"/>
      <c r="G1205" s="112"/>
      <c r="H1205" s="112"/>
      <c r="I1205" s="112"/>
      <c r="J1205" s="112"/>
    </row>
    <row r="1206" spans="6:10" x14ac:dyDescent="0.2">
      <c r="F1206" s="111"/>
      <c r="G1206" s="112"/>
      <c r="H1206" s="112"/>
      <c r="I1206" s="112"/>
      <c r="J1206" s="112"/>
    </row>
    <row r="1207" spans="6:10" x14ac:dyDescent="0.2">
      <c r="F1207" s="111"/>
      <c r="G1207" s="112"/>
      <c r="H1207" s="112"/>
      <c r="I1207" s="112"/>
      <c r="J1207" s="112"/>
    </row>
    <row r="1208" spans="6:10" x14ac:dyDescent="0.2">
      <c r="F1208" s="111"/>
      <c r="G1208" s="112"/>
      <c r="H1208" s="112"/>
      <c r="I1208" s="112"/>
      <c r="J1208" s="112"/>
    </row>
    <row r="1209" spans="6:10" x14ac:dyDescent="0.2">
      <c r="F1209" s="111"/>
      <c r="G1209" s="112"/>
      <c r="H1209" s="112"/>
      <c r="I1209" s="112"/>
      <c r="J1209" s="112"/>
    </row>
    <row r="1210" spans="6:10" x14ac:dyDescent="0.2">
      <c r="F1210" s="111"/>
      <c r="G1210" s="112"/>
      <c r="H1210" s="112"/>
      <c r="I1210" s="112"/>
      <c r="J1210" s="112"/>
    </row>
    <row r="1211" spans="6:10" x14ac:dyDescent="0.2">
      <c r="F1211" s="111"/>
      <c r="G1211" s="112"/>
      <c r="H1211" s="112"/>
      <c r="I1211" s="112"/>
      <c r="J1211" s="112"/>
    </row>
    <row r="1212" spans="6:10" x14ac:dyDescent="0.2">
      <c r="F1212" s="111"/>
      <c r="G1212" s="112"/>
      <c r="H1212" s="112"/>
      <c r="I1212" s="112"/>
      <c r="J1212" s="112"/>
    </row>
    <row r="1213" spans="6:10" x14ac:dyDescent="0.2">
      <c r="F1213" s="111"/>
      <c r="G1213" s="112"/>
      <c r="H1213" s="112"/>
      <c r="I1213" s="112"/>
      <c r="J1213" s="112"/>
    </row>
    <row r="1214" spans="6:10" x14ac:dyDescent="0.2">
      <c r="F1214" s="111"/>
      <c r="G1214" s="112"/>
      <c r="H1214" s="112"/>
      <c r="I1214" s="112"/>
      <c r="J1214" s="112"/>
    </row>
    <row r="1215" spans="6:10" x14ac:dyDescent="0.2">
      <c r="F1215" s="111"/>
      <c r="G1215" s="112"/>
      <c r="H1215" s="112"/>
      <c r="I1215" s="112"/>
      <c r="J1215" s="112"/>
    </row>
    <row r="1216" spans="6:10" x14ac:dyDescent="0.2">
      <c r="F1216" s="111"/>
      <c r="G1216" s="112"/>
      <c r="H1216" s="112"/>
      <c r="I1216" s="112"/>
      <c r="J1216" s="112"/>
    </row>
    <row r="1217" spans="6:10" x14ac:dyDescent="0.2">
      <c r="F1217" s="111"/>
      <c r="G1217" s="112"/>
      <c r="H1217" s="112"/>
      <c r="I1217" s="112"/>
      <c r="J1217" s="112"/>
    </row>
    <row r="1218" spans="6:10" x14ac:dyDescent="0.2">
      <c r="F1218" s="111"/>
      <c r="G1218" s="112"/>
      <c r="H1218" s="112"/>
      <c r="I1218" s="112"/>
      <c r="J1218" s="112"/>
    </row>
    <row r="1219" spans="6:10" x14ac:dyDescent="0.2">
      <c r="F1219" s="111"/>
      <c r="G1219" s="112"/>
      <c r="H1219" s="112"/>
      <c r="I1219" s="112"/>
      <c r="J1219" s="112"/>
    </row>
    <row r="1220" spans="6:10" x14ac:dyDescent="0.2">
      <c r="F1220" s="111"/>
      <c r="G1220" s="112"/>
      <c r="H1220" s="112"/>
      <c r="I1220" s="112"/>
      <c r="J1220" s="112"/>
    </row>
    <row r="1221" spans="6:10" x14ac:dyDescent="0.2">
      <c r="F1221" s="111"/>
      <c r="G1221" s="112"/>
      <c r="H1221" s="112"/>
      <c r="I1221" s="112"/>
      <c r="J1221" s="112"/>
    </row>
    <row r="1222" spans="6:10" x14ac:dyDescent="0.2">
      <c r="F1222" s="111"/>
      <c r="G1222" s="112"/>
      <c r="H1222" s="112"/>
      <c r="I1222" s="112"/>
      <c r="J1222" s="112"/>
    </row>
    <row r="1223" spans="6:10" x14ac:dyDescent="0.2">
      <c r="F1223" s="111"/>
      <c r="G1223" s="112"/>
      <c r="H1223" s="112"/>
      <c r="I1223" s="112"/>
      <c r="J1223" s="112"/>
    </row>
    <row r="1224" spans="6:10" x14ac:dyDescent="0.2">
      <c r="F1224" s="111"/>
      <c r="G1224" s="112"/>
      <c r="H1224" s="112"/>
      <c r="I1224" s="112"/>
      <c r="J1224" s="112"/>
    </row>
    <row r="1225" spans="6:10" x14ac:dyDescent="0.2">
      <c r="F1225" s="111"/>
      <c r="G1225" s="112"/>
      <c r="H1225" s="112"/>
      <c r="I1225" s="112"/>
      <c r="J1225" s="112"/>
    </row>
    <row r="1226" spans="6:10" x14ac:dyDescent="0.2">
      <c r="F1226" s="111"/>
      <c r="G1226" s="112"/>
      <c r="H1226" s="112"/>
      <c r="I1226" s="112"/>
      <c r="J1226" s="112"/>
    </row>
    <row r="1227" spans="6:10" x14ac:dyDescent="0.2">
      <c r="F1227" s="111"/>
      <c r="G1227" s="112"/>
      <c r="H1227" s="112"/>
      <c r="I1227" s="112"/>
      <c r="J1227" s="112"/>
    </row>
    <row r="1228" spans="6:10" x14ac:dyDescent="0.2">
      <c r="F1228" s="111"/>
      <c r="G1228" s="112"/>
      <c r="H1228" s="112"/>
      <c r="I1228" s="112"/>
      <c r="J1228" s="112"/>
    </row>
    <row r="1229" spans="6:10" x14ac:dyDescent="0.2">
      <c r="F1229" s="111"/>
      <c r="G1229" s="112"/>
      <c r="H1229" s="112"/>
      <c r="I1229" s="112"/>
      <c r="J1229" s="112"/>
    </row>
    <row r="1230" spans="6:10" x14ac:dyDescent="0.2">
      <c r="F1230" s="111"/>
      <c r="G1230" s="112"/>
      <c r="H1230" s="112"/>
      <c r="I1230" s="112"/>
      <c r="J1230" s="112"/>
    </row>
    <row r="1231" spans="6:10" x14ac:dyDescent="0.2">
      <c r="F1231" s="111"/>
      <c r="G1231" s="112"/>
      <c r="H1231" s="112"/>
      <c r="I1231" s="112"/>
      <c r="J1231" s="112"/>
    </row>
    <row r="1232" spans="6:10" x14ac:dyDescent="0.2">
      <c r="F1232" s="111"/>
      <c r="G1232" s="112"/>
      <c r="H1232" s="112"/>
      <c r="I1232" s="112"/>
      <c r="J1232" s="112"/>
    </row>
    <row r="1233" spans="6:10" x14ac:dyDescent="0.2">
      <c r="F1233" s="111"/>
      <c r="G1233" s="112"/>
      <c r="H1233" s="112"/>
      <c r="I1233" s="112"/>
      <c r="J1233" s="112"/>
    </row>
    <row r="1234" spans="6:10" x14ac:dyDescent="0.2">
      <c r="F1234" s="111"/>
      <c r="G1234" s="112"/>
      <c r="H1234" s="112"/>
      <c r="I1234" s="112"/>
      <c r="J1234" s="112"/>
    </row>
    <row r="1235" spans="6:10" x14ac:dyDescent="0.2">
      <c r="F1235" s="111"/>
      <c r="G1235" s="112"/>
      <c r="H1235" s="112"/>
      <c r="I1235" s="112"/>
      <c r="J1235" s="112"/>
    </row>
    <row r="1236" spans="6:10" x14ac:dyDescent="0.2">
      <c r="F1236" s="111"/>
      <c r="G1236" s="112"/>
      <c r="H1236" s="112"/>
      <c r="I1236" s="112"/>
      <c r="J1236" s="112"/>
    </row>
    <row r="1237" spans="6:10" x14ac:dyDescent="0.2">
      <c r="F1237" s="111"/>
      <c r="G1237" s="112"/>
      <c r="H1237" s="112"/>
      <c r="I1237" s="112"/>
      <c r="J1237" s="112"/>
    </row>
    <row r="1238" spans="6:10" x14ac:dyDescent="0.2">
      <c r="F1238" s="111"/>
      <c r="G1238" s="112"/>
      <c r="H1238" s="112"/>
      <c r="I1238" s="112"/>
      <c r="J1238" s="112"/>
    </row>
    <row r="1239" spans="6:10" x14ac:dyDescent="0.2">
      <c r="F1239" s="111"/>
      <c r="G1239" s="112"/>
      <c r="H1239" s="112"/>
      <c r="I1239" s="112"/>
      <c r="J1239" s="112"/>
    </row>
    <row r="1240" spans="6:10" x14ac:dyDescent="0.2">
      <c r="F1240" s="111"/>
      <c r="G1240" s="112"/>
      <c r="H1240" s="112"/>
      <c r="I1240" s="112"/>
      <c r="J1240" s="112"/>
    </row>
    <row r="1241" spans="6:10" x14ac:dyDescent="0.2">
      <c r="F1241" s="111"/>
      <c r="G1241" s="112"/>
      <c r="H1241" s="112"/>
      <c r="I1241" s="112"/>
      <c r="J1241" s="112"/>
    </row>
    <row r="1242" spans="6:10" x14ac:dyDescent="0.2">
      <c r="F1242" s="111"/>
      <c r="G1242" s="112"/>
      <c r="H1242" s="112"/>
      <c r="I1242" s="112"/>
      <c r="J1242" s="112"/>
    </row>
    <row r="1243" spans="6:10" x14ac:dyDescent="0.2">
      <c r="F1243" s="111"/>
      <c r="G1243" s="112"/>
      <c r="H1243" s="112"/>
      <c r="I1243" s="112"/>
      <c r="J1243" s="112"/>
    </row>
    <row r="1244" spans="6:10" x14ac:dyDescent="0.2">
      <c r="F1244" s="111"/>
      <c r="G1244" s="112"/>
      <c r="H1244" s="112"/>
      <c r="I1244" s="112"/>
      <c r="J1244" s="112"/>
    </row>
    <row r="1245" spans="6:10" x14ac:dyDescent="0.2">
      <c r="F1245" s="111"/>
      <c r="G1245" s="112"/>
      <c r="H1245" s="112"/>
      <c r="I1245" s="112"/>
      <c r="J1245" s="112"/>
    </row>
    <row r="1246" spans="6:10" x14ac:dyDescent="0.2">
      <c r="F1246" s="111"/>
      <c r="G1246" s="112"/>
      <c r="H1246" s="112"/>
      <c r="I1246" s="112"/>
      <c r="J1246" s="112"/>
    </row>
    <row r="1247" spans="6:10" x14ac:dyDescent="0.2">
      <c r="F1247" s="111"/>
      <c r="G1247" s="112"/>
      <c r="H1247" s="112"/>
      <c r="I1247" s="112"/>
      <c r="J1247" s="112"/>
    </row>
    <row r="1248" spans="6:10" x14ac:dyDescent="0.2">
      <c r="F1248" s="111"/>
      <c r="G1248" s="112"/>
      <c r="H1248" s="112"/>
      <c r="I1248" s="112"/>
      <c r="J1248" s="112"/>
    </row>
    <row r="1249" spans="6:10" x14ac:dyDescent="0.2">
      <c r="F1249" s="111"/>
      <c r="G1249" s="112"/>
      <c r="H1249" s="112"/>
      <c r="I1249" s="112"/>
      <c r="J1249" s="112"/>
    </row>
    <row r="1250" spans="6:10" x14ac:dyDescent="0.2">
      <c r="F1250" s="111"/>
      <c r="G1250" s="112"/>
      <c r="H1250" s="112"/>
      <c r="I1250" s="112"/>
      <c r="J1250" s="112"/>
    </row>
    <row r="1251" spans="6:10" x14ac:dyDescent="0.2">
      <c r="F1251" s="111"/>
      <c r="G1251" s="112"/>
      <c r="H1251" s="112"/>
      <c r="I1251" s="112"/>
      <c r="J1251" s="112"/>
    </row>
    <row r="1252" spans="6:10" x14ac:dyDescent="0.2">
      <c r="F1252" s="111"/>
      <c r="G1252" s="112"/>
      <c r="H1252" s="112"/>
      <c r="I1252" s="112"/>
      <c r="J1252" s="112"/>
    </row>
    <row r="1253" spans="6:10" x14ac:dyDescent="0.2">
      <c r="F1253" s="111"/>
      <c r="G1253" s="112"/>
      <c r="H1253" s="112"/>
      <c r="I1253" s="112"/>
      <c r="J1253" s="112"/>
    </row>
    <row r="1254" spans="6:10" x14ac:dyDescent="0.2">
      <c r="F1254" s="111"/>
      <c r="G1254" s="112"/>
      <c r="H1254" s="112"/>
      <c r="I1254" s="112"/>
      <c r="J1254" s="112"/>
    </row>
    <row r="1255" spans="6:10" x14ac:dyDescent="0.2">
      <c r="F1255" s="111"/>
      <c r="G1255" s="112"/>
      <c r="H1255" s="112"/>
      <c r="I1255" s="112"/>
      <c r="J1255" s="112"/>
    </row>
    <row r="1256" spans="6:10" x14ac:dyDescent="0.2">
      <c r="F1256" s="111"/>
      <c r="G1256" s="112"/>
      <c r="H1256" s="112"/>
      <c r="I1256" s="112"/>
      <c r="J1256" s="112"/>
    </row>
    <row r="1257" spans="6:10" x14ac:dyDescent="0.2">
      <c r="F1257" s="111"/>
      <c r="G1257" s="112"/>
      <c r="H1257" s="112"/>
      <c r="I1257" s="112"/>
      <c r="J1257" s="112"/>
    </row>
    <row r="1258" spans="6:10" x14ac:dyDescent="0.2">
      <c r="F1258" s="111"/>
      <c r="G1258" s="112"/>
      <c r="H1258" s="112"/>
      <c r="I1258" s="112"/>
      <c r="J1258" s="112"/>
    </row>
    <row r="1259" spans="6:10" x14ac:dyDescent="0.2">
      <c r="F1259" s="111"/>
      <c r="G1259" s="112"/>
      <c r="H1259" s="112"/>
      <c r="I1259" s="112"/>
      <c r="J1259" s="112"/>
    </row>
    <row r="1260" spans="6:10" x14ac:dyDescent="0.2">
      <c r="F1260" s="111"/>
      <c r="G1260" s="112"/>
      <c r="H1260" s="112"/>
      <c r="I1260" s="112"/>
      <c r="J1260" s="112"/>
    </row>
    <row r="1261" spans="6:10" x14ac:dyDescent="0.2">
      <c r="F1261" s="111"/>
      <c r="G1261" s="112"/>
      <c r="H1261" s="112"/>
      <c r="I1261" s="112"/>
      <c r="J1261" s="112"/>
    </row>
    <row r="1262" spans="6:10" x14ac:dyDescent="0.2">
      <c r="F1262" s="111"/>
      <c r="G1262" s="112"/>
      <c r="H1262" s="112"/>
      <c r="I1262" s="112"/>
      <c r="J1262" s="112"/>
    </row>
    <row r="1263" spans="6:10" x14ac:dyDescent="0.2">
      <c r="F1263" s="111"/>
      <c r="G1263" s="112"/>
      <c r="H1263" s="112"/>
      <c r="I1263" s="112"/>
      <c r="J1263" s="112"/>
    </row>
    <row r="1264" spans="6:10" x14ac:dyDescent="0.2">
      <c r="F1264" s="111"/>
      <c r="G1264" s="112"/>
      <c r="H1264" s="112"/>
      <c r="I1264" s="112"/>
      <c r="J1264" s="112"/>
    </row>
    <row r="1265" spans="6:10" x14ac:dyDescent="0.2">
      <c r="F1265" s="111"/>
      <c r="G1265" s="112"/>
      <c r="H1265" s="112"/>
      <c r="I1265" s="112"/>
      <c r="J1265" s="112"/>
    </row>
    <row r="1266" spans="6:10" x14ac:dyDescent="0.2">
      <c r="F1266" s="111"/>
      <c r="G1266" s="112"/>
      <c r="H1266" s="112"/>
      <c r="I1266" s="112"/>
      <c r="J1266" s="112"/>
    </row>
    <row r="1267" spans="6:10" x14ac:dyDescent="0.2">
      <c r="F1267" s="111"/>
      <c r="G1267" s="112"/>
      <c r="H1267" s="112"/>
      <c r="I1267" s="112"/>
      <c r="J1267" s="112"/>
    </row>
    <row r="1268" spans="6:10" x14ac:dyDescent="0.2">
      <c r="F1268" s="111"/>
      <c r="G1268" s="112"/>
      <c r="H1268" s="112"/>
      <c r="I1268" s="112"/>
      <c r="J1268" s="112"/>
    </row>
    <row r="1269" spans="6:10" x14ac:dyDescent="0.2">
      <c r="F1269" s="111"/>
      <c r="G1269" s="112"/>
      <c r="H1269" s="112"/>
      <c r="I1269" s="112"/>
      <c r="J1269" s="112"/>
    </row>
    <row r="1270" spans="6:10" x14ac:dyDescent="0.2">
      <c r="F1270" s="111"/>
      <c r="G1270" s="112"/>
      <c r="H1270" s="112"/>
      <c r="I1270" s="112"/>
      <c r="J1270" s="112"/>
    </row>
    <row r="1271" spans="6:10" x14ac:dyDescent="0.2">
      <c r="F1271" s="111"/>
      <c r="G1271" s="112"/>
      <c r="H1271" s="112"/>
      <c r="I1271" s="112"/>
      <c r="J1271" s="112"/>
    </row>
    <row r="1272" spans="6:10" x14ac:dyDescent="0.2">
      <c r="F1272" s="111"/>
      <c r="G1272" s="112"/>
      <c r="H1272" s="112"/>
      <c r="I1272" s="112"/>
      <c r="J1272" s="112"/>
    </row>
    <row r="1273" spans="6:10" x14ac:dyDescent="0.2">
      <c r="F1273" s="111"/>
      <c r="G1273" s="112"/>
      <c r="H1273" s="112"/>
      <c r="I1273" s="112"/>
      <c r="J1273" s="112"/>
    </row>
    <row r="1274" spans="6:10" x14ac:dyDescent="0.2">
      <c r="F1274" s="111"/>
      <c r="G1274" s="112"/>
      <c r="H1274" s="112"/>
      <c r="I1274" s="112"/>
      <c r="J1274" s="112"/>
    </row>
    <row r="1275" spans="6:10" x14ac:dyDescent="0.2">
      <c r="F1275" s="111"/>
      <c r="G1275" s="112"/>
      <c r="H1275" s="112"/>
      <c r="I1275" s="112"/>
      <c r="J1275" s="112"/>
    </row>
    <row r="1276" spans="6:10" x14ac:dyDescent="0.2">
      <c r="F1276" s="111"/>
      <c r="G1276" s="112"/>
      <c r="H1276" s="112"/>
      <c r="I1276" s="112"/>
      <c r="J1276" s="112"/>
    </row>
  </sheetData>
  <pageMargins left="0.7" right="0.7" top="0.75" bottom="0.75" header="0.3" footer="0.3"/>
  <pageSetup orientation="portrait" horizontalDpi="3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446E881E-4601-4B56-AA94-82C771034DF1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B10:B50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AA40"/>
  <sheetViews>
    <sheetView showGridLines="0" tabSelected="1" workbookViewId="0">
      <selection activeCell="E28" sqref="E28"/>
    </sheetView>
  </sheetViews>
  <sheetFormatPr defaultRowHeight="12" x14ac:dyDescent="0.2"/>
  <cols>
    <col min="1" max="1" width="1.33203125" customWidth="1"/>
    <col min="3" max="4" width="9.6640625" bestFit="1" customWidth="1"/>
    <col min="5" max="7" width="9.5" bestFit="1" customWidth="1"/>
    <col min="8" max="8" width="11.5" customWidth="1"/>
    <col min="9" max="9" width="3.33203125" customWidth="1"/>
    <col min="10" max="18" width="13.6640625" customWidth="1"/>
    <col min="19" max="19" width="3.1640625" customWidth="1"/>
    <col min="20" max="20" width="9.83203125" bestFit="1" customWidth="1"/>
    <col min="21" max="21" width="11" customWidth="1"/>
  </cols>
  <sheetData>
    <row r="1" spans="2:27" x14ac:dyDescent="0.2">
      <c r="Z1" s="157">
        <v>8</v>
      </c>
      <c r="AA1" s="157"/>
    </row>
    <row r="2" spans="2:27" ht="12.75" thickBot="1" x14ac:dyDescent="0.25">
      <c r="B2" s="2" t="s">
        <v>128</v>
      </c>
      <c r="C2" s="3"/>
      <c r="D2" s="4"/>
      <c r="T2" s="231">
        <v>1</v>
      </c>
      <c r="U2" s="169" t="s">
        <v>151</v>
      </c>
      <c r="V2" s="176" t="s">
        <v>149</v>
      </c>
      <c r="W2" s="173">
        <v>1</v>
      </c>
      <c r="X2" s="156"/>
      <c r="Y2" s="156"/>
      <c r="Z2" t="s">
        <v>114</v>
      </c>
      <c r="AA2" t="s">
        <v>143</v>
      </c>
    </row>
    <row r="3" spans="2:27" x14ac:dyDescent="0.2">
      <c r="B3" s="86" t="s">
        <v>126</v>
      </c>
      <c r="C3" s="6">
        <v>650</v>
      </c>
      <c r="D3" s="20" t="s">
        <v>147</v>
      </c>
      <c r="T3" s="232"/>
      <c r="U3" s="192" t="s">
        <v>145</v>
      </c>
      <c r="V3" s="177" t="s">
        <v>148</v>
      </c>
      <c r="W3" s="174">
        <v>0</v>
      </c>
      <c r="X3" s="156"/>
      <c r="Y3" s="160" t="s">
        <v>144</v>
      </c>
      <c r="Z3" s="161">
        <v>61.272000000000006</v>
      </c>
      <c r="AA3" s="162">
        <v>702.67000000000007</v>
      </c>
    </row>
    <row r="4" spans="2:27" ht="12.75" thickBot="1" x14ac:dyDescent="0.25">
      <c r="B4" s="87" t="s">
        <v>127</v>
      </c>
      <c r="C4" s="22">
        <v>850</v>
      </c>
      <c r="D4" s="24" t="s">
        <v>147</v>
      </c>
      <c r="T4" s="233"/>
      <c r="U4" s="170">
        <f>+(AA4-AA3)/(Z4-Z3)*0.3048</f>
        <v>1.655534872962075E-2</v>
      </c>
      <c r="V4" s="178" t="s">
        <v>150</v>
      </c>
      <c r="W4" s="175">
        <v>0</v>
      </c>
      <c r="X4" s="156"/>
      <c r="Y4" s="164" t="s">
        <v>146</v>
      </c>
      <c r="Z4" s="165">
        <v>977.77</v>
      </c>
      <c r="AA4" s="166">
        <v>752.44999999999993</v>
      </c>
    </row>
    <row r="5" spans="2:27" x14ac:dyDescent="0.2">
      <c r="U5" s="171"/>
      <c r="V5" s="179"/>
      <c r="W5" s="172"/>
    </row>
    <row r="6" spans="2:27" ht="12.75" thickBot="1" x14ac:dyDescent="0.25">
      <c r="T6" s="231">
        <v>1</v>
      </c>
      <c r="U6" s="169" t="s">
        <v>152</v>
      </c>
      <c r="V6" s="176" t="s">
        <v>149</v>
      </c>
      <c r="W6" s="173">
        <v>0</v>
      </c>
      <c r="X6" s="156"/>
      <c r="Y6" s="156"/>
      <c r="Z6" t="s">
        <v>114</v>
      </c>
      <c r="AA6" t="s">
        <v>143</v>
      </c>
    </row>
    <row r="7" spans="2:27" x14ac:dyDescent="0.2">
      <c r="T7" s="232"/>
      <c r="U7" s="192" t="s">
        <v>145</v>
      </c>
      <c r="V7" s="177" t="s">
        <v>148</v>
      </c>
      <c r="W7" s="174">
        <v>0</v>
      </c>
      <c r="X7" s="156"/>
      <c r="Y7" s="160" t="s">
        <v>144</v>
      </c>
      <c r="Z7" s="161">
        <v>829.63</v>
      </c>
      <c r="AA7" s="162">
        <v>723.43000000000006</v>
      </c>
    </row>
    <row r="8" spans="2:27" ht="12.75" thickBot="1" x14ac:dyDescent="0.25">
      <c r="B8" s="139" t="s">
        <v>140</v>
      </c>
      <c r="C8" s="140" t="s">
        <v>113</v>
      </c>
      <c r="D8" s="141" t="s">
        <v>114</v>
      </c>
      <c r="E8" s="128" t="s">
        <v>118</v>
      </c>
      <c r="F8" s="129" t="s">
        <v>119</v>
      </c>
      <c r="G8" s="130" t="s">
        <v>120</v>
      </c>
      <c r="H8" s="203" t="s">
        <v>167</v>
      </c>
      <c r="T8" s="233"/>
      <c r="U8" s="170">
        <f>+(AA8-AA7)/(Z8-Z7)*0.3048</f>
        <v>0.13753187622120228</v>
      </c>
      <c r="V8" s="178" t="s">
        <v>150</v>
      </c>
      <c r="W8" s="175">
        <v>1</v>
      </c>
      <c r="X8" s="156"/>
      <c r="Y8" s="164" t="s">
        <v>146</v>
      </c>
      <c r="Z8" s="165">
        <v>1049.7</v>
      </c>
      <c r="AA8" s="166">
        <v>822.73</v>
      </c>
    </row>
    <row r="9" spans="2:27" x14ac:dyDescent="0.2">
      <c r="B9" s="135" t="s">
        <v>141</v>
      </c>
      <c r="C9" s="136" t="s">
        <v>31</v>
      </c>
      <c r="D9" s="137" t="s">
        <v>31</v>
      </c>
      <c r="E9" s="131" t="s">
        <v>121</v>
      </c>
      <c r="F9" s="132" t="s">
        <v>122</v>
      </c>
      <c r="G9" s="133" t="s">
        <v>123</v>
      </c>
      <c r="H9" s="204" t="s">
        <v>145</v>
      </c>
      <c r="U9" s="172"/>
      <c r="V9" s="179"/>
      <c r="W9" s="172"/>
    </row>
    <row r="10" spans="2:27" ht="12.75" thickBot="1" x14ac:dyDescent="0.25">
      <c r="B10" s="149">
        <v>1</v>
      </c>
      <c r="C10" s="150">
        <f>+Survey!M10</f>
        <v>0</v>
      </c>
      <c r="D10" s="150">
        <f>+Survey!N10</f>
        <v>7.078286882425914</v>
      </c>
      <c r="E10" s="88">
        <f>+'MG Data'!AF10</f>
        <v>0.32</v>
      </c>
      <c r="F10" s="118">
        <f>+'MG Data'!AG10</f>
        <v>699.66650000000004</v>
      </c>
      <c r="G10" s="119">
        <f>+'MG Data'!AH10</f>
        <v>76.163799999999995</v>
      </c>
      <c r="H10" s="205"/>
      <c r="T10" s="231">
        <v>0</v>
      </c>
      <c r="U10" s="169" t="s">
        <v>153</v>
      </c>
      <c r="V10" s="176" t="s">
        <v>149</v>
      </c>
      <c r="W10" s="173">
        <v>1</v>
      </c>
      <c r="X10" s="156"/>
      <c r="Y10" s="156"/>
      <c r="Z10" t="s">
        <v>114</v>
      </c>
      <c r="AA10" t="s">
        <v>143</v>
      </c>
    </row>
    <row r="11" spans="2:27" x14ac:dyDescent="0.2">
      <c r="B11" s="151">
        <v>2</v>
      </c>
      <c r="C11" s="147">
        <f>+Survey!M11</f>
        <v>249.93600000000001</v>
      </c>
      <c r="D11" s="147">
        <f>+Survey!N11</f>
        <v>250.18860358503076</v>
      </c>
      <c r="E11" s="89">
        <f>+'MG Data'!AF11</f>
        <v>0.7</v>
      </c>
      <c r="F11" s="109">
        <f>+'MG Data'!AG11</f>
        <v>712.322</v>
      </c>
      <c r="G11" s="120">
        <f>+'MG Data'!AH11</f>
        <v>97.678600000000003</v>
      </c>
      <c r="H11" s="206">
        <f>+(F11-F10)/(D11-D10)*0.3048</f>
        <v>1.5866856052508517E-2</v>
      </c>
      <c r="T11" s="232"/>
      <c r="U11" s="192" t="s">
        <v>145</v>
      </c>
      <c r="V11" s="177" t="s">
        <v>148</v>
      </c>
      <c r="W11" s="174">
        <v>0</v>
      </c>
      <c r="X11" s="156"/>
      <c r="Y11" s="160" t="s">
        <v>144</v>
      </c>
      <c r="Z11" s="161">
        <v>500</v>
      </c>
      <c r="AA11" s="162">
        <v>702.67000000000007</v>
      </c>
    </row>
    <row r="12" spans="2:27" ht="12.75" thickBot="1" x14ac:dyDescent="0.25">
      <c r="B12" s="151">
        <v>3</v>
      </c>
      <c r="C12" s="147">
        <f>+Survey!M12</f>
        <v>499.87200000000001</v>
      </c>
      <c r="D12" s="147">
        <f>+Survey!N12</f>
        <v>474.24971691357666</v>
      </c>
      <c r="E12" s="89">
        <f>+'MG Data'!AF12</f>
        <v>1</v>
      </c>
      <c r="F12" s="109">
        <f>+'MG Data'!AG12</f>
        <v>724.4896</v>
      </c>
      <c r="G12" s="120">
        <f>+'MG Data'!AH12</f>
        <v>108.4</v>
      </c>
      <c r="H12" s="206">
        <f t="shared" ref="H12:H15" si="0">+(F12-F11)/(D12-D11)*0.3048</f>
        <v>1.6552111274042762E-2</v>
      </c>
      <c r="T12" s="233"/>
      <c r="U12" s="170">
        <f>+(AA12-AA11)/(Z12-Z11)*0.3048</f>
        <v>2.9870399999999932E-2</v>
      </c>
      <c r="V12" s="178" t="s">
        <v>150</v>
      </c>
      <c r="W12" s="175">
        <v>0</v>
      </c>
      <c r="X12" s="156"/>
      <c r="Y12" s="164" t="s">
        <v>146</v>
      </c>
      <c r="Z12" s="165">
        <v>1000</v>
      </c>
      <c r="AA12" s="166">
        <v>751.67</v>
      </c>
    </row>
    <row r="13" spans="2:27" x14ac:dyDescent="0.2">
      <c r="B13" s="151">
        <v>4</v>
      </c>
      <c r="C13" s="147">
        <f>+Survey!M13</f>
        <v>750.11279999999999</v>
      </c>
      <c r="D13" s="147">
        <f>+Survey!N13</f>
        <v>698.58407550227923</v>
      </c>
      <c r="E13" s="89">
        <f>+'MG Data'!AF13</f>
        <v>1.4</v>
      </c>
      <c r="F13" s="109">
        <f>+'MG Data'!AG13</f>
        <v>736.07029999999997</v>
      </c>
      <c r="G13" s="120">
        <f>+'MG Data'!AH13</f>
        <v>118.1956</v>
      </c>
      <c r="H13" s="206">
        <f t="shared" si="0"/>
        <v>1.5734537420866362E-2</v>
      </c>
    </row>
    <row r="14" spans="2:27" x14ac:dyDescent="0.2">
      <c r="B14" s="151">
        <v>5</v>
      </c>
      <c r="C14" s="147">
        <f>+Survey!M14</f>
        <v>950.0616</v>
      </c>
      <c r="D14" s="147">
        <f>+Survey!N14</f>
        <v>877.83296616511598</v>
      </c>
      <c r="E14" s="89">
        <f>+'MG Data'!AF14</f>
        <v>1.75</v>
      </c>
      <c r="F14" s="109">
        <f>+'MG Data'!AG14</f>
        <v>745.14639999999997</v>
      </c>
      <c r="G14" s="120">
        <f>+'MG Data'!AH14</f>
        <v>124.416</v>
      </c>
      <c r="H14" s="206">
        <f t="shared" si="0"/>
        <v>1.5433263044308199E-2</v>
      </c>
      <c r="T14" s="231">
        <v>1</v>
      </c>
      <c r="U14" s="198" t="s">
        <v>162</v>
      </c>
      <c r="V14" s="199" t="s">
        <v>163</v>
      </c>
      <c r="W14" s="200"/>
    </row>
    <row r="15" spans="2:27" x14ac:dyDescent="0.2">
      <c r="B15" s="151">
        <v>6</v>
      </c>
      <c r="C15" s="147">
        <f>+Survey!M15</f>
        <v>1097.8896</v>
      </c>
      <c r="D15" s="147">
        <f>+Survey!N15</f>
        <v>1010.3569173411462</v>
      </c>
      <c r="E15" s="89">
        <f>+'MG Data'!AF15</f>
        <v>2.2999999999999998</v>
      </c>
      <c r="F15" s="109">
        <f>+'MG Data'!AG15</f>
        <v>805.49339999999995</v>
      </c>
      <c r="G15" s="120">
        <f>+'MG Data'!AH15</f>
        <v>131.07650000000001</v>
      </c>
      <c r="H15" s="206">
        <f t="shared" si="0"/>
        <v>0.13879578322840483</v>
      </c>
      <c r="T15" s="232"/>
      <c r="U15" s="193" t="s">
        <v>161</v>
      </c>
      <c r="V15" s="148">
        <f>+Hide_Contacts!AP15</f>
        <v>862.31143885349275</v>
      </c>
      <c r="W15" s="197" t="s">
        <v>31</v>
      </c>
    </row>
    <row r="16" spans="2:27" x14ac:dyDescent="0.2">
      <c r="B16" s="113"/>
      <c r="C16" s="148"/>
      <c r="D16" s="148"/>
      <c r="E16" s="89"/>
      <c r="F16" s="109"/>
      <c r="G16" s="120"/>
      <c r="H16" s="207"/>
      <c r="T16" s="233"/>
      <c r="U16" s="194" t="s">
        <v>119</v>
      </c>
      <c r="V16" s="195">
        <f>+Hide_Contacts!AQ19</f>
        <v>738.17652100764235</v>
      </c>
      <c r="W16" s="196" t="s">
        <v>147</v>
      </c>
    </row>
    <row r="17" spans="2:23" x14ac:dyDescent="0.2">
      <c r="B17" s="113"/>
      <c r="C17" s="148"/>
      <c r="D17" s="148"/>
      <c r="E17" s="89"/>
      <c r="F17" s="109"/>
      <c r="G17" s="120"/>
      <c r="H17" s="207"/>
    </row>
    <row r="18" spans="2:23" x14ac:dyDescent="0.2">
      <c r="B18" s="113"/>
      <c r="C18" s="148"/>
      <c r="D18" s="148"/>
      <c r="E18" s="89"/>
      <c r="F18" s="109"/>
      <c r="G18" s="120"/>
      <c r="H18" s="207"/>
      <c r="T18" s="231">
        <v>0</v>
      </c>
      <c r="U18" s="198" t="s">
        <v>165</v>
      </c>
      <c r="V18" s="199" t="s">
        <v>164</v>
      </c>
      <c r="W18" s="200"/>
    </row>
    <row r="19" spans="2:23" x14ac:dyDescent="0.2">
      <c r="B19" s="113"/>
      <c r="C19" s="148"/>
      <c r="D19" s="148"/>
      <c r="E19" s="89"/>
      <c r="F19" s="109"/>
      <c r="G19" s="120"/>
      <c r="H19" s="207"/>
      <c r="T19" s="232"/>
      <c r="U19" s="193" t="s">
        <v>161</v>
      </c>
      <c r="V19" s="148">
        <f>+Hide_Contacts!AK15</f>
        <v>882.47319836043187</v>
      </c>
      <c r="W19" s="197" t="s">
        <v>31</v>
      </c>
    </row>
    <row r="20" spans="2:23" x14ac:dyDescent="0.2">
      <c r="B20" s="113"/>
      <c r="C20" s="148"/>
      <c r="D20" s="148"/>
      <c r="E20" s="89"/>
      <c r="F20" s="109"/>
      <c r="G20" s="120"/>
      <c r="H20" s="207"/>
      <c r="T20" s="233"/>
      <c r="U20" s="194" t="s">
        <v>119</v>
      </c>
      <c r="V20" s="195">
        <f>+Hide_Contacts!AL19</f>
        <v>747.27391146994557</v>
      </c>
      <c r="W20" s="196" t="s">
        <v>147</v>
      </c>
    </row>
    <row r="21" spans="2:23" x14ac:dyDescent="0.2">
      <c r="B21" s="113"/>
      <c r="C21" s="148"/>
      <c r="D21" s="148"/>
      <c r="E21" s="89"/>
      <c r="F21" s="109"/>
      <c r="G21" s="120"/>
      <c r="H21" s="207"/>
    </row>
    <row r="22" spans="2:23" x14ac:dyDescent="0.2">
      <c r="B22" s="113"/>
      <c r="C22" s="148"/>
      <c r="D22" s="148"/>
      <c r="E22" s="89"/>
      <c r="F22" s="109"/>
      <c r="G22" s="120"/>
      <c r="H22" s="207"/>
    </row>
    <row r="23" spans="2:23" x14ac:dyDescent="0.2">
      <c r="B23" s="113"/>
      <c r="C23" s="148"/>
      <c r="D23" s="148"/>
      <c r="E23" s="89"/>
      <c r="F23" s="109"/>
      <c r="G23" s="120"/>
      <c r="H23" s="207"/>
    </row>
    <row r="24" spans="2:23" x14ac:dyDescent="0.2">
      <c r="B24" s="113"/>
      <c r="C24" s="148"/>
      <c r="D24" s="148"/>
      <c r="E24" s="89"/>
      <c r="F24" s="109"/>
      <c r="G24" s="120"/>
      <c r="H24" s="207"/>
    </row>
    <row r="25" spans="2:23" x14ac:dyDescent="0.2">
      <c r="B25" s="114"/>
      <c r="C25" s="152"/>
      <c r="D25" s="152"/>
      <c r="E25" s="153"/>
      <c r="F25" s="121"/>
      <c r="G25" s="122"/>
      <c r="H25" s="208"/>
    </row>
    <row r="26" spans="2:23" x14ac:dyDescent="0.2">
      <c r="C26" s="148"/>
      <c r="D26" s="148"/>
      <c r="E26" s="89"/>
      <c r="F26" s="109"/>
      <c r="G26" s="109"/>
    </row>
    <row r="27" spans="2:23" x14ac:dyDescent="0.2">
      <c r="C27" s="148"/>
      <c r="D27" s="148"/>
      <c r="E27" s="89"/>
      <c r="F27" s="109"/>
      <c r="G27" s="109"/>
    </row>
    <row r="28" spans="2:23" x14ac:dyDescent="0.2">
      <c r="C28" s="148"/>
      <c r="D28" s="148"/>
      <c r="E28" s="89"/>
      <c r="F28" s="109"/>
      <c r="G28" s="109"/>
    </row>
    <row r="29" spans="2:23" x14ac:dyDescent="0.2">
      <c r="C29" s="148"/>
      <c r="D29" s="148"/>
      <c r="E29" s="89"/>
      <c r="F29" s="109"/>
      <c r="G29" s="109"/>
    </row>
    <row r="30" spans="2:23" x14ac:dyDescent="0.2">
      <c r="C30" s="148"/>
      <c r="D30" s="148"/>
      <c r="E30" s="89"/>
    </row>
    <row r="31" spans="2:23" x14ac:dyDescent="0.2">
      <c r="C31" s="148"/>
      <c r="D31" s="148"/>
      <c r="E31" s="89"/>
    </row>
    <row r="32" spans="2:23" x14ac:dyDescent="0.2">
      <c r="E32" s="89"/>
    </row>
    <row r="33" spans="5:27" x14ac:dyDescent="0.2">
      <c r="E33" s="89"/>
    </row>
    <row r="34" spans="5:27" x14ac:dyDescent="0.2">
      <c r="E34" s="89"/>
    </row>
    <row r="35" spans="5:27" x14ac:dyDescent="0.2">
      <c r="E35" s="89"/>
    </row>
    <row r="38" spans="5:27" x14ac:dyDescent="0.2">
      <c r="T38" s="234" t="s">
        <v>174</v>
      </c>
    </row>
    <row r="39" spans="5:27" x14ac:dyDescent="0.2">
      <c r="T39" s="239" t="s">
        <v>175</v>
      </c>
      <c r="U39" s="235"/>
      <c r="V39" s="235" t="s">
        <v>177</v>
      </c>
      <c r="W39" s="235"/>
      <c r="X39" s="235"/>
      <c r="Y39" s="235"/>
      <c r="Z39" s="235"/>
      <c r="AA39" s="236"/>
    </row>
    <row r="40" spans="5:27" x14ac:dyDescent="0.2">
      <c r="T40" s="240" t="s">
        <v>176</v>
      </c>
      <c r="U40" s="237"/>
      <c r="V40" s="237" t="s">
        <v>178</v>
      </c>
      <c r="W40" s="237"/>
      <c r="X40" s="237"/>
      <c r="Y40" s="237"/>
      <c r="Z40" s="237"/>
      <c r="AA40" s="238"/>
    </row>
  </sheetData>
  <mergeCells count="5">
    <mergeCell ref="T2:T4"/>
    <mergeCell ref="T6:T8"/>
    <mergeCell ref="T10:T12"/>
    <mergeCell ref="T14:T16"/>
    <mergeCell ref="T18:T20"/>
  </mergeCell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50E5D731-9A34-4337-A8D4-FC3A646CB47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1" iconId="0"/>
              <x14:cfIcon iconSet="3Symbols2" iconId="0"/>
              <x14:cfIcon iconSet="3Symbols2" iconId="2"/>
            </x14:iconSet>
          </x14:cfRule>
          <xm:sqref>T2 T6 T10</xm:sqref>
        </x14:conditionalFormatting>
        <x14:conditionalFormatting xmlns:xm="http://schemas.microsoft.com/office/excel/2006/main">
          <x14:cfRule type="iconSet" priority="4" id="{07A8AA31-8DCD-4ADA-8EF4-7358007313D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1" iconId="0"/>
              <x14:cfIcon iconSet="3Symbols" iconId="0"/>
              <x14:cfIcon iconSet="3Stars" iconId="2"/>
            </x14:iconSet>
          </x14:cfRule>
          <xm:sqref>W2:W4 W6:W8 W10:W12</xm:sqref>
        </x14:conditionalFormatting>
        <x14:conditionalFormatting xmlns:xm="http://schemas.microsoft.com/office/excel/2006/main">
          <x14:cfRule type="iconSet" priority="3" id="{5F9E3719-FB23-4CC6-8436-1C9EA38B5A4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1" iconId="0"/>
              <x14:cfIcon iconSet="3Symbols2" iconId="0"/>
              <x14:cfIcon iconSet="3Symbols2" iconId="2"/>
            </x14:iconSet>
          </x14:cfRule>
          <xm:sqref>T14</xm:sqref>
        </x14:conditionalFormatting>
        <x14:conditionalFormatting xmlns:xm="http://schemas.microsoft.com/office/excel/2006/main">
          <x14:cfRule type="iconSet" priority="1" id="{058397E5-483D-40CD-971A-92D4E086401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1" iconId="0"/>
              <x14:cfIcon iconSet="3Symbols2" iconId="0"/>
              <x14:cfIcon iconSet="3Symbols2" iconId="2"/>
            </x14:iconSet>
          </x14:cfRule>
          <xm:sqref>T18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Q1:AR32"/>
  <sheetViews>
    <sheetView showGridLines="0" topLeftCell="P1" workbookViewId="0">
      <selection activeCell="Y34" sqref="Y34"/>
    </sheetView>
  </sheetViews>
  <sheetFormatPr defaultRowHeight="12" x14ac:dyDescent="0.2"/>
  <cols>
    <col min="17" max="17" width="11" customWidth="1"/>
    <col min="18" max="18" width="15.83203125" style="80" customWidth="1"/>
    <col min="19" max="19" width="15.83203125" customWidth="1"/>
    <col min="28" max="28" width="1.6640625" customWidth="1"/>
    <col min="35" max="35" width="2.5" customWidth="1"/>
  </cols>
  <sheetData>
    <row r="1" spans="17:44" x14ac:dyDescent="0.2">
      <c r="AC1" s="156"/>
      <c r="AD1" s="156"/>
      <c r="AE1" s="156"/>
      <c r="AF1" s="156"/>
      <c r="AG1" s="156"/>
      <c r="AH1" s="156"/>
      <c r="AI1" s="156"/>
      <c r="AJ1" s="157" t="s">
        <v>166</v>
      </c>
      <c r="AK1" s="156"/>
      <c r="AL1" s="156"/>
      <c r="AM1" s="156"/>
      <c r="AN1" s="156"/>
      <c r="AO1" s="157" t="s">
        <v>154</v>
      </c>
      <c r="AP1" s="156"/>
      <c r="AQ1" s="156"/>
      <c r="AR1" s="156"/>
    </row>
    <row r="2" spans="17:44" ht="12.75" thickBot="1" x14ac:dyDescent="0.25">
      <c r="Q2" s="211" t="s">
        <v>171</v>
      </c>
      <c r="Y2" s="156"/>
      <c r="Z2" t="s">
        <v>114</v>
      </c>
      <c r="AA2" t="s">
        <v>143</v>
      </c>
      <c r="AC2" s="156"/>
      <c r="AD2" s="156"/>
      <c r="AE2" s="156"/>
      <c r="AF2" s="156"/>
      <c r="AG2" s="156"/>
      <c r="AH2" s="156"/>
      <c r="AI2" s="156"/>
      <c r="AJ2" s="154" t="s">
        <v>155</v>
      </c>
      <c r="AK2" s="167"/>
      <c r="AL2" s="167"/>
      <c r="AM2" s="155" t="s">
        <v>156</v>
      </c>
      <c r="AN2" s="156"/>
      <c r="AO2" s="154" t="s">
        <v>155</v>
      </c>
      <c r="AP2" s="167"/>
      <c r="AQ2" s="167"/>
      <c r="AR2" s="155" t="s">
        <v>156</v>
      </c>
    </row>
    <row r="3" spans="17:44" x14ac:dyDescent="0.2">
      <c r="Q3" s="215"/>
      <c r="R3" s="216" t="s">
        <v>168</v>
      </c>
      <c r="S3" s="221" t="s">
        <v>169</v>
      </c>
      <c r="Y3" s="160" t="s">
        <v>144</v>
      </c>
      <c r="Z3" s="161">
        <f>+'GE Analysis'!Z3</f>
        <v>61.272000000000006</v>
      </c>
      <c r="AA3" s="162">
        <f>+'GE Analysis'!AA3</f>
        <v>702.67000000000007</v>
      </c>
      <c r="AC3" s="156" t="s">
        <v>157</v>
      </c>
      <c r="AD3" s="180">
        <f>+INDEX(LINEST(Z3:Z4,AA3:AA4),1)</f>
        <v>18.410968260345573</v>
      </c>
      <c r="AE3" s="156"/>
      <c r="AF3" s="181">
        <f>+AD3</f>
        <v>18.410968260345573</v>
      </c>
      <c r="AG3" s="156">
        <v>-1</v>
      </c>
      <c r="AH3" s="182">
        <f>-AD4</f>
        <v>12875.563067497023</v>
      </c>
      <c r="AI3" s="156"/>
      <c r="AJ3" s="181">
        <f>+AF7</f>
        <v>2.2162134944612299</v>
      </c>
      <c r="AK3" s="180">
        <f>+AG7</f>
        <v>-1</v>
      </c>
      <c r="AL3" s="156"/>
      <c r="AM3" s="182">
        <f>+AH7</f>
        <v>773.64532829808786</v>
      </c>
      <c r="AN3" s="156"/>
      <c r="AO3" s="181">
        <f>+AF11</f>
        <v>10.204081632653086</v>
      </c>
      <c r="AP3" s="180">
        <f>+AG11</f>
        <v>-1</v>
      </c>
      <c r="AQ3" s="156"/>
      <c r="AR3" s="182">
        <f>+AH11</f>
        <v>6670.1020408163449</v>
      </c>
    </row>
    <row r="4" spans="17:44" ht="12.75" thickBot="1" x14ac:dyDescent="0.25">
      <c r="Q4" s="218" t="s">
        <v>141</v>
      </c>
      <c r="R4" s="219" t="s">
        <v>145</v>
      </c>
      <c r="S4" s="222" t="s">
        <v>170</v>
      </c>
      <c r="Y4" s="164" t="s">
        <v>146</v>
      </c>
      <c r="Z4" s="165">
        <f>+'GE Analysis'!Z4</f>
        <v>977.77</v>
      </c>
      <c r="AA4" s="166">
        <f>+'GE Analysis'!AA4</f>
        <v>752.44999999999993</v>
      </c>
      <c r="AC4" s="156" t="s">
        <v>158</v>
      </c>
      <c r="AD4" s="180">
        <f>+INDEX(LINEST(Z3:Z4,AA3:AA4),2)</f>
        <v>-12875.563067497023</v>
      </c>
      <c r="AE4" s="156"/>
      <c r="AF4" s="156"/>
      <c r="AG4" s="156"/>
      <c r="AH4" s="156"/>
      <c r="AI4" s="156"/>
      <c r="AJ4" s="181">
        <f>+AF3</f>
        <v>18.410968260345573</v>
      </c>
      <c r="AK4" s="180">
        <f>+AG3</f>
        <v>-1</v>
      </c>
      <c r="AL4" s="156"/>
      <c r="AM4" s="182">
        <f>+AH3</f>
        <v>12875.563067497023</v>
      </c>
      <c r="AN4" s="156"/>
      <c r="AO4" s="181">
        <f>+AF7</f>
        <v>2.2162134944612299</v>
      </c>
      <c r="AP4" s="180">
        <f>+AG7</f>
        <v>-1</v>
      </c>
      <c r="AQ4" s="156"/>
      <c r="AR4" s="182">
        <f>+AH7</f>
        <v>773.64532829808786</v>
      </c>
    </row>
    <row r="5" spans="17:44" x14ac:dyDescent="0.2">
      <c r="Q5" s="138">
        <v>1</v>
      </c>
      <c r="R5" s="223">
        <v>1.6162468604843876E-2</v>
      </c>
      <c r="S5" s="209" t="s">
        <v>149</v>
      </c>
      <c r="AC5" s="156"/>
      <c r="AD5" s="180"/>
      <c r="AE5" s="156"/>
      <c r="AF5" s="156"/>
      <c r="AG5" s="156"/>
      <c r="AH5" s="156"/>
      <c r="AI5" s="156"/>
      <c r="AJ5" s="158"/>
      <c r="AK5" s="156"/>
      <c r="AL5" s="156"/>
      <c r="AM5" s="159"/>
      <c r="AN5" s="156"/>
      <c r="AO5" s="158"/>
      <c r="AP5" s="156"/>
      <c r="AQ5" s="156"/>
      <c r="AR5" s="159"/>
    </row>
    <row r="6" spans="17:44" ht="13.5" thickBot="1" x14ac:dyDescent="0.25">
      <c r="Q6" s="224">
        <v>2</v>
      </c>
      <c r="R6" s="225">
        <v>0.12430668841761819</v>
      </c>
      <c r="S6" s="226" t="s">
        <v>148</v>
      </c>
      <c r="Y6" s="156"/>
      <c r="AC6" s="156"/>
      <c r="AD6" s="180"/>
      <c r="AE6" s="156"/>
      <c r="AF6" s="156"/>
      <c r="AG6" s="156"/>
      <c r="AH6" s="156"/>
      <c r="AI6" s="156"/>
      <c r="AJ6" s="158" t="s">
        <v>159</v>
      </c>
      <c r="AK6" s="156"/>
      <c r="AL6" s="156"/>
      <c r="AM6" s="159"/>
      <c r="AN6" s="156"/>
      <c r="AO6" s="158" t="s">
        <v>159</v>
      </c>
      <c r="AP6" s="156"/>
      <c r="AQ6" s="156"/>
      <c r="AR6" s="159"/>
    </row>
    <row r="7" spans="17:44" x14ac:dyDescent="0.2">
      <c r="Q7" s="135"/>
      <c r="R7" s="227"/>
      <c r="S7" s="210"/>
      <c r="Y7" s="160" t="s">
        <v>144</v>
      </c>
      <c r="Z7" s="161">
        <f>+'GE Analysis'!Z7</f>
        <v>829.63</v>
      </c>
      <c r="AA7" s="162">
        <f>+'GE Analysis'!AA7</f>
        <v>723.43000000000006</v>
      </c>
      <c r="AC7" s="156" t="s">
        <v>157</v>
      </c>
      <c r="AD7" s="180">
        <f>+INDEX(LINEST(Z7:Z8,AA7:AA8),1)</f>
        <v>2.2162134944612299</v>
      </c>
      <c r="AE7" s="156"/>
      <c r="AF7" s="181">
        <f>+AD7</f>
        <v>2.2162134944612299</v>
      </c>
      <c r="AG7" s="156">
        <v>-1</v>
      </c>
      <c r="AH7" s="182">
        <f>-AD8</f>
        <v>773.64532829808786</v>
      </c>
      <c r="AI7" s="156"/>
      <c r="AJ7" s="158">
        <f t="array" ref="AJ7:AK8">MINVERSE(AJ3:AK4)</f>
        <v>-6.174838794759565E-2</v>
      </c>
      <c r="AK7" s="156">
        <v>6.174838794759565E-2</v>
      </c>
      <c r="AL7" s="156"/>
      <c r="AM7" s="159"/>
      <c r="AN7" s="156"/>
      <c r="AO7" s="158">
        <f t="array" ref="AO7:AP8">MINVERSE(AO3:AP4)</f>
        <v>0.12518984824233231</v>
      </c>
      <c r="AP7" s="156">
        <v>-0.12518984824233231</v>
      </c>
      <c r="AQ7" s="156"/>
      <c r="AR7" s="159"/>
    </row>
    <row r="8" spans="17:44" ht="12.75" thickBot="1" x14ac:dyDescent="0.25">
      <c r="Y8" s="164" t="s">
        <v>146</v>
      </c>
      <c r="Z8" s="165">
        <f>+'GE Analysis'!Z8</f>
        <v>1049.7</v>
      </c>
      <c r="AA8" s="166">
        <f>+'GE Analysis'!AA8</f>
        <v>822.73</v>
      </c>
      <c r="AC8" s="156" t="s">
        <v>158</v>
      </c>
      <c r="AD8" s="180">
        <f>+INDEX(LINEST(Z7:Z8,AA7:AA8),2)</f>
        <v>-773.64532829808786</v>
      </c>
      <c r="AE8" s="156"/>
      <c r="AF8" s="156"/>
      <c r="AG8" s="156"/>
      <c r="AH8" s="156"/>
      <c r="AI8" s="156"/>
      <c r="AJ8" s="158">
        <v>-1.1368476106306886</v>
      </c>
      <c r="AK8" s="156">
        <v>0.13684761063068865</v>
      </c>
      <c r="AL8" s="156"/>
      <c r="AM8" s="159"/>
      <c r="AN8" s="156"/>
      <c r="AO8" s="158">
        <v>0.27744743104421038</v>
      </c>
      <c r="AP8" s="156">
        <v>-1.2774474310442103</v>
      </c>
      <c r="AQ8" s="156"/>
      <c r="AR8" s="159"/>
    </row>
    <row r="9" spans="17:44" x14ac:dyDescent="0.2">
      <c r="Q9" s="211" t="s">
        <v>172</v>
      </c>
      <c r="AC9" s="156"/>
      <c r="AD9" s="180"/>
      <c r="AE9" s="156"/>
      <c r="AF9" s="156"/>
      <c r="AG9" s="156"/>
      <c r="AH9" s="156"/>
      <c r="AI9" s="156"/>
      <c r="AJ9" s="158"/>
      <c r="AK9" s="156"/>
      <c r="AL9" s="156"/>
      <c r="AM9" s="159"/>
      <c r="AN9" s="156"/>
      <c r="AO9" s="158"/>
      <c r="AP9" s="156"/>
      <c r="AQ9" s="156"/>
      <c r="AR9" s="159"/>
    </row>
    <row r="10" spans="17:44" ht="12.75" thickBot="1" x14ac:dyDescent="0.25">
      <c r="Q10" s="215"/>
      <c r="R10" s="216" t="s">
        <v>173</v>
      </c>
      <c r="S10" s="217" t="s">
        <v>143</v>
      </c>
      <c r="Y10" s="156"/>
      <c r="AC10" s="156"/>
      <c r="AD10" s="180"/>
      <c r="AE10" s="156"/>
      <c r="AF10" s="156"/>
      <c r="AG10" s="156"/>
      <c r="AH10" s="156"/>
      <c r="AI10" s="156"/>
      <c r="AJ10" s="158" t="s">
        <v>160</v>
      </c>
      <c r="AK10" s="156"/>
      <c r="AL10" s="156"/>
      <c r="AM10" s="159"/>
      <c r="AN10" s="156"/>
      <c r="AO10" s="158" t="s">
        <v>160</v>
      </c>
      <c r="AP10" s="156"/>
      <c r="AQ10" s="156"/>
      <c r="AR10" s="159"/>
    </row>
    <row r="11" spans="17:44" x14ac:dyDescent="0.2">
      <c r="Q11" s="218" t="s">
        <v>141</v>
      </c>
      <c r="R11" s="219" t="s">
        <v>31</v>
      </c>
      <c r="S11" s="220" t="s">
        <v>147</v>
      </c>
      <c r="Y11" s="160" t="s">
        <v>144</v>
      </c>
      <c r="Z11" s="161">
        <f>+'GE Analysis'!Z11</f>
        <v>500</v>
      </c>
      <c r="AA11" s="162">
        <f>+'GE Analysis'!AA11</f>
        <v>702.67000000000007</v>
      </c>
      <c r="AC11" s="156" t="s">
        <v>157</v>
      </c>
      <c r="AD11" s="180">
        <f>+INDEX(LINEST(Z11:Z12,AA11:AA12),1)</f>
        <v>10.204081632653086</v>
      </c>
      <c r="AE11" s="156"/>
      <c r="AF11" s="181">
        <f>+AD11</f>
        <v>10.204081632653086</v>
      </c>
      <c r="AG11" s="156">
        <v>-1</v>
      </c>
      <c r="AH11" s="182">
        <f>-AD12</f>
        <v>6670.1020408163449</v>
      </c>
      <c r="AI11" s="156"/>
      <c r="AJ11" s="183">
        <f t="array" ref="AJ11:AJ12">MMULT(AJ7:AK8,AM3:AM4)</f>
        <v>747.27391146994557</v>
      </c>
      <c r="AK11" s="156" t="s">
        <v>119</v>
      </c>
      <c r="AL11" s="156"/>
      <c r="AM11" s="159"/>
      <c r="AN11" s="156"/>
      <c r="AO11" s="183">
        <f t="array" ref="AO11:AO12">MMULT(AO7:AP8,AR3:AR4)</f>
        <v>738.17652100764235</v>
      </c>
      <c r="AP11" s="156" t="s">
        <v>119</v>
      </c>
      <c r="AQ11" s="156"/>
      <c r="AR11" s="159"/>
    </row>
    <row r="12" spans="17:44" ht="12.75" thickBot="1" x14ac:dyDescent="0.25">
      <c r="Q12" s="138">
        <v>1</v>
      </c>
      <c r="R12" s="150">
        <v>840.79962722323421</v>
      </c>
      <c r="S12" s="212">
        <v>736.06836346787691</v>
      </c>
      <c r="Y12" s="164" t="s">
        <v>146</v>
      </c>
      <c r="Z12" s="165">
        <f>+'GE Analysis'!Z12</f>
        <v>1000</v>
      </c>
      <c r="AA12" s="166">
        <f>+'GE Analysis'!AA12</f>
        <v>751.67</v>
      </c>
      <c r="AC12" s="156" t="s">
        <v>158</v>
      </c>
      <c r="AD12" s="180">
        <f>+INDEX(LINEST(Z11:Z12,AA11:AA12),2)</f>
        <v>-6670.1020408163449</v>
      </c>
      <c r="AE12" s="156"/>
      <c r="AF12" s="156"/>
      <c r="AG12" s="156"/>
      <c r="AH12" s="156"/>
      <c r="AI12" s="156"/>
      <c r="AJ12" s="184">
        <v>882.47319836043187</v>
      </c>
      <c r="AK12" s="168" t="s">
        <v>161</v>
      </c>
      <c r="AL12" s="168"/>
      <c r="AM12" s="163"/>
      <c r="AN12" s="156"/>
      <c r="AO12" s="184">
        <v>862.31143885349275</v>
      </c>
      <c r="AP12" s="168" t="s">
        <v>161</v>
      </c>
      <c r="AQ12" s="168"/>
      <c r="AR12" s="163"/>
    </row>
    <row r="13" spans="17:44" x14ac:dyDescent="0.2">
      <c r="Q13" s="135"/>
      <c r="R13" s="213"/>
      <c r="S13" s="214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  <c r="AM13" s="156"/>
      <c r="AN13" s="156"/>
      <c r="AO13" s="156"/>
      <c r="AP13" s="156"/>
      <c r="AQ13" s="156"/>
      <c r="AR13" s="156"/>
    </row>
    <row r="14" spans="17:44" ht="12.75" thickBot="1" x14ac:dyDescent="0.25">
      <c r="R14" s="147"/>
      <c r="S14" s="147"/>
      <c r="AC14" s="156"/>
      <c r="AD14" s="156"/>
      <c r="AE14" s="156"/>
      <c r="AF14" s="156"/>
      <c r="AG14" s="156"/>
      <c r="AH14" s="156"/>
      <c r="AI14" s="156"/>
      <c r="AJ14" s="156"/>
      <c r="AK14" s="157" t="s">
        <v>114</v>
      </c>
      <c r="AL14" s="157" t="s">
        <v>143</v>
      </c>
      <c r="AM14" s="156"/>
      <c r="AN14" s="156"/>
      <c r="AO14" s="156"/>
      <c r="AP14" s="157" t="s">
        <v>114</v>
      </c>
      <c r="AQ14" s="157" t="s">
        <v>143</v>
      </c>
      <c r="AR14" s="156"/>
    </row>
    <row r="15" spans="17:44" x14ac:dyDescent="0.2">
      <c r="R15" s="147"/>
      <c r="S15" s="148"/>
      <c r="AC15" s="156"/>
      <c r="AD15" s="156"/>
      <c r="AE15" s="156"/>
      <c r="AF15" s="156"/>
      <c r="AG15" s="156"/>
      <c r="AH15" s="156"/>
      <c r="AI15" s="156"/>
      <c r="AJ15" s="160" t="s">
        <v>144</v>
      </c>
      <c r="AK15" s="185">
        <f>+AJ12</f>
        <v>882.47319836043187</v>
      </c>
      <c r="AL15" s="186">
        <v>0</v>
      </c>
      <c r="AM15" s="156"/>
      <c r="AN15" s="156"/>
      <c r="AO15" s="160" t="s">
        <v>144</v>
      </c>
      <c r="AP15" s="185">
        <f>+AO12</f>
        <v>862.31143885349275</v>
      </c>
      <c r="AQ15" s="186">
        <v>0</v>
      </c>
      <c r="AR15" s="156"/>
    </row>
    <row r="16" spans="17:44" ht="12.75" thickBot="1" x14ac:dyDescent="0.25">
      <c r="R16" s="147"/>
      <c r="S16" s="148"/>
      <c r="AC16" s="156"/>
      <c r="AD16" s="156"/>
      <c r="AE16" s="156"/>
      <c r="AF16" s="156"/>
      <c r="AG16" s="156"/>
      <c r="AH16" s="156"/>
      <c r="AI16" s="156"/>
      <c r="AJ16" s="164" t="s">
        <v>146</v>
      </c>
      <c r="AK16" s="187">
        <f>+AK15</f>
        <v>882.47319836043187</v>
      </c>
      <c r="AL16" s="166">
        <v>850</v>
      </c>
      <c r="AM16" s="156"/>
      <c r="AN16" s="156"/>
      <c r="AO16" s="164" t="s">
        <v>146</v>
      </c>
      <c r="AP16" s="187">
        <f>+AP15</f>
        <v>862.31143885349275</v>
      </c>
      <c r="AQ16" s="166">
        <v>850</v>
      </c>
      <c r="AR16" s="156"/>
    </row>
    <row r="17" spans="17:44" x14ac:dyDescent="0.2">
      <c r="R17" s="147"/>
      <c r="S17" s="148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6"/>
      <c r="AR17" s="156"/>
    </row>
    <row r="18" spans="17:44" ht="12.75" thickBot="1" x14ac:dyDescent="0.25">
      <c r="R18" s="147"/>
      <c r="S18" s="148"/>
      <c r="AC18" s="156"/>
      <c r="AD18" s="156"/>
      <c r="AE18" s="156"/>
      <c r="AF18" s="156"/>
      <c r="AG18" s="156"/>
      <c r="AH18" s="156"/>
      <c r="AI18" s="156"/>
      <c r="AJ18" s="156"/>
      <c r="AK18" s="157" t="s">
        <v>114</v>
      </c>
      <c r="AL18" s="157" t="s">
        <v>143</v>
      </c>
      <c r="AM18" s="156"/>
      <c r="AN18" s="156"/>
      <c r="AO18" s="156"/>
      <c r="AP18" s="157" t="s">
        <v>114</v>
      </c>
      <c r="AQ18" s="157" t="s">
        <v>143</v>
      </c>
      <c r="AR18" s="156"/>
    </row>
    <row r="19" spans="17:44" x14ac:dyDescent="0.2">
      <c r="R19" s="147"/>
      <c r="S19" s="148"/>
      <c r="AC19" s="156"/>
      <c r="AD19" s="156"/>
      <c r="AE19" s="156"/>
      <c r="AF19" s="156"/>
      <c r="AG19" s="156"/>
      <c r="AH19" s="156"/>
      <c r="AI19" s="156"/>
      <c r="AJ19" s="160" t="s">
        <v>144</v>
      </c>
      <c r="AK19" s="188">
        <v>0</v>
      </c>
      <c r="AL19" s="189">
        <f>+AJ11</f>
        <v>747.27391146994557</v>
      </c>
      <c r="AM19" s="156"/>
      <c r="AN19" s="156"/>
      <c r="AO19" s="160" t="s">
        <v>144</v>
      </c>
      <c r="AP19" s="188">
        <v>0</v>
      </c>
      <c r="AQ19" s="189">
        <f>+AO11</f>
        <v>738.17652100764235</v>
      </c>
      <c r="AR19" s="156"/>
    </row>
    <row r="20" spans="17:44" ht="12.75" thickBot="1" x14ac:dyDescent="0.25">
      <c r="R20" s="147"/>
      <c r="S20" s="148"/>
      <c r="AC20" s="156"/>
      <c r="AD20" s="156"/>
      <c r="AE20" s="156"/>
      <c r="AF20" s="156"/>
      <c r="AG20" s="156"/>
      <c r="AH20" s="156"/>
      <c r="AI20" s="156"/>
      <c r="AJ20" s="164" t="s">
        <v>146</v>
      </c>
      <c r="AK20" s="190">
        <f>+AK16</f>
        <v>882.47319836043187</v>
      </c>
      <c r="AL20" s="191">
        <f>+AL19</f>
        <v>747.27391146994557</v>
      </c>
      <c r="AM20" s="156"/>
      <c r="AN20" s="156"/>
      <c r="AO20" s="164" t="s">
        <v>146</v>
      </c>
      <c r="AP20" s="190">
        <f>+AP16</f>
        <v>862.31143885349275</v>
      </c>
      <c r="AQ20" s="191">
        <f>+AQ19</f>
        <v>738.17652100764235</v>
      </c>
      <c r="AR20" s="156"/>
    </row>
    <row r="21" spans="17:44" x14ac:dyDescent="0.2">
      <c r="R21" s="147"/>
      <c r="S21" s="148"/>
    </row>
    <row r="22" spans="17:44" x14ac:dyDescent="0.2">
      <c r="R22" s="147"/>
      <c r="S22" s="148"/>
    </row>
    <row r="32" spans="17:44" x14ac:dyDescent="0.2">
      <c r="Q32" s="1"/>
      <c r="S32" s="1"/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numeros" Type="http://schemas.openxmlformats.org/officeDocument/2006/relationships/image" Target="images/numeros.png"/><Relationship Id="backsetup" Type="http://schemas.openxmlformats.org/officeDocument/2006/relationships/image" Target="images/backsetup.png"/><Relationship Id="GE_Report" Type="http://schemas.openxmlformats.org/officeDocument/2006/relationships/image" Target="images/GE_Report.png"/><Relationship Id="FFSA_48" Type="http://schemas.openxmlformats.org/officeDocument/2006/relationships/image" Target="images/FFSA_48.png"/><Relationship Id="Interactive_Chart" Type="http://schemas.openxmlformats.org/officeDocument/2006/relationships/image" Target="images/Interactive_Chart.png"/><Relationship Id="abc" Type="http://schemas.openxmlformats.org/officeDocument/2006/relationships/image" Target="images/abc.png"/></Relationships>
</file>

<file path=customUI/customUI14.xml><?xml version="1.0" encoding="utf-8"?>
<customUI xmlns="http://schemas.microsoft.com/office/2009/07/customui" onLoad="RibbonOnLoad">
  <ribbon startFromScratch="false">
    <tabs>
      <tab id="ID_GE_Analysis" label="GE Analysis + Report" getVisible="GetVisible" tag="FFSA">
        <group id="ID_G_Legal_Notice" label="Legal Notice">
          <button id="ID_Logo_and_Legal_Notice" label="Franco Sivila" image="FFSA_48" size="large" screentip="Franco Help" supertip="Legal Notice" onAction="OnAc_Mensaje_Franco"/>
        </group>
        <group id="ID_G_Herramientas" label="VBA MS Excel Tools">
          <button id="ID_backsetup" label="Restore      Calc + Events" image="backsetup" size="large" screentip="Franco Help" supertip="Set automatic calculations + ScreenUpdating + EnableEvents" onAction="OnAc_BackSetup"/>
          <button id="ID_Columna_Letras" label="Column Letters" image="abc" size="large" screentip="Franco Help" supertip="Change colum format to letters" onAction="OnAc_Columna_Letras"/>
          <button id="ID_Columna_Numeros" label="Column Numbers" image="numeros" size="large" screentip="Franco Help" supertip="Change colum format to Numbers" onAction="OnAc_Columna_Numeros"/>
        </group>
        <group id="ID_G_GE" label="Herramientas GE Analysis">
          <button id="ID_Interactive_Chart" label="Interactive Chart" image="Interactive_Chart" size="large" screentip="Franco Help" supertip="Para modificar las gradiente de forma dinámica en el Chart, Click en el boton -Activar Análisis-. Seleccionar punto y mover mouse." onAction="OnAc_Interactive_Chart"/>
          <separator id="sep1"/>
          <button id="ID_Create_Report" label="Generate Report PPT" image="GE_Report" size="large" screentip="Franco Help" supertip="Crea informe/reporte en PowerPoint." onAction="OnAc_Create_Repor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F.R.I.D.A.Y.</vt:lpstr>
      <vt:lpstr>MG Data</vt:lpstr>
      <vt:lpstr>Survey</vt:lpstr>
      <vt:lpstr>GE Analysis</vt:lpstr>
      <vt:lpstr>Hide_Contacts</vt:lpstr>
    </vt:vector>
  </TitlesOfParts>
  <Company>YPFB Chaco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Franco</cp:lastModifiedBy>
  <dcterms:created xsi:type="dcterms:W3CDTF">2023-03-23T18:36:59Z</dcterms:created>
  <dcterms:modified xsi:type="dcterms:W3CDTF">2023-04-11T02:13:27Z</dcterms:modified>
</cp:coreProperties>
</file>